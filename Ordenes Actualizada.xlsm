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39eaf02cbd13036/Escritorio/PROCESAR ARCHIVO SUELDOS/"/>
    </mc:Choice>
  </mc:AlternateContent>
  <xr:revisionPtr revIDLastSave="569" documentId="14_{60692734-33A2-4C40-BE7A-0FD8D7766BFD}" xr6:coauthVersionLast="47" xr6:coauthVersionMax="47" xr10:uidLastSave="{9EC9B573-EBAC-4793-BA03-312C567EDC10}"/>
  <bookViews>
    <workbookView xWindow="-98" yWindow="-98" windowWidth="21795" windowHeight="12975" tabRatio="532" xr2:uid="{00000000-000D-0000-FFFF-FFFF00000000}"/>
  </bookViews>
  <sheets>
    <sheet name="Impr.OrdenCompra" sheetId="12" r:id="rId1"/>
    <sheet name="Remitos" sheetId="11" r:id="rId2"/>
    <sheet name="Proveedores" sheetId="14" r:id="rId3"/>
    <sheet name="No modificar" sheetId="15" r:id="rId4"/>
  </sheets>
  <functionGroups builtInGroupCount="19"/>
  <definedNames>
    <definedName name="_xlnm._FilterDatabase" localSheetId="2" hidden="1">Proveedores!$A$4:$F$1319</definedName>
    <definedName name="_xlnm._FilterDatabase" localSheetId="1" hidden="1">Remitos!$E$1:$E$4556</definedName>
    <definedName name="_xlnm.Print_Area" localSheetId="0">Impr.OrdenCompra!$B$2:$N$50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2" l="1"/>
  <c r="F14" i="12"/>
  <c r="F13" i="12"/>
  <c r="F12" i="12"/>
  <c r="K15" i="12"/>
  <c r="E15" i="12"/>
  <c r="K15" i="15"/>
  <c r="F14" i="15"/>
  <c r="F13" i="15"/>
  <c r="F12" i="15"/>
  <c r="N5" i="11"/>
  <c r="N4" i="11"/>
  <c r="N2" i="11"/>
  <c r="K3" i="15" s="1"/>
  <c r="H1608" i="11"/>
  <c r="E15" i="15"/>
  <c r="O4" i="11" l="1"/>
  <c r="O5" i="11"/>
</calcChain>
</file>

<file path=xl/sharedStrings.xml><?xml version="1.0" encoding="utf-8"?>
<sst xmlns="http://schemas.openxmlformats.org/spreadsheetml/2006/main" count="12105" uniqueCount="5992">
  <si>
    <t>Orden</t>
  </si>
  <si>
    <t>Descripción</t>
  </si>
  <si>
    <t>Proveedor</t>
  </si>
  <si>
    <t>Autorizado-Entrega</t>
  </si>
  <si>
    <t>Fecha</t>
  </si>
  <si>
    <t>Cant.</t>
  </si>
  <si>
    <t>ZÁRATE</t>
  </si>
  <si>
    <t>Domicilio: 3 de Febrero 59</t>
  </si>
  <si>
    <t>Zárate (2800) - Buenos Aires</t>
  </si>
  <si>
    <t>Teléfono: (03487)  434-739</t>
  </si>
  <si>
    <t>Email: empresacarjor@gmail.com</t>
  </si>
  <si>
    <t>Iva Responsable Inscripto</t>
  </si>
  <si>
    <t>O.Compra Nro:</t>
  </si>
  <si>
    <t>F. Expiración:</t>
  </si>
  <si>
    <t>CUIT: 30-70921165-6</t>
  </si>
  <si>
    <t>Ing. Brutos: 30-70921165-6</t>
  </si>
  <si>
    <t>Inicio act.: Julio de 2005</t>
  </si>
  <si>
    <t>Proveedor:</t>
  </si>
  <si>
    <t>Dirección:</t>
  </si>
  <si>
    <t>Localidad:</t>
  </si>
  <si>
    <t>I.V.A.:</t>
  </si>
  <si>
    <t>CUIT:</t>
  </si>
  <si>
    <t>Item</t>
  </si>
  <si>
    <t>Importe</t>
  </si>
  <si>
    <t>Subtotal</t>
  </si>
  <si>
    <t>I.V.A.</t>
  </si>
  <si>
    <t>Total</t>
  </si>
  <si>
    <t>OBRA:</t>
  </si>
  <si>
    <t>DESTINO:</t>
  </si>
  <si>
    <t xml:space="preserve">27-04741098-9 </t>
  </si>
  <si>
    <t xml:space="preserve">30-65200007-6 </t>
  </si>
  <si>
    <t xml:space="preserve">20-10435322-4 </t>
  </si>
  <si>
    <t xml:space="preserve">RUTA 226 KM 280          </t>
  </si>
  <si>
    <t xml:space="preserve">30-50110706-5 </t>
  </si>
  <si>
    <t xml:space="preserve">                         </t>
  </si>
  <si>
    <t xml:space="preserve">30-70829294-6 </t>
  </si>
  <si>
    <t xml:space="preserve">30-67662494-1 </t>
  </si>
  <si>
    <t xml:space="preserve">30-62264305-3 </t>
  </si>
  <si>
    <t xml:space="preserve">30-68682686-0 </t>
  </si>
  <si>
    <t xml:space="preserve">30-50573235-5 </t>
  </si>
  <si>
    <t xml:space="preserve">30-50695186.7 </t>
  </si>
  <si>
    <t xml:space="preserve">30-71362930-4 </t>
  </si>
  <si>
    <t xml:space="preserve">JOSE MARMOL 1752         </t>
  </si>
  <si>
    <t xml:space="preserve">30-55798651-7 </t>
  </si>
  <si>
    <t xml:space="preserve">19 DE MARZO 190          </t>
  </si>
  <si>
    <t xml:space="preserve">20-10482811-7 </t>
  </si>
  <si>
    <t xml:space="preserve">30-57957328-3 </t>
  </si>
  <si>
    <t xml:space="preserve">20-22137881-5 </t>
  </si>
  <si>
    <t xml:space="preserve">20-93746589-1 </t>
  </si>
  <si>
    <t xml:space="preserve">30-68965448-3 </t>
  </si>
  <si>
    <t xml:space="preserve">20-13776762-8 </t>
  </si>
  <si>
    <t xml:space="preserve">20-16983539-0 </t>
  </si>
  <si>
    <t xml:space="preserve">33-52283837-9 </t>
  </si>
  <si>
    <t xml:space="preserve">20-18379192-4 </t>
  </si>
  <si>
    <t xml:space="preserve">20-33096608-5 </t>
  </si>
  <si>
    <t xml:space="preserve">30-71072438-1 </t>
  </si>
  <si>
    <t xml:space="preserve">30-69526066-7 </t>
  </si>
  <si>
    <t>RUTA DE LA TRADICION 4020</t>
  </si>
  <si>
    <t xml:space="preserve">30-70801757-0 </t>
  </si>
  <si>
    <t xml:space="preserve">30-70792778-6 </t>
  </si>
  <si>
    <t xml:space="preserve">CARLOS MANGIANTINI            </t>
  </si>
  <si>
    <t xml:space="preserve">20-22401252-8 </t>
  </si>
  <si>
    <t xml:space="preserve">30-71163175-1 </t>
  </si>
  <si>
    <t xml:space="preserve">20-10225723-6 </t>
  </si>
  <si>
    <t xml:space="preserve">CASA PRIMAVERA                </t>
  </si>
  <si>
    <t xml:space="preserve">RIVADAVIA 1287           </t>
  </si>
  <si>
    <t xml:space="preserve">20-22739013-2 </t>
  </si>
  <si>
    <t xml:space="preserve">30-71014033-9 </t>
  </si>
  <si>
    <t xml:space="preserve">AV RIVADAVIA 17132       </t>
  </si>
  <si>
    <t xml:space="preserve">30-71228588-1 </t>
  </si>
  <si>
    <t xml:space="preserve">RUTA 21 Y MONTE DINERO   </t>
  </si>
  <si>
    <t xml:space="preserve">30-65306408-6 </t>
  </si>
  <si>
    <t xml:space="preserve">30-64766014-9 </t>
  </si>
  <si>
    <t xml:space="preserve">30-52604779-2 </t>
  </si>
  <si>
    <t xml:space="preserve">30-70838403-4 </t>
  </si>
  <si>
    <t xml:space="preserve">CERRAJERIA HENRICOT           </t>
  </si>
  <si>
    <t xml:space="preserve">30-66768773-6 </t>
  </si>
  <si>
    <t xml:space="preserve">30-69628298-2 </t>
  </si>
  <si>
    <t xml:space="preserve">BOLIVAR 665              </t>
  </si>
  <si>
    <t xml:space="preserve">30-70818575-9 </t>
  </si>
  <si>
    <t xml:space="preserve">30-56119202-9 </t>
  </si>
  <si>
    <t xml:space="preserve">30-57500980-4 </t>
  </si>
  <si>
    <t xml:space="preserve">23-04745051-9 </t>
  </si>
  <si>
    <t xml:space="preserve">30-54808834-4 </t>
  </si>
  <si>
    <t xml:space="preserve">DATA COMPUTACION              </t>
  </si>
  <si>
    <t xml:space="preserve">AV LOPE DE VEGA 2983     </t>
  </si>
  <si>
    <t xml:space="preserve">30-70900494-4 </t>
  </si>
  <si>
    <t xml:space="preserve">30-71070220-5 </t>
  </si>
  <si>
    <t xml:space="preserve">30-68674278-0 </t>
  </si>
  <si>
    <t xml:space="preserve">GUALEGUAYCHU 1580 PB     </t>
  </si>
  <si>
    <t xml:space="preserve">30-70955373-5 </t>
  </si>
  <si>
    <t xml:space="preserve">30-59036076-3 </t>
  </si>
  <si>
    <t xml:space="preserve">20-11738499-4 </t>
  </si>
  <si>
    <t xml:space="preserve">20-26201564-6 </t>
  </si>
  <si>
    <t xml:space="preserve">FELIX PAGOLA 221         </t>
  </si>
  <si>
    <t xml:space="preserve">20-05082079-4 </t>
  </si>
  <si>
    <t xml:space="preserve">20-93439674-0 </t>
  </si>
  <si>
    <t xml:space="preserve">GENERAL PINTOS 1230      </t>
  </si>
  <si>
    <t xml:space="preserve">20-25593666-3 </t>
  </si>
  <si>
    <t xml:space="preserve">30-71105415-0 </t>
  </si>
  <si>
    <t xml:space="preserve">27-04921217-3 </t>
  </si>
  <si>
    <t xml:space="preserve">30-57645535-2 </t>
  </si>
  <si>
    <t xml:space="preserve">20-10542118-5 </t>
  </si>
  <si>
    <t xml:space="preserve">30-50303722-6 </t>
  </si>
  <si>
    <t xml:space="preserve">30-70973493-4 </t>
  </si>
  <si>
    <t xml:space="preserve">30-50193253.8 </t>
  </si>
  <si>
    <t xml:space="preserve">30-50496406-6 </t>
  </si>
  <si>
    <t xml:space="preserve">P MORENO 850             </t>
  </si>
  <si>
    <t xml:space="preserve">20-21914115-8 </t>
  </si>
  <si>
    <t xml:space="preserve">30-70742528-4 </t>
  </si>
  <si>
    <t xml:space="preserve">30-59743039-2 </t>
  </si>
  <si>
    <t xml:space="preserve">30-66765750-0 </t>
  </si>
  <si>
    <t xml:space="preserve">30-53980805-9 </t>
  </si>
  <si>
    <t xml:space="preserve">ESTANISLAO ZEBALLOS 2739 </t>
  </si>
  <si>
    <t xml:space="preserve">30-64722711-9 </t>
  </si>
  <si>
    <t xml:space="preserve">30-68676892-5 </t>
  </si>
  <si>
    <t xml:space="preserve">27-20979390-9 </t>
  </si>
  <si>
    <t xml:space="preserve">RUTA 9 VIEJA KM 47       </t>
  </si>
  <si>
    <t xml:space="preserve">30-68674384-1 </t>
  </si>
  <si>
    <t xml:space="preserve">30-71000751-5 </t>
  </si>
  <si>
    <t xml:space="preserve">COLECTORA OESTE 2158     </t>
  </si>
  <si>
    <t xml:space="preserve">20-12677353-7 </t>
  </si>
  <si>
    <t xml:space="preserve">20-13363669-3 </t>
  </si>
  <si>
    <t xml:space="preserve">20-14166413-2 </t>
  </si>
  <si>
    <t xml:space="preserve">30-71094350-4 </t>
  </si>
  <si>
    <t xml:space="preserve">20-10896118-0 </t>
  </si>
  <si>
    <t xml:space="preserve">30-70287158-8 </t>
  </si>
  <si>
    <t xml:space="preserve">30-50169708-3 </t>
  </si>
  <si>
    <t xml:space="preserve">30-59676881-0 </t>
  </si>
  <si>
    <t xml:space="preserve">CASTELLI 855             </t>
  </si>
  <si>
    <t xml:space="preserve">30-70896382-4 </t>
  </si>
  <si>
    <t xml:space="preserve">30-70926954-9 </t>
  </si>
  <si>
    <t xml:space="preserve">30-59893161-1 </t>
  </si>
  <si>
    <t xml:space="preserve">PROF MANUEL GARCIA 4760  </t>
  </si>
  <si>
    <t xml:space="preserve">30-65696323-5 </t>
  </si>
  <si>
    <t xml:space="preserve">RUTA PROVINCIAL 6 KM 178 </t>
  </si>
  <si>
    <t xml:space="preserve">30-71243534-4 </t>
  </si>
  <si>
    <t xml:space="preserve">RUTA 1001 Y CALLE 46 0   </t>
  </si>
  <si>
    <t xml:space="preserve">30-58292594-8 </t>
  </si>
  <si>
    <t>INST. DE TRAUMATOLOGIA Y ORTOP</t>
  </si>
  <si>
    <t xml:space="preserve">33-58294019-9 </t>
  </si>
  <si>
    <t xml:space="preserve">33-70778442-9 </t>
  </si>
  <si>
    <t xml:space="preserve">30-71041655-5 </t>
  </si>
  <si>
    <t xml:space="preserve">30-71231209-9 </t>
  </si>
  <si>
    <t xml:space="preserve">30-70434592-1 </t>
  </si>
  <si>
    <t xml:space="preserve">30-68682433-7 </t>
  </si>
  <si>
    <t xml:space="preserve">30-71047975-1 </t>
  </si>
  <si>
    <t xml:space="preserve">PERU 82                  </t>
  </si>
  <si>
    <t xml:space="preserve">30-71481896-8 </t>
  </si>
  <si>
    <t xml:space="preserve">20-04745216-4 </t>
  </si>
  <si>
    <t xml:space="preserve">30-62128504-8 </t>
  </si>
  <si>
    <t xml:space="preserve">30-50451261-0 </t>
  </si>
  <si>
    <t xml:space="preserve">20-12611841-5 </t>
  </si>
  <si>
    <t xml:space="preserve">30-70876263-2 </t>
  </si>
  <si>
    <t xml:space="preserve">30-71100192-8 </t>
  </si>
  <si>
    <t xml:space="preserve">30-64385824-6 </t>
  </si>
  <si>
    <t xml:space="preserve">30-71084413-1 </t>
  </si>
  <si>
    <t xml:space="preserve">20-22436248-0 </t>
  </si>
  <si>
    <t xml:space="preserve">30-50699935-5 </t>
  </si>
  <si>
    <t xml:space="preserve">30-70847714-8 </t>
  </si>
  <si>
    <t xml:space="preserve">30-71160271-9 </t>
  </si>
  <si>
    <t xml:space="preserve">30-71055112-6 </t>
  </si>
  <si>
    <t xml:space="preserve">30-64180368-1 </t>
  </si>
  <si>
    <t xml:space="preserve">20-20343103-2 </t>
  </si>
  <si>
    <t xml:space="preserve">33-71150198-9 </t>
  </si>
  <si>
    <t xml:space="preserve">30-68680352-6 </t>
  </si>
  <si>
    <t xml:space="preserve">GRAL PAZ 8950            </t>
  </si>
  <si>
    <t xml:space="preserve">33-69126594-9 </t>
  </si>
  <si>
    <t xml:space="preserve">20-16873444-2 </t>
  </si>
  <si>
    <t xml:space="preserve">30-66257750-9 </t>
  </si>
  <si>
    <t xml:space="preserve">33-57516026-9 </t>
  </si>
  <si>
    <t xml:space="preserve">30-67829693-3 </t>
  </si>
  <si>
    <t xml:space="preserve">30-70763435-5 </t>
  </si>
  <si>
    <t xml:space="preserve">30-69687437-5 </t>
  </si>
  <si>
    <t>COLECTORA PANAMERICANA 31</t>
  </si>
  <si>
    <t xml:space="preserve">20-25084598-8 </t>
  </si>
  <si>
    <t xml:space="preserve">RADIADORES PERNA              </t>
  </si>
  <si>
    <t xml:space="preserve">33-71295080-9 </t>
  </si>
  <si>
    <t xml:space="preserve">30-63750863-2 </t>
  </si>
  <si>
    <t xml:space="preserve">30-54141654-0 </t>
  </si>
  <si>
    <t xml:space="preserve">30-71437305-2 </t>
  </si>
  <si>
    <t xml:space="preserve">30-70800230-1 </t>
  </si>
  <si>
    <t xml:space="preserve">27-12981603-7 </t>
  </si>
  <si>
    <t xml:space="preserve">30-71034215-2 </t>
  </si>
  <si>
    <t xml:space="preserve">ANTARTIDA ARGENTINA 2285 </t>
  </si>
  <si>
    <t xml:space="preserve">20-22744126-8 </t>
  </si>
  <si>
    <t xml:space="preserve">20-04749177-1 </t>
  </si>
  <si>
    <t xml:space="preserve">30-60396211-3 </t>
  </si>
  <si>
    <t xml:space="preserve">JOSE HERNANDEZ 1149      </t>
  </si>
  <si>
    <t xml:space="preserve">30-71433964-4 </t>
  </si>
  <si>
    <t xml:space="preserve">HEREDIA 881              </t>
  </si>
  <si>
    <t xml:space="preserve">30-63253034-6 </t>
  </si>
  <si>
    <t xml:space="preserve">20-24310774-2 </t>
  </si>
  <si>
    <t xml:space="preserve">30-60282761-1 </t>
  </si>
  <si>
    <t xml:space="preserve">AV RIVADAVIA 1027        </t>
  </si>
  <si>
    <t xml:space="preserve">33-69453285-9 </t>
  </si>
  <si>
    <t xml:space="preserve">30-61376416-6 </t>
  </si>
  <si>
    <t xml:space="preserve">GARIBALDI 2235           </t>
  </si>
  <si>
    <t xml:space="preserve">30-62406958-3 </t>
  </si>
  <si>
    <t xml:space="preserve">30-57672171-0 </t>
  </si>
  <si>
    <t xml:space="preserve">30-70958413-4 </t>
  </si>
  <si>
    <t xml:space="preserve">ARRIBENOS 1193           </t>
  </si>
  <si>
    <t xml:space="preserve">30-69449305-6 </t>
  </si>
  <si>
    <t xml:space="preserve">30-63996012-5 </t>
  </si>
  <si>
    <t xml:space="preserve">20-23355021-4 </t>
  </si>
  <si>
    <t xml:space="preserve">33-70784760-9 </t>
  </si>
  <si>
    <t xml:space="preserve">20-13776984-1 </t>
  </si>
  <si>
    <t xml:space="preserve">20-18338345-1 </t>
  </si>
  <si>
    <t xml:space="preserve">30-56304491-4 </t>
  </si>
  <si>
    <t xml:space="preserve">30-68681362-9 </t>
  </si>
  <si>
    <t xml:space="preserve">30-70750136-3 </t>
  </si>
  <si>
    <t xml:space="preserve">30-70745203-6 </t>
  </si>
  <si>
    <t xml:space="preserve">30-66769752-9 </t>
  </si>
  <si>
    <t xml:space="preserve">DE LA TORRE 1463         </t>
  </si>
  <si>
    <t xml:space="preserve">30-70936240-9 </t>
  </si>
  <si>
    <t xml:space="preserve">30-71427049-0 </t>
  </si>
  <si>
    <t xml:space="preserve">VIDRIERIA JULIAN              </t>
  </si>
  <si>
    <t xml:space="preserve">BROWN 20                 </t>
  </si>
  <si>
    <t xml:space="preserve">20-16601290-3 </t>
  </si>
  <si>
    <t xml:space="preserve">30-66768100-2 </t>
  </si>
  <si>
    <t xml:space="preserve">30-70712384-9 </t>
  </si>
  <si>
    <t xml:space="preserve">30-68676229-3 </t>
  </si>
  <si>
    <t xml:space="preserve">30-70840162-1 </t>
  </si>
  <si>
    <t xml:space="preserve">30-63181058-2 </t>
  </si>
  <si>
    <t xml:space="preserve">ACCESO PARQUE INDUSTRIAL </t>
  </si>
  <si>
    <t xml:space="preserve">30-71204865-0 </t>
  </si>
  <si>
    <t xml:space="preserve">30-66767954-7 </t>
  </si>
  <si>
    <t xml:space="preserve">20-18150701-3 </t>
  </si>
  <si>
    <t xml:space="preserve">20-16265256-8 </t>
  </si>
  <si>
    <t xml:space="preserve">30-54709922-9 </t>
  </si>
  <si>
    <t>Denominacion</t>
  </si>
  <si>
    <t>Direccion</t>
  </si>
  <si>
    <t>Direccion 2</t>
  </si>
  <si>
    <t>Categoria IVA</t>
  </si>
  <si>
    <t>Nro.ident.impositiva</t>
  </si>
  <si>
    <t xml:space="preserve">ESCOBAR                  </t>
  </si>
  <si>
    <t xml:space="preserve">C.A.B.A.                 </t>
  </si>
  <si>
    <t xml:space="preserve">CAMPANA                  </t>
  </si>
  <si>
    <t xml:space="preserve">OLAVARRIA                </t>
  </si>
  <si>
    <t xml:space="preserve">BECCAR                   </t>
  </si>
  <si>
    <t xml:space="preserve">BAHIA BLANCA             </t>
  </si>
  <si>
    <t xml:space="preserve">ALDO BONZI               </t>
  </si>
  <si>
    <t xml:space="preserve">HAEDO                    </t>
  </si>
  <si>
    <t xml:space="preserve">LUJAN                    </t>
  </si>
  <si>
    <t xml:space="preserve">DON TORCUATO             </t>
  </si>
  <si>
    <t xml:space="preserve">MUNRO                    </t>
  </si>
  <si>
    <t xml:space="preserve">GENERAL PACHECO          </t>
  </si>
  <si>
    <t xml:space="preserve">INGENIERO PABLO NOGUES   </t>
  </si>
  <si>
    <t xml:space="preserve">CARDALES                 </t>
  </si>
  <si>
    <t xml:space="preserve">LAVALLOL                 </t>
  </si>
  <si>
    <t xml:space="preserve">   </t>
  </si>
  <si>
    <t xml:space="preserve">GONCALVES DIAS 1145      </t>
  </si>
  <si>
    <t xml:space="preserve">ESTRADA 730              </t>
  </si>
  <si>
    <t xml:space="preserve">ESCOBAR   </t>
  </si>
  <si>
    <t>LA PLATA</t>
  </si>
  <si>
    <t>PILAR</t>
  </si>
  <si>
    <t>SAN MARTIN</t>
  </si>
  <si>
    <t>AVELLANEDA</t>
  </si>
  <si>
    <t>LIMA</t>
  </si>
  <si>
    <t>SAN JUSTO</t>
  </si>
  <si>
    <t xml:space="preserve">MERLO        </t>
  </si>
  <si>
    <t>CAMILO COSTA 155</t>
  </si>
  <si>
    <t xml:space="preserve">INDEPENDENCIA 1040      </t>
  </si>
  <si>
    <t xml:space="preserve">BOLIVAR 859              </t>
  </si>
  <si>
    <t xml:space="preserve">JOSE PEDRO VARELA 5994  </t>
  </si>
  <si>
    <t xml:space="preserve">19 DE MARZO 252          </t>
  </si>
  <si>
    <t>CAMINO DE CINTURA 7024</t>
  </si>
  <si>
    <t xml:space="preserve">ANDRES DEL PINO 1025    </t>
  </si>
  <si>
    <t>QUILMES</t>
  </si>
  <si>
    <t>LOBOS</t>
  </si>
  <si>
    <t>Direccion 3</t>
  </si>
  <si>
    <t xml:space="preserve">3GCM S.R.L.                   </t>
  </si>
  <si>
    <t>PANAMERICANA RAMAL PILAR KM 54,5</t>
  </si>
  <si>
    <t xml:space="preserve">BUENOS AIRES             </t>
  </si>
  <si>
    <t xml:space="preserve">INSCRIPTO       </t>
  </si>
  <si>
    <t xml:space="preserve">30-70759268-7 </t>
  </si>
  <si>
    <t xml:space="preserve">A.P. Y ME. Z.                 </t>
  </si>
  <si>
    <t>ROMULO NOYA 868 1O PISO OF 11</t>
  </si>
  <si>
    <t xml:space="preserve">ZARATE   </t>
  </si>
  <si>
    <t xml:space="preserve">EXENTO          </t>
  </si>
  <si>
    <t xml:space="preserve">30-70902414-7 </t>
  </si>
  <si>
    <t xml:space="preserve">ABALO NORMA BEATRIZ           </t>
  </si>
  <si>
    <t xml:space="preserve">TAPIA DE CRUZ 1569       </t>
  </si>
  <si>
    <t xml:space="preserve">27-10549204-4 </t>
  </si>
  <si>
    <t xml:space="preserve">AV GAONA 3320-34        </t>
  </si>
  <si>
    <t xml:space="preserve">CABA                 </t>
  </si>
  <si>
    <t xml:space="preserve">ACCOR ARGENTINA S.A.          </t>
  </si>
  <si>
    <t xml:space="preserve">AV DIAZ VELEZ 4367      </t>
  </si>
  <si>
    <t>CABA</t>
  </si>
  <si>
    <t xml:space="preserve">30-62360867-7 </t>
  </si>
  <si>
    <t xml:space="preserve">RUTA 205 KM 435         </t>
  </si>
  <si>
    <t>SPEGAZINI</t>
  </si>
  <si>
    <t xml:space="preserve">30-69553657-3 </t>
  </si>
  <si>
    <t xml:space="preserve">ACIMA R S.A.                  </t>
  </si>
  <si>
    <t xml:space="preserve">CALLE 505 ROSARIO       </t>
  </si>
  <si>
    <t xml:space="preserve">SANTA FE                 </t>
  </si>
  <si>
    <t xml:space="preserve">30-61447666-0 </t>
  </si>
  <si>
    <t xml:space="preserve">AV F AMEGHINO 1059     </t>
  </si>
  <si>
    <t xml:space="preserve">ADISOL SAIC                   </t>
  </si>
  <si>
    <t xml:space="preserve">JACINTO ROSSO 627        </t>
  </si>
  <si>
    <t xml:space="preserve">TEMPERLEY                </t>
  </si>
  <si>
    <t xml:space="preserve">30-62588522-8 </t>
  </si>
  <si>
    <t xml:space="preserve">ADOLFO GUERRICO SA            </t>
  </si>
  <si>
    <t xml:space="preserve">AGRO PLAN S.A. (LAMBERT)      </t>
  </si>
  <si>
    <t xml:space="preserve">GUALEGUAYCHU 745 </t>
  </si>
  <si>
    <t xml:space="preserve">ENTRE RIOS              </t>
  </si>
  <si>
    <t xml:space="preserve">30-70866046-5 </t>
  </si>
  <si>
    <t xml:space="preserve">AGROAR MAQUINAS AGRICOLAS SA  </t>
  </si>
  <si>
    <t xml:space="preserve">CASTELLI S/N PARQUE IND  </t>
  </si>
  <si>
    <t xml:space="preserve">SAN VICENTE              </t>
  </si>
  <si>
    <t xml:space="preserve">30-65180206-3 </t>
  </si>
  <si>
    <t xml:space="preserve">AGROFERTIL                    </t>
  </si>
  <si>
    <t xml:space="preserve">COL OESTE KM 5120       </t>
  </si>
  <si>
    <t>ESCOBAR</t>
  </si>
  <si>
    <t xml:space="preserve">20-08392948-1 </t>
  </si>
  <si>
    <t xml:space="preserve">AGRONOMIA BUENA SIEMBRA SA    </t>
  </si>
  <si>
    <t xml:space="preserve">PERU 65                  </t>
  </si>
  <si>
    <t xml:space="preserve">ZARATE                   </t>
  </si>
  <si>
    <t xml:space="preserve">30-71241832-6   </t>
  </si>
  <si>
    <t xml:space="preserve">AGUAS DE ZARATE SAPEM         </t>
  </si>
  <si>
    <t xml:space="preserve">AMEGHINO 937     </t>
  </si>
  <si>
    <t xml:space="preserve">30-70960628-6   </t>
  </si>
  <si>
    <t xml:space="preserve">AGUIAR MARIO ROSARIO          </t>
  </si>
  <si>
    <t xml:space="preserve">AV GALLESIO 1470        </t>
  </si>
  <si>
    <t xml:space="preserve">20-14559546-1 </t>
  </si>
  <si>
    <t xml:space="preserve">AGUSTIN TARELA                </t>
  </si>
  <si>
    <t xml:space="preserve">NUEVA YORK 3393 2O F    </t>
  </si>
  <si>
    <t>RESP.MONOTRIBUTO</t>
  </si>
  <si>
    <t xml:space="preserve">23-22675601-9 </t>
  </si>
  <si>
    <t xml:space="preserve">AISLA ZAR S.A.                </t>
  </si>
  <si>
    <t xml:space="preserve">ANT ARGENTINA 2535     </t>
  </si>
  <si>
    <t>ALBERTO CARLOS GUIDI- AGROMECA</t>
  </si>
  <si>
    <t xml:space="preserve">RUTA 9 KM 99,800   </t>
  </si>
  <si>
    <t xml:space="preserve">20-04731345-8 </t>
  </si>
  <si>
    <t xml:space="preserve">ALBERTO MALITO &amp; CIA. S.R.L.  </t>
  </si>
  <si>
    <t>AV HIPOLITO IRIGOYEN 1050</t>
  </si>
  <si>
    <t xml:space="preserve">AVELLANEDA       </t>
  </si>
  <si>
    <t xml:space="preserve">30-70725855-8 </t>
  </si>
  <si>
    <t>ALBERTO Y LUIS FRANCESCHINI SH</t>
  </si>
  <si>
    <t xml:space="preserve">GRAL PAZ 1055   </t>
  </si>
  <si>
    <t xml:space="preserve">30-63220384-1 </t>
  </si>
  <si>
    <t xml:space="preserve">AL-BI-DEN - NO USAR           </t>
  </si>
  <si>
    <t xml:space="preserve">GUIRALDE 25 - BO SAN JACINTO     </t>
  </si>
  <si>
    <t xml:space="preserve">20-08296780-0 </t>
  </si>
  <si>
    <t xml:space="preserve">ALCON JOSE- TRANSPORTE        </t>
  </si>
  <si>
    <t xml:space="preserve">AV SAN LORENZO 1150    </t>
  </si>
  <si>
    <t xml:space="preserve">LINCOLN </t>
  </si>
  <si>
    <t xml:space="preserve">20-18552187-8 </t>
  </si>
  <si>
    <t xml:space="preserve">ALFONSINA MARIANA CABEZAS     </t>
  </si>
  <si>
    <t xml:space="preserve">ALBERTI 322              </t>
  </si>
  <si>
    <t xml:space="preserve">27-28672320-4 </t>
  </si>
  <si>
    <t xml:space="preserve">ALFREDO GENTILI Y CIA. S.A.   </t>
  </si>
  <si>
    <t xml:space="preserve">BUENOS AIRES 3440       </t>
  </si>
  <si>
    <t>CASILDA</t>
  </si>
  <si>
    <t xml:space="preserve">30-50231944-9 </t>
  </si>
  <si>
    <t xml:space="preserve">ALLOIS S.R.L MAXIIMPORT       </t>
  </si>
  <si>
    <t xml:space="preserve">AV GAONA 3510           </t>
  </si>
  <si>
    <t xml:space="preserve">30-70953321-1 </t>
  </si>
  <si>
    <t xml:space="preserve">ALMACEN PARA MASCOTAS         </t>
  </si>
  <si>
    <t xml:space="preserve">ALEM 1470                </t>
  </si>
  <si>
    <t xml:space="preserve">27-24478572-2 </t>
  </si>
  <si>
    <t xml:space="preserve">ALTO IMPACTO DE BECCARIA ELSA </t>
  </si>
  <si>
    <t xml:space="preserve">MARCOS SASTRE 1449       </t>
  </si>
  <si>
    <t xml:space="preserve">27-14559261-0 </t>
  </si>
  <si>
    <t xml:space="preserve">ALTRANSP DE JORGE ALVAREZ     </t>
  </si>
  <si>
    <t xml:space="preserve">ALSINA 51 </t>
  </si>
  <si>
    <t>CAMPANA</t>
  </si>
  <si>
    <t xml:space="preserve">20-25731543-7 </t>
  </si>
  <si>
    <t xml:space="preserve">ALUMAK SA                     </t>
  </si>
  <si>
    <t xml:space="preserve">AV ZEBALLOS 1879         </t>
  </si>
  <si>
    <t xml:space="preserve">MORON                    </t>
  </si>
  <si>
    <t xml:space="preserve">30-69457805-1 </t>
  </si>
  <si>
    <t xml:space="preserve">ALUTECNIC S.A.                </t>
  </si>
  <si>
    <t xml:space="preserve">HEREDIA 862              </t>
  </si>
  <si>
    <t xml:space="preserve">CAPITAL FEDERAL          </t>
  </si>
  <si>
    <t xml:space="preserve">30-71067487-2 </t>
  </si>
  <si>
    <t>ALVAREZ MAXIMILIANO-EL BABIANO</t>
  </si>
  <si>
    <t xml:space="preserve">ROCA 242          </t>
  </si>
  <si>
    <t xml:space="preserve">20-27073203-9 </t>
  </si>
  <si>
    <t xml:space="preserve">ALYDES M. ALVAREZ Y L. RAFFO  </t>
  </si>
  <si>
    <t xml:space="preserve">30-68677109-8 </t>
  </si>
  <si>
    <t xml:space="preserve">AMARELLE GONZALO MATIAS       </t>
  </si>
  <si>
    <t xml:space="preserve">M PEDRAZA 1357          </t>
  </si>
  <si>
    <t xml:space="preserve">VILLA BOSCH 3 DE FEBRERO </t>
  </si>
  <si>
    <t xml:space="preserve">20-27452797-9 </t>
  </si>
  <si>
    <t xml:space="preserve">AMAYA JUAN ROBERTO            </t>
  </si>
  <si>
    <t xml:space="preserve">3 DE FEBRERO 1925        </t>
  </si>
  <si>
    <t xml:space="preserve">SAN FERNANDO             </t>
  </si>
  <si>
    <t xml:space="preserve">20-14755657-9 </t>
  </si>
  <si>
    <t xml:space="preserve">AMERICAN TAPE S.R.L.          </t>
  </si>
  <si>
    <t xml:space="preserve">AV JUJUY 240            </t>
  </si>
  <si>
    <t xml:space="preserve">AMIGO HNOS. S.R.L.            </t>
  </si>
  <si>
    <t xml:space="preserve">ROCA 484          </t>
  </si>
  <si>
    <t xml:space="preserve">AMITRANO HUGO - TRANSPORTE    </t>
  </si>
  <si>
    <t xml:space="preserve">LAVALLE Y RUTA 12 849   </t>
  </si>
  <si>
    <t xml:space="preserve">CAMPANA BUENOS AIRES    </t>
  </si>
  <si>
    <t xml:space="preserve">20-05252127-1 </t>
  </si>
  <si>
    <t xml:space="preserve">ANCORT SRL                    </t>
  </si>
  <si>
    <t xml:space="preserve">SAN MARTIN 563    </t>
  </si>
  <si>
    <t xml:space="preserve">30-68682235-0 </t>
  </si>
  <si>
    <t xml:space="preserve">ANDRES MORALES                </t>
  </si>
  <si>
    <t xml:space="preserve">ALTE BROWN 356  </t>
  </si>
  <si>
    <t xml:space="preserve">20-18303699-9 </t>
  </si>
  <si>
    <t xml:space="preserve">ANZURES SRL                   </t>
  </si>
  <si>
    <t xml:space="preserve">SARANDI 303              </t>
  </si>
  <si>
    <t xml:space="preserve">30-71163634-6 </t>
  </si>
  <si>
    <t xml:space="preserve">APLICACIONES SOLIMAR S.R.L.   </t>
  </si>
  <si>
    <t xml:space="preserve">ESTRADA 497      </t>
  </si>
  <si>
    <t xml:space="preserve">30-70783438-9 </t>
  </si>
  <si>
    <t xml:space="preserve">ARCAT S.A.                    </t>
  </si>
  <si>
    <t xml:space="preserve">ALTE BROWN 372  </t>
  </si>
  <si>
    <t>ARDISSONE VICENTE - MARTILLERO</t>
  </si>
  <si>
    <t xml:space="preserve">JUAN B JUSTO 2624      </t>
  </si>
  <si>
    <t xml:space="preserve">PERGAMINO        </t>
  </si>
  <si>
    <t xml:space="preserve">20-08427161-7 </t>
  </si>
  <si>
    <t xml:space="preserve">ARENA HNOS. S.R.L.            </t>
  </si>
  <si>
    <t xml:space="preserve">AV SANTA ANA 4079      </t>
  </si>
  <si>
    <t>BARRIO LAS PALMAS</t>
  </si>
  <si>
    <t>CORDOBA</t>
  </si>
  <si>
    <t xml:space="preserve">ARENAS SORUCO VALERIO         </t>
  </si>
  <si>
    <t xml:space="preserve">117 165                  </t>
  </si>
  <si>
    <t xml:space="preserve">23-18874794-9 </t>
  </si>
  <si>
    <t xml:space="preserve">ARENERA VENDAVAL S.A.         </t>
  </si>
  <si>
    <t xml:space="preserve">CALLE 14 S/NO DARSENA F </t>
  </si>
  <si>
    <t xml:space="preserve">AREX ARGENTINA SRL            </t>
  </si>
  <si>
    <t xml:space="preserve">PASTEUR 2717 </t>
  </si>
  <si>
    <t>DON TORCUARTO</t>
  </si>
  <si>
    <t xml:space="preserve">30-66330242-2 </t>
  </si>
  <si>
    <t xml:space="preserve">ARGITAL S.R.L.                </t>
  </si>
  <si>
    <t xml:space="preserve">AV MITRE 1745   </t>
  </si>
  <si>
    <t xml:space="preserve">30-68676632-9 </t>
  </si>
  <si>
    <t xml:space="preserve">ARIAS NORBERTO- E.E.SAN PEDRO </t>
  </si>
  <si>
    <t xml:space="preserve">RUIZ MORENO 1860         </t>
  </si>
  <si>
    <t xml:space="preserve">SAN PEDRO                </t>
  </si>
  <si>
    <t xml:space="preserve">20-14722221-2 </t>
  </si>
  <si>
    <t xml:space="preserve">ARIDOS MOSCONI S.R.L.         </t>
  </si>
  <si>
    <t xml:space="preserve">CAMPANA          </t>
  </si>
  <si>
    <t xml:space="preserve">ARIRRO S.R.L.                 </t>
  </si>
  <si>
    <t xml:space="preserve">AV NAZCA 2580 DTO A   </t>
  </si>
  <si>
    <t xml:space="preserve">30-70994701-6 </t>
  </si>
  <si>
    <t xml:space="preserve">ARMAFERRO S.A.                </t>
  </si>
  <si>
    <t xml:space="preserve">HIPOLITO YRIGOYEN 668   </t>
  </si>
  <si>
    <t xml:space="preserve">CIUDADELA        </t>
  </si>
  <si>
    <t xml:space="preserve">30-70703046-8 </t>
  </si>
  <si>
    <t xml:space="preserve">ARMY TECHNOLOGIES S.A.        </t>
  </si>
  <si>
    <t xml:space="preserve">ESTOMBA 645 CABA    </t>
  </si>
  <si>
    <t xml:space="preserve">30-70958526-2 </t>
  </si>
  <si>
    <t xml:space="preserve">ARONA VERONICA ORTOPEDIA      </t>
  </si>
  <si>
    <t xml:space="preserve">ROMULO NOYA 1020         </t>
  </si>
  <si>
    <t xml:space="preserve">27-22137741-4 </t>
  </si>
  <si>
    <t xml:space="preserve">ARPAJOU MIGUEL ALBERTO        </t>
  </si>
  <si>
    <t xml:space="preserve">JUJUY 3367 DTO 3         </t>
  </si>
  <si>
    <t xml:space="preserve">ROSARIO                  </t>
  </si>
  <si>
    <t xml:space="preserve">20-20904010-8 </t>
  </si>
  <si>
    <t xml:space="preserve">ARRIGHI SUSANA BEATRIZ        </t>
  </si>
  <si>
    <t xml:space="preserve">19 DE MARZO 365          </t>
  </si>
  <si>
    <t xml:space="preserve">27-06173135-6 </t>
  </si>
  <si>
    <t xml:space="preserve">ARROYO S.A.                   </t>
  </si>
  <si>
    <t xml:space="preserve">RUTA 12 KM 79,0 </t>
  </si>
  <si>
    <t xml:space="preserve">30-70819821-4 </t>
  </si>
  <si>
    <t xml:space="preserve">ASBESTOS S.A.                 </t>
  </si>
  <si>
    <t xml:space="preserve">ASEGURADORA DE CRED. Y GARANT </t>
  </si>
  <si>
    <t>MAIPU 71 4 PISO</t>
  </si>
  <si>
    <t xml:space="preserve">30-50006447-8 </t>
  </si>
  <si>
    <t>ASOCIACION COOP HOSPITAL ZARAT</t>
  </si>
  <si>
    <t xml:space="preserve">FELIX PAGOLA 1502        </t>
  </si>
  <si>
    <t xml:space="preserve">30-66765330-0  </t>
  </si>
  <si>
    <t xml:space="preserve">ASOCIACION DE BOMBEROS        </t>
  </si>
  <si>
    <t xml:space="preserve">RIVADAVIA 1178           </t>
  </si>
  <si>
    <t xml:space="preserve">30-65972139-9 </t>
  </si>
  <si>
    <t xml:space="preserve">ASOCIACION MEDICA NORTE       </t>
  </si>
  <si>
    <t xml:space="preserve">AV CAZON 349            </t>
  </si>
  <si>
    <t xml:space="preserve">TIGRE                    </t>
  </si>
  <si>
    <t xml:space="preserve">30-55354541-9   </t>
  </si>
  <si>
    <t xml:space="preserve">ASPEN MOTORS S.A.             </t>
  </si>
  <si>
    <t xml:space="preserve">RUTA 9 KM 73,200       </t>
  </si>
  <si>
    <t xml:space="preserve">30-71212187-0 </t>
  </si>
  <si>
    <t xml:space="preserve">ATELCO -PIGNATARO CARLOS      </t>
  </si>
  <si>
    <t xml:space="preserve">ATQ S.R.L.                    </t>
  </si>
  <si>
    <t xml:space="preserve">SANTIAGO PLAUL 2245/53   </t>
  </si>
  <si>
    <t xml:space="preserve">LANUS                    </t>
  </si>
  <si>
    <t xml:space="preserve">30-68817466-6 </t>
  </si>
  <si>
    <t xml:space="preserve">ATRIM ARGENTINA SA            </t>
  </si>
  <si>
    <t xml:space="preserve">JOSE HERNANDEZ 935       </t>
  </si>
  <si>
    <t xml:space="preserve">30-70946638-7 </t>
  </si>
  <si>
    <t xml:space="preserve">AURELIA S.A.C.I.F.            </t>
  </si>
  <si>
    <t>RUTA PANAMERICANA COLECTO</t>
  </si>
  <si>
    <t>TORTUGUITAS</t>
  </si>
  <si>
    <t xml:space="preserve">30-51681359-4 </t>
  </si>
  <si>
    <t xml:space="preserve">AUTOELEVADORES YALE S.A.      </t>
  </si>
  <si>
    <t>SAN LORENZO 4732</t>
  </si>
  <si>
    <t xml:space="preserve">MUNRO </t>
  </si>
  <si>
    <t xml:space="preserve">AUTOMOTORES RUSSONIELLO S.A.  </t>
  </si>
  <si>
    <t>AV SANTA FE 999</t>
  </si>
  <si>
    <t>ACASSUSO</t>
  </si>
  <si>
    <t xml:space="preserve">30-71049270-7 </t>
  </si>
  <si>
    <t xml:space="preserve">AUTOPARTES AUTOTRUCK S.A.     </t>
  </si>
  <si>
    <t xml:space="preserve">MARIO BERNASCONI 2252    </t>
  </si>
  <si>
    <t xml:space="preserve">30-70868343-0 </t>
  </si>
  <si>
    <t xml:space="preserve">AUXI TRANS S.A.               </t>
  </si>
  <si>
    <t xml:space="preserve">AV RIVADAVIA 1252      </t>
  </si>
  <si>
    <t xml:space="preserve">33-68150699-9 </t>
  </si>
  <si>
    <t>AVANZAR SISTEMAS- PARISI PABLO</t>
  </si>
  <si>
    <t xml:space="preserve">JUSTA  526    </t>
  </si>
  <si>
    <t>AVENIDA VIAL DE GENOVESI PABLO</t>
  </si>
  <si>
    <t xml:space="preserve">A COLOMBO 1934         </t>
  </si>
  <si>
    <t xml:space="preserve">JOSE INGENIEROS  </t>
  </si>
  <si>
    <t xml:space="preserve">20-24529481-7 </t>
  </si>
  <si>
    <t xml:space="preserve">AVICOLA DE BENMERGUI MARCELA  </t>
  </si>
  <si>
    <t xml:space="preserve">JUSTA  1325  </t>
  </si>
  <si>
    <t xml:space="preserve">27-10896132-0 </t>
  </si>
  <si>
    <t xml:space="preserve">AXION ENERGY ARGENTINA S.A.   </t>
  </si>
  <si>
    <t xml:space="preserve">DELLA PAOLERA CARLOS 265 </t>
  </si>
  <si>
    <t xml:space="preserve">30-50691900-9 </t>
  </si>
  <si>
    <t xml:space="preserve">AYM S.H DE SAMMARTIN ANTONELA </t>
  </si>
  <si>
    <t xml:space="preserve">DORREGO 850      </t>
  </si>
  <si>
    <t xml:space="preserve">30-71138798-2 </t>
  </si>
  <si>
    <t xml:space="preserve">BA DA DE JAE MIN LEE          </t>
  </si>
  <si>
    <t xml:space="preserve">JUSTA  202           </t>
  </si>
  <si>
    <t xml:space="preserve">20-94031519-1 </t>
  </si>
  <si>
    <t xml:space="preserve">BAIDAT- FROHMANN RICARDO      </t>
  </si>
  <si>
    <t>JURAMENTO 2089 P 6 D 609</t>
  </si>
  <si>
    <t xml:space="preserve">BANCO COMAFI S.A.             </t>
  </si>
  <si>
    <t xml:space="preserve">ROQUE SAENZ PENA 660     </t>
  </si>
  <si>
    <t xml:space="preserve">30-60473101-8 </t>
  </si>
  <si>
    <t xml:space="preserve">BANCO PATAGONIA S.A.          </t>
  </si>
  <si>
    <t>TTE GRAL JUAN PERON 500</t>
  </si>
  <si>
    <t xml:space="preserve">30-50000661-3 </t>
  </si>
  <si>
    <t>BANDERA HERMES- SERVICIOS INDU</t>
  </si>
  <si>
    <t xml:space="preserve">PELEGRINI 628 </t>
  </si>
  <si>
    <t>SAN NICOLAS</t>
  </si>
  <si>
    <t xml:space="preserve">20-04676497-9 </t>
  </si>
  <si>
    <t xml:space="preserve">BANENCIO DANIEL FABIAN        </t>
  </si>
  <si>
    <t xml:space="preserve">BELISARIO ROLDAN 915    </t>
  </si>
  <si>
    <t xml:space="preserve">20-17409831-0 </t>
  </si>
  <si>
    <t xml:space="preserve">BARBERO HERMANOS S.A.         </t>
  </si>
  <si>
    <t>RUTA 41 KM 265</t>
  </si>
  <si>
    <t xml:space="preserve">GENERAL BELGRANO </t>
  </si>
  <si>
    <t xml:space="preserve">30-66507435-4 </t>
  </si>
  <si>
    <t xml:space="preserve">BARIVIAL S.R.L.               </t>
  </si>
  <si>
    <t xml:space="preserve">IZETTA 2024              </t>
  </si>
  <si>
    <t xml:space="preserve">30-71443706-9 </t>
  </si>
  <si>
    <t xml:space="preserve">BARRETO CAMILO AGUSTIN        </t>
  </si>
  <si>
    <t xml:space="preserve">FRANCISCO MOLLO 1817     </t>
  </si>
  <si>
    <t xml:space="preserve">20-33740041-9 </t>
  </si>
  <si>
    <t xml:space="preserve">BAS SERVICIOS EMPRESARIOS SRL </t>
  </si>
  <si>
    <t xml:space="preserve">RAWSON 17 PISO 3 DTO B   </t>
  </si>
  <si>
    <t xml:space="preserve">30-69839654-3   </t>
  </si>
  <si>
    <t xml:space="preserve">BASANI S.A.                   </t>
  </si>
  <si>
    <t xml:space="preserve">BASSI GONZALEZ FUMIGACIONES   </t>
  </si>
  <si>
    <t xml:space="preserve">INDEPENDENCIA 1569       </t>
  </si>
  <si>
    <t xml:space="preserve">20-27318473-3 </t>
  </si>
  <si>
    <t xml:space="preserve">BATERIA TRABA- LOPEZ OSCAR    </t>
  </si>
  <si>
    <t xml:space="preserve">AV GALLESIO 481         </t>
  </si>
  <si>
    <t xml:space="preserve">BAYA CASAL FRANCISCO MARI     </t>
  </si>
  <si>
    <t xml:space="preserve">CORDOBA 750              </t>
  </si>
  <si>
    <t xml:space="preserve">BELLA VISTA              </t>
  </si>
  <si>
    <t xml:space="preserve">20-33434455-0 </t>
  </si>
  <si>
    <t xml:space="preserve">BAZARI S.R.L.                 </t>
  </si>
  <si>
    <t>ANTARTIDA ARGENTINA 2535</t>
  </si>
  <si>
    <t xml:space="preserve">30-71110233-3 </t>
  </si>
  <si>
    <t xml:space="preserve">BENITEZ CLAUDIO - ANDAMEB.    </t>
  </si>
  <si>
    <t xml:space="preserve">SAN IGNACIO 1765         </t>
  </si>
  <si>
    <t xml:space="preserve">JOSE INGENIEROS          </t>
  </si>
  <si>
    <t xml:space="preserve">20-30352789-4 </t>
  </si>
  <si>
    <t xml:space="preserve">BERGER S.A. (REWALSER)        </t>
  </si>
  <si>
    <t xml:space="preserve">8 DE JUNIO ENTRE 36 Y 37 </t>
  </si>
  <si>
    <t>OEST NORT C  DEL URUGUAY</t>
  </si>
  <si>
    <t xml:space="preserve">ENTRE RIOS.              </t>
  </si>
  <si>
    <t xml:space="preserve">30-62042082-0 </t>
  </si>
  <si>
    <t xml:space="preserve">BERKLEY INTERNACIONAL SEGUROS </t>
  </si>
  <si>
    <t>AV CARLOS PELEGRINI 1023</t>
  </si>
  <si>
    <t xml:space="preserve">30-50003578-8 </t>
  </si>
  <si>
    <t xml:space="preserve">BERNACHEA GUSTAVO ARIEL       </t>
  </si>
  <si>
    <t xml:space="preserve">BERUTTI 1101      </t>
  </si>
  <si>
    <t>BEVILACQUA ADALBERTO R. TRANSP</t>
  </si>
  <si>
    <t xml:space="preserve">OLAVARRRIETA 413 </t>
  </si>
  <si>
    <t xml:space="preserve">23-11315160-9 </t>
  </si>
  <si>
    <t xml:space="preserve">BIDESA OBRAS VIALES Y VIALES  </t>
  </si>
  <si>
    <t xml:space="preserve">TTE FELIX BOURQUET 579  </t>
  </si>
  <si>
    <t xml:space="preserve">LUIS GUILLON   </t>
  </si>
  <si>
    <t xml:space="preserve">30-60749251-0 </t>
  </si>
  <si>
    <t xml:space="preserve">BIGGER DE CLOVER TEAM S.A.    </t>
  </si>
  <si>
    <t xml:space="preserve">ACCESO OESTE- COLECTORA  </t>
  </si>
  <si>
    <t xml:space="preserve">MORENO </t>
  </si>
  <si>
    <t xml:space="preserve">33-70990144-9 </t>
  </si>
  <si>
    <t xml:space="preserve">BIOX INFORMATICA S.R.L.       </t>
  </si>
  <si>
    <t xml:space="preserve">CASTELLI 386    </t>
  </si>
  <si>
    <t xml:space="preserve">30-70843272-1 </t>
  </si>
  <si>
    <t xml:space="preserve">BISI &amp; THOMAS S.A.I.C.I. Y A. </t>
  </si>
  <si>
    <t xml:space="preserve">PELLEGRINI 1465        </t>
  </si>
  <si>
    <t xml:space="preserve">30-53855572-6 </t>
  </si>
  <si>
    <t xml:space="preserve">BISTRO S.A.                   </t>
  </si>
  <si>
    <t xml:space="preserve">AV 12 DE OCTUBRE 3561    </t>
  </si>
  <si>
    <t xml:space="preserve">PILAR                    </t>
  </si>
  <si>
    <t xml:space="preserve">30-69765269-4 </t>
  </si>
  <si>
    <t xml:space="preserve">BJF TRANSPORTES S.A.          </t>
  </si>
  <si>
    <t>INDEPENDENCIA 1036</t>
  </si>
  <si>
    <t xml:space="preserve">30-71263910-1 </t>
  </si>
  <si>
    <t xml:space="preserve">BLADIMIRSQUY DAVID FABIO      </t>
  </si>
  <si>
    <t xml:space="preserve">MIGUELETES 1148 P4DA     </t>
  </si>
  <si>
    <t xml:space="preserve">CABA                     </t>
  </si>
  <si>
    <t xml:space="preserve">20-18332123-5 </t>
  </si>
  <si>
    <t xml:space="preserve">BONESI MARIO                  </t>
  </si>
  <si>
    <t xml:space="preserve">R ROJAS 443     </t>
  </si>
  <si>
    <t xml:space="preserve">20-14249130-4 </t>
  </si>
  <si>
    <t xml:space="preserve">BONESI S.A.                   </t>
  </si>
  <si>
    <t xml:space="preserve">JUSTA  732    </t>
  </si>
  <si>
    <t xml:space="preserve">BONIN NORBERTO OSCAR          </t>
  </si>
  <si>
    <t xml:space="preserve">ANDRADES 364 </t>
  </si>
  <si>
    <t xml:space="preserve">20-16323653-3 </t>
  </si>
  <si>
    <t xml:space="preserve">BORAPOINT S.A.- TRANSPORTES   </t>
  </si>
  <si>
    <t xml:space="preserve">SAN MARTIN 235 </t>
  </si>
  <si>
    <t>LOS CARDALES</t>
  </si>
  <si>
    <t xml:space="preserve">30-70741600-5 </t>
  </si>
  <si>
    <t xml:space="preserve">BOSI ENEA Y MARINO            </t>
  </si>
  <si>
    <t xml:space="preserve">CALLE 94 NO 4477        </t>
  </si>
  <si>
    <t xml:space="preserve">SAN MARTIN       </t>
  </si>
  <si>
    <t xml:space="preserve">30-55903101-8 </t>
  </si>
  <si>
    <t xml:space="preserve">BOUNOUS HERMANOS S.A.I.M      </t>
  </si>
  <si>
    <t xml:space="preserve">AV JORGE NEWBERY 444     </t>
  </si>
  <si>
    <t xml:space="preserve">30-50072411-7 </t>
  </si>
  <si>
    <t xml:space="preserve">BOUNOUS MAQUINARIAS SA        </t>
  </si>
  <si>
    <t xml:space="preserve">JORGE NEWBERY 460        </t>
  </si>
  <si>
    <t xml:space="preserve">30-70745889-1 </t>
  </si>
  <si>
    <t xml:space="preserve">BOZZI GUSTAVO LEONARDO        </t>
  </si>
  <si>
    <t xml:space="preserve">BRANDANA JERONIMO NICOLAS     </t>
  </si>
  <si>
    <t xml:space="preserve">AV CIRCUNVALACION 1115 </t>
  </si>
  <si>
    <t xml:space="preserve">JUNIN            </t>
  </si>
  <si>
    <t xml:space="preserve">BRANDLA S.A.                  </t>
  </si>
  <si>
    <t xml:space="preserve">BRANDSEN NO38            </t>
  </si>
  <si>
    <t xml:space="preserve">30-70833487-8 </t>
  </si>
  <si>
    <t xml:space="preserve">BRAWLEY SA                    </t>
  </si>
  <si>
    <t xml:space="preserve">AV YRIGOYEN 16264        </t>
  </si>
  <si>
    <t xml:space="preserve">PARQUE IND BURZACO       </t>
  </si>
  <si>
    <t xml:space="preserve">30-70760431-6 </t>
  </si>
  <si>
    <t xml:space="preserve">BREA HORACIO Y POGGIO NICOLAS </t>
  </si>
  <si>
    <t xml:space="preserve">AVDA LAVALLE 1490      </t>
  </si>
  <si>
    <t xml:space="preserve">30-71055710-8 </t>
  </si>
  <si>
    <t xml:space="preserve">BRINGERI DE BRINGERI OSCAR G. </t>
  </si>
  <si>
    <t xml:space="preserve">JUSTA  124           </t>
  </si>
  <si>
    <t xml:space="preserve">20-04972121-9 </t>
  </si>
  <si>
    <t xml:space="preserve">BRINGERI DE HOGAR TOTAL S.A.  </t>
  </si>
  <si>
    <t xml:space="preserve">JUSTA  624    </t>
  </si>
  <si>
    <t xml:space="preserve">BUENOS AIRES DATA S.R.L.      </t>
  </si>
  <si>
    <t>AV JURAMENTO 2089 PISO 6</t>
  </si>
  <si>
    <t xml:space="preserve">30-71191680-2 </t>
  </si>
  <si>
    <t>BUFFET CLUB IND-PETRONI HERNAN</t>
  </si>
  <si>
    <t xml:space="preserve">AV MITRO 560           </t>
  </si>
  <si>
    <t xml:space="preserve">CAPITAN SARMIENTO </t>
  </si>
  <si>
    <t xml:space="preserve">20-24956257-3 </t>
  </si>
  <si>
    <t xml:space="preserve">BUKLOS S.R.L.                 </t>
  </si>
  <si>
    <t xml:space="preserve">NUNEZ 3661 PISO 11 B    </t>
  </si>
  <si>
    <t xml:space="preserve">BULL VIAL S.R.L.              </t>
  </si>
  <si>
    <t xml:space="preserve">E ECHEVERRIA    </t>
  </si>
  <si>
    <t>BULONERA DAYGO DE RIO NOEMI S.</t>
  </si>
  <si>
    <t xml:space="preserve">SAN MARTIN 1008 </t>
  </si>
  <si>
    <t xml:space="preserve">27-10392410-9 </t>
  </si>
  <si>
    <t>BULONERA ZARATE DE GUZMAN OMAR</t>
  </si>
  <si>
    <t xml:space="preserve">SARMIENTO 66     </t>
  </si>
  <si>
    <t xml:space="preserve">20-10082292-0 </t>
  </si>
  <si>
    <t xml:space="preserve">BULONES DE MASPERO JORGE H.   </t>
  </si>
  <si>
    <t xml:space="preserve">SEGUROLA 2362           </t>
  </si>
  <si>
    <t xml:space="preserve">20-04537499-9 </t>
  </si>
  <si>
    <t xml:space="preserve">C.P.C.E.P.B.A.                </t>
  </si>
  <si>
    <t xml:space="preserve">DIAGONAL 74 1463 PISO 5  </t>
  </si>
  <si>
    <t xml:space="preserve">30-53118349-1 </t>
  </si>
  <si>
    <t xml:space="preserve">C.R. SALUD S.C.S.             </t>
  </si>
  <si>
    <t xml:space="preserve">SARMIENTO 540    </t>
  </si>
  <si>
    <t xml:space="preserve">30-70434752-5 </t>
  </si>
  <si>
    <t xml:space="preserve">CABEZAS INGENIERIA Y SERV IND </t>
  </si>
  <si>
    <t xml:space="preserve">58 151                   </t>
  </si>
  <si>
    <t xml:space="preserve">33-70940845-9 </t>
  </si>
  <si>
    <t>CABLETEL DE LIMA VIDEO CABLE S</t>
  </si>
  <si>
    <t xml:space="preserve">GREGORIO QUIRNO 37      </t>
  </si>
  <si>
    <t xml:space="preserve">30-64559292-8 </t>
  </si>
  <si>
    <t xml:space="preserve">CABLEVISION S.A.              </t>
  </si>
  <si>
    <t>CUBA 2370</t>
  </si>
  <si>
    <t xml:space="preserve">30-57365208-4 </t>
  </si>
  <si>
    <t xml:space="preserve">CAIMER LUIS- ALINEACIONES     </t>
  </si>
  <si>
    <t xml:space="preserve">MATHEU Y MARIMON  </t>
  </si>
  <si>
    <t xml:space="preserve">20-16502658-7 </t>
  </si>
  <si>
    <t>CALATAYUD ALFREDO-ELECTRO ROSA</t>
  </si>
  <si>
    <t xml:space="preserve">SAN MARTIN 2150 ROSARIO </t>
  </si>
  <si>
    <t xml:space="preserve">SANTA FE                </t>
  </si>
  <si>
    <t xml:space="preserve">20-06000084-1 </t>
  </si>
  <si>
    <t xml:space="preserve">CALBO ESTEBAN ARNALDO         </t>
  </si>
  <si>
    <t xml:space="preserve">MORENO 1 LOCAL 5         </t>
  </si>
  <si>
    <t xml:space="preserve">LOS CARDALES             </t>
  </si>
  <si>
    <t xml:space="preserve">23-27743280-3 </t>
  </si>
  <si>
    <t xml:space="preserve">CALERA EL OMBU S.A.           </t>
  </si>
  <si>
    <t xml:space="preserve">BDO DE IRIGOYEN 2253    </t>
  </si>
  <si>
    <t xml:space="preserve">BOUOGNE          </t>
  </si>
  <si>
    <t xml:space="preserve">30-70758784-5 </t>
  </si>
  <si>
    <t xml:space="preserve">CALITE S.A.                   </t>
  </si>
  <si>
    <t xml:space="preserve">AV DEL LIBERTADOR 5957  </t>
  </si>
  <si>
    <t xml:space="preserve">30-71536642-4 </t>
  </si>
  <si>
    <t xml:space="preserve">CALZADOS - BLANCA BIANCHI     </t>
  </si>
  <si>
    <t xml:space="preserve">FELIX PAGOLA 901         </t>
  </si>
  <si>
    <t xml:space="preserve">27-05740954-7 </t>
  </si>
  <si>
    <t>CAM SERVICE DE GARAVANO HECTOR</t>
  </si>
  <si>
    <t xml:space="preserve">SAN MARTIN 2167 </t>
  </si>
  <si>
    <t xml:space="preserve">20-16444748-1 </t>
  </si>
  <si>
    <t>CAMIFAS DE BRESCACIN ALEJANDRO</t>
  </si>
  <si>
    <t xml:space="preserve">LAPRIDA 2192     </t>
  </si>
  <si>
    <t xml:space="preserve">20-22739269-0 </t>
  </si>
  <si>
    <t xml:space="preserve">CAMPANA DAMIAN DANIEL- GESTOR </t>
  </si>
  <si>
    <t>AV MARTIN GARCIA 730 4OA</t>
  </si>
  <si>
    <t xml:space="preserve">20-32111440-8 </t>
  </si>
  <si>
    <t xml:space="preserve">CAMPANA DIESEL S.R.L.         </t>
  </si>
  <si>
    <t xml:space="preserve">CONSEJAL YAQUEME 1681   </t>
  </si>
  <si>
    <t xml:space="preserve">30-70951039-4 </t>
  </si>
  <si>
    <t xml:space="preserve">CAMPANA MOTOR S.R.L.          </t>
  </si>
  <si>
    <t xml:space="preserve">RIVADAVIA 1124   </t>
  </si>
  <si>
    <t xml:space="preserve">30-65784095-1 </t>
  </si>
  <si>
    <t xml:space="preserve">CAMPANA RADIADORES Y TANQUES  </t>
  </si>
  <si>
    <t xml:space="preserve">CASTELLI 464     </t>
  </si>
  <si>
    <t xml:space="preserve">20-10107306-9 </t>
  </si>
  <si>
    <t xml:space="preserve">PROV             </t>
  </si>
  <si>
    <t xml:space="preserve">PINTO 1246       </t>
  </si>
  <si>
    <t>CANCOR SH DE  LOPEZ Y FERREIRA</t>
  </si>
  <si>
    <t xml:space="preserve">MITRE 1000 PISO 0 DTO 0  </t>
  </si>
  <si>
    <t xml:space="preserve">30-68683047-7 </t>
  </si>
  <si>
    <t xml:space="preserve">CANOPOL S.R.L.                </t>
  </si>
  <si>
    <t xml:space="preserve">BRANSEN 2479             </t>
  </si>
  <si>
    <t xml:space="preserve">30-57035204-7 </t>
  </si>
  <si>
    <t xml:space="preserve">CANOSIDER S.R.L.              </t>
  </si>
  <si>
    <t xml:space="preserve">CORONEL LEZICA 1768     </t>
  </si>
  <si>
    <t xml:space="preserve">CAPITULO I DE ACUTAIN JULIAN  </t>
  </si>
  <si>
    <t xml:space="preserve">MORENO 371        </t>
  </si>
  <si>
    <t xml:space="preserve">20-28716680-0 </t>
  </si>
  <si>
    <t>CAPITULO I DE ACUTAIN JULIO EN</t>
  </si>
  <si>
    <t xml:space="preserve">MORENO 371       </t>
  </si>
  <si>
    <t xml:space="preserve">20-10896028-1 </t>
  </si>
  <si>
    <t xml:space="preserve">CARABELLI MOTORES SA          </t>
  </si>
  <si>
    <t>RAWSON 758 SA DE GILES</t>
  </si>
  <si>
    <t xml:space="preserve">30-64739034-6 </t>
  </si>
  <si>
    <t>CARFAGNO S.H. DE BERNADO Y DIE</t>
  </si>
  <si>
    <t xml:space="preserve">IRIART 681       </t>
  </si>
  <si>
    <t xml:space="preserve">30-70871150-7 </t>
  </si>
  <si>
    <t>CARGASYTRANSP.JOSE MARTINEZ SA</t>
  </si>
  <si>
    <t xml:space="preserve">MAESTRO VICCO 91 TIGRE </t>
  </si>
  <si>
    <t xml:space="preserve">30-70985064-0 </t>
  </si>
  <si>
    <t xml:space="preserve">CARLISANO JOSE LUIS           </t>
  </si>
  <si>
    <t xml:space="preserve">JOSE MARIA BOSH 1671     </t>
  </si>
  <si>
    <t xml:space="preserve">VILLA BOSCH              </t>
  </si>
  <si>
    <t xml:space="preserve">20-17508582-4 </t>
  </si>
  <si>
    <t xml:space="preserve">CARLOS A. GONZALEZ            </t>
  </si>
  <si>
    <t xml:space="preserve">CAMINO A CAPILLA 1195   </t>
  </si>
  <si>
    <t xml:space="preserve">23-22436193-9 </t>
  </si>
  <si>
    <t xml:space="preserve">CARLOS ALBERTO RESPIGGI       </t>
  </si>
  <si>
    <t xml:space="preserve">A ARGENTINA 2653 </t>
  </si>
  <si>
    <t xml:space="preserve">20-04749766-4 </t>
  </si>
  <si>
    <t xml:space="preserve">CARLOS ALBERTO RICCI          </t>
  </si>
  <si>
    <t xml:space="preserve">PANAMERICANA KM 87,9 Y  </t>
  </si>
  <si>
    <t xml:space="preserve">20-08329293-9 </t>
  </si>
  <si>
    <t xml:space="preserve">CARLOS GUILLERMO PACHER       </t>
  </si>
  <si>
    <t xml:space="preserve">BOLIVAR 1165             </t>
  </si>
  <si>
    <t xml:space="preserve">20-20020267-9 </t>
  </si>
  <si>
    <t xml:space="preserve">RAWSON 2053       </t>
  </si>
  <si>
    <t xml:space="preserve">CARNICERIA EL ABASTO          </t>
  </si>
  <si>
    <t xml:space="preserve">CASTELLI 1212            </t>
  </si>
  <si>
    <t xml:space="preserve">20-31538045-7 </t>
  </si>
  <si>
    <t>CARNICERIA LEO GAYNOR JUAN MAN</t>
  </si>
  <si>
    <t xml:space="preserve">FELIX PAGOLA 1738        </t>
  </si>
  <si>
    <t xml:space="preserve">20257847617   </t>
  </si>
  <si>
    <t xml:space="preserve">CARNICERIA TITO               </t>
  </si>
  <si>
    <t xml:space="preserve">GALLESIO 675             </t>
  </si>
  <si>
    <t xml:space="preserve">20-29286407-9 </t>
  </si>
  <si>
    <t xml:space="preserve">CAROLA DOMECQ                 </t>
  </si>
  <si>
    <t>AVDA LIBERTADOR 46685OA</t>
  </si>
  <si>
    <t xml:space="preserve">27-21750767-2 </t>
  </si>
  <si>
    <t xml:space="preserve">CARREFOUR- INC S.A.           </t>
  </si>
  <si>
    <t xml:space="preserve">AV LAVALLE 1879  </t>
  </si>
  <si>
    <t xml:space="preserve">30-68731043-4 </t>
  </si>
  <si>
    <t>CARROCERIAS RODRIGUEZ S E C PA</t>
  </si>
  <si>
    <t xml:space="preserve">LAVALLE 322 TANDIL     </t>
  </si>
  <si>
    <t xml:space="preserve">30-56592948-4 </t>
  </si>
  <si>
    <t xml:space="preserve">CARVAN PREMIUM SRL            </t>
  </si>
  <si>
    <t xml:space="preserve">ANT ARGENTINA 2355       </t>
  </si>
  <si>
    <t xml:space="preserve">30-71500197-3 </t>
  </si>
  <si>
    <t xml:space="preserve">CASA CUCA                     </t>
  </si>
  <si>
    <t xml:space="preserve">MATHEU 953               </t>
  </si>
  <si>
    <t xml:space="preserve">20-27743121-2 </t>
  </si>
  <si>
    <t xml:space="preserve">CASA EDUARDO -MC NALLY Y CIA  </t>
  </si>
  <si>
    <t xml:space="preserve">CASA ELICEIRY S.A.            </t>
  </si>
  <si>
    <t>RUTA 2 KM 182 CASTELLI</t>
  </si>
  <si>
    <t>CASTELLI</t>
  </si>
  <si>
    <t xml:space="preserve">30-70861333-5 </t>
  </si>
  <si>
    <t xml:space="preserve">CASA FIRPO NO USAR            </t>
  </si>
  <si>
    <t xml:space="preserve">RIVADAVIA 1399    </t>
  </si>
  <si>
    <t xml:space="preserve">20-17136302-1 </t>
  </si>
  <si>
    <t xml:space="preserve">CASA MADERAS BORDENAVE RAUL L </t>
  </si>
  <si>
    <t xml:space="preserve">LAVALLE 1539             </t>
  </si>
  <si>
    <t xml:space="preserve">20-12444965-1   </t>
  </si>
  <si>
    <t xml:space="preserve">CASA MIOTTO HNOS              </t>
  </si>
  <si>
    <t xml:space="preserve">VIAMONTE Y RUTA 9        </t>
  </si>
  <si>
    <t xml:space="preserve">27-18318356-2 </t>
  </si>
  <si>
    <t xml:space="preserve">CASA MOLPAS DE MOLINA ROBERTO </t>
  </si>
  <si>
    <t xml:space="preserve">JUSTA  LIMA 688    </t>
  </si>
  <si>
    <t xml:space="preserve">E CARRIEGO 230   </t>
  </si>
  <si>
    <t xml:space="preserve">BUENOS AIRES            </t>
  </si>
  <si>
    <t xml:space="preserve">CASATORIO SA                  </t>
  </si>
  <si>
    <t xml:space="preserve">CASEY CARLOS DANIEL           </t>
  </si>
  <si>
    <t xml:space="preserve">LAVALLE 295              </t>
  </si>
  <si>
    <t xml:space="preserve">20-22137336-8 </t>
  </si>
  <si>
    <t xml:space="preserve">CASTRO NEUM. DE YAHCHAN NELLY </t>
  </si>
  <si>
    <t xml:space="preserve">AV ANTA 249     </t>
  </si>
  <si>
    <t xml:space="preserve">27-12981156-6 </t>
  </si>
  <si>
    <t>CASTRO RAMON- REP.EQUIP.VIALES</t>
  </si>
  <si>
    <t xml:space="preserve">RUTA 9 KM 33           </t>
  </si>
  <si>
    <t xml:space="preserve">MALVINAS ARGENTINAS     </t>
  </si>
  <si>
    <t xml:space="preserve">20-07677422-7 </t>
  </si>
  <si>
    <t>CASTRO RAUL-PARRILLA LA PALOMA</t>
  </si>
  <si>
    <t xml:space="preserve">ROMULO NOYA 1199 </t>
  </si>
  <si>
    <t xml:space="preserve">20-12444922-8 </t>
  </si>
  <si>
    <t xml:space="preserve">CECILIA QUENARDELLE           </t>
  </si>
  <si>
    <t xml:space="preserve">COLOMBRE 454 P 3 DTO A   </t>
  </si>
  <si>
    <t xml:space="preserve">LOMAS DE ZAMORA          </t>
  </si>
  <si>
    <t xml:space="preserve">27-25664228-5 </t>
  </si>
  <si>
    <t xml:space="preserve">CEMAX S.A.                    </t>
  </si>
  <si>
    <t>CALLE NO10 Y RUTA PROV 61</t>
  </si>
  <si>
    <t xml:space="preserve">PARQUE INDUSTRIAL PILAR  </t>
  </si>
  <si>
    <t xml:space="preserve">PILAR. BUENOS AIRES      </t>
  </si>
  <si>
    <t xml:space="preserve">30-68868013-8 </t>
  </si>
  <si>
    <t xml:space="preserve">CEMENTOS AVELLANEDA S.A.      </t>
  </si>
  <si>
    <t xml:space="preserve">DEFENSA 113 6O PISO    </t>
  </si>
  <si>
    <t xml:space="preserve">CENTONARA S.R.L.              </t>
  </si>
  <si>
    <t>RUTA 8 KM 62,500 FATIMA</t>
  </si>
  <si>
    <t xml:space="preserve">PILAR            </t>
  </si>
  <si>
    <t xml:space="preserve">CENTRAL LOGISTICA SRL         </t>
  </si>
  <si>
    <t xml:space="preserve">ESPANA Y JJ ESPERANZA 0- </t>
  </si>
  <si>
    <t xml:space="preserve">BONIFACIO BUENOS AIRES   </t>
  </si>
  <si>
    <t xml:space="preserve">30-70803670-2 </t>
  </si>
  <si>
    <t xml:space="preserve">CENTRAL MULTISERVICIOS S.R.L. </t>
  </si>
  <si>
    <t xml:space="preserve">SUIPACHA 1111 PISO 11   </t>
  </si>
  <si>
    <t xml:space="preserve">30-70884481-7 </t>
  </si>
  <si>
    <t xml:space="preserve">CENTRO DE CAMIONEROS ZARATE   </t>
  </si>
  <si>
    <t xml:space="preserve">LUIS JENNER 2480 </t>
  </si>
  <si>
    <t xml:space="preserve">30-53325574-0 </t>
  </si>
  <si>
    <t>CENTRO DE COMERCIO E INDUSTRIA</t>
  </si>
  <si>
    <t xml:space="preserve">ITUZAINGO 635     </t>
  </si>
  <si>
    <t xml:space="preserve">30-52640245-2 </t>
  </si>
  <si>
    <t xml:space="preserve">CENTRO DE CONT PUBLICOS ZTE   </t>
  </si>
  <si>
    <t xml:space="preserve">ITUZAINGO 566            </t>
  </si>
  <si>
    <t xml:space="preserve">30-64683102-0 </t>
  </si>
  <si>
    <t xml:space="preserve">CENTRO MEDICO PUEYRREDON S.A. </t>
  </si>
  <si>
    <t xml:space="preserve">AV PUEYRREDON 1341     </t>
  </si>
  <si>
    <t xml:space="preserve">CUIDAD AUTONIMA DE </t>
  </si>
  <si>
    <t xml:space="preserve">30-70723752-6 </t>
  </si>
  <si>
    <t xml:space="preserve">CEPRAL                        </t>
  </si>
  <si>
    <t xml:space="preserve">RUTA 8 KM 770           </t>
  </si>
  <si>
    <t xml:space="preserve">PARADA ROBLES            </t>
  </si>
  <si>
    <t xml:space="preserve">30-56859229-4 </t>
  </si>
  <si>
    <t xml:space="preserve">CEREALERA DE DAVILA VERONICA  </t>
  </si>
  <si>
    <t xml:space="preserve">ALEM 1705  </t>
  </si>
  <si>
    <t xml:space="preserve">27-21914079-2 </t>
  </si>
  <si>
    <t>CERR DE LA TORRE LOPEZ RICARDO</t>
  </si>
  <si>
    <t xml:space="preserve">DE LA TORRE 1324         </t>
  </si>
  <si>
    <t xml:space="preserve">20-10392463-5 </t>
  </si>
  <si>
    <t>CERRAJERIA DE LEDESMA CARLOS R</t>
  </si>
  <si>
    <t xml:space="preserve">CORDOBA 1335     </t>
  </si>
  <si>
    <t xml:space="preserve">20-21436346-2 </t>
  </si>
  <si>
    <t>CERRAJERIA DE RAMIREZ CARLOS A</t>
  </si>
  <si>
    <t xml:space="preserve">FELIX PAGOLA 1028 </t>
  </si>
  <si>
    <t xml:space="preserve">20-11738507-9 </t>
  </si>
  <si>
    <t xml:space="preserve">INDEPENDENCIA 720 </t>
  </si>
  <si>
    <t xml:space="preserve">CHACO BAR FERRARI Y GONZALEZ  </t>
  </si>
  <si>
    <t xml:space="preserve">CHACO 21                 </t>
  </si>
  <si>
    <t xml:space="preserve">30-71180053-7 </t>
  </si>
  <si>
    <t xml:space="preserve">CHAPRAC S.R.L.                </t>
  </si>
  <si>
    <t xml:space="preserve">LINIERS 16 TEMPERLEY   </t>
  </si>
  <si>
    <t xml:space="preserve">30-68816784-8 </t>
  </si>
  <si>
    <t xml:space="preserve">CHEN YIZHUO                   </t>
  </si>
  <si>
    <t xml:space="preserve">BELGRANO 1550            </t>
  </si>
  <si>
    <t xml:space="preserve">20-94015157-1 </t>
  </si>
  <si>
    <t xml:space="preserve">CHIARENZA ESTEBAN Y GAETANO   </t>
  </si>
  <si>
    <t xml:space="preserve">AV ITALIA 720           </t>
  </si>
  <si>
    <t xml:space="preserve">GRAL RODRIGUEZ           </t>
  </si>
  <si>
    <t xml:space="preserve">30-62099378-2 </t>
  </si>
  <si>
    <t xml:space="preserve">CHURRUARIN SERGIO- MARTILLERO </t>
  </si>
  <si>
    <t xml:space="preserve">BME MITRE 535 </t>
  </si>
  <si>
    <t>SAN PEDRO</t>
  </si>
  <si>
    <t xml:space="preserve">20-21674242-8 </t>
  </si>
  <si>
    <t>CIA. SUD. DE DISENO Y DIST. SA</t>
  </si>
  <si>
    <t xml:space="preserve">LAS MAGNOLIAS 754        </t>
  </si>
  <si>
    <t xml:space="preserve">LOCAL 1087               </t>
  </si>
  <si>
    <t xml:space="preserve">PILAR, PCIA. DE BS. AS   </t>
  </si>
  <si>
    <t xml:space="preserve">30-70971958-7 </t>
  </si>
  <si>
    <t xml:space="preserve">CIFAMA S.R.L                  </t>
  </si>
  <si>
    <t xml:space="preserve">RUTA 5 Y RUTA 47         </t>
  </si>
  <si>
    <t xml:space="preserve">30-61547151-4 </t>
  </si>
  <si>
    <t>CINA ANGEL RUBEN- BOMBAS- PERF</t>
  </si>
  <si>
    <t>TUCUMAN 635GENERAL LAGOS</t>
  </si>
  <si>
    <t xml:space="preserve">20-13413541-8 </t>
  </si>
  <si>
    <t>CIORCILLO MIGUEL ANGEL- INYECC</t>
  </si>
  <si>
    <t xml:space="preserve">ESTRADA 733       </t>
  </si>
  <si>
    <t xml:space="preserve">20-04748683-2 </t>
  </si>
  <si>
    <t xml:space="preserve">CIROCO SRL                    </t>
  </si>
  <si>
    <t xml:space="preserve">ITALIA 540               </t>
  </si>
  <si>
    <t xml:space="preserve">EL TALAR PTDO TIGRE      </t>
  </si>
  <si>
    <t xml:space="preserve">30-61481655-0 </t>
  </si>
  <si>
    <t xml:space="preserve">CIRULLI FAVIO                 </t>
  </si>
  <si>
    <t xml:space="preserve">SOLER 340                </t>
  </si>
  <si>
    <t xml:space="preserve">20-20979340-8 </t>
  </si>
  <si>
    <t xml:space="preserve">CITI SHOP S.A.                </t>
  </si>
  <si>
    <t xml:space="preserve">H YRIGOYEN 1116          </t>
  </si>
  <si>
    <t xml:space="preserve">4TO A                    </t>
  </si>
  <si>
    <t xml:space="preserve">30-70865164-4 </t>
  </si>
  <si>
    <t xml:space="preserve">CIVIAL S.A.                   </t>
  </si>
  <si>
    <t xml:space="preserve">H IRIGOYEN 148  </t>
  </si>
  <si>
    <t xml:space="preserve">                  </t>
  </si>
  <si>
    <t xml:space="preserve">30-57897141-2 </t>
  </si>
  <si>
    <t xml:space="preserve">CLAVER MIGUEL ANGEL INGENIERO </t>
  </si>
  <si>
    <t xml:space="preserve">SUIPACHA 598     </t>
  </si>
  <si>
    <t xml:space="preserve">20-04745274-1 </t>
  </si>
  <si>
    <t>CLIMAIR DE MARCELO HERGENREDER</t>
  </si>
  <si>
    <t xml:space="preserve">ROMULO NOYA 1048  </t>
  </si>
  <si>
    <t xml:space="preserve">20-16601453-1 </t>
  </si>
  <si>
    <t xml:space="preserve">CLUB INDEPENDIENTE SOCIAL DEP </t>
  </si>
  <si>
    <t xml:space="preserve">INDEPENDENCIA 956        </t>
  </si>
  <si>
    <t xml:space="preserve">30-57184579-9 </t>
  </si>
  <si>
    <t xml:space="preserve">CME ARGENTINA S.A.            </t>
  </si>
  <si>
    <t xml:space="preserve">JOSE HERNANDEZ 370 </t>
  </si>
  <si>
    <t xml:space="preserve">GARIN            </t>
  </si>
  <si>
    <t xml:space="preserve">CO- FOR S.R.L. COCHERA        </t>
  </si>
  <si>
    <t xml:space="preserve">1O DE MAYO 1621 ROSARIO </t>
  </si>
  <si>
    <t xml:space="preserve">30-71035730-3 </t>
  </si>
  <si>
    <t xml:space="preserve">COLUS CARLOS ALBERTO          </t>
  </si>
  <si>
    <t xml:space="preserve">SOLIS 128                </t>
  </si>
  <si>
    <t xml:space="preserve">20-05552072-1 </t>
  </si>
  <si>
    <t xml:space="preserve">COMERCIAL CMP S.A.            </t>
  </si>
  <si>
    <t>RUTA PANAMERICANA KM 39,5</t>
  </si>
  <si>
    <t xml:space="preserve">33-63065921-9 </t>
  </si>
  <si>
    <t xml:space="preserve">COMPANIA RIMIDAN S.A.         </t>
  </si>
  <si>
    <t xml:space="preserve">RUTA NAC 9 KM 154     </t>
  </si>
  <si>
    <t xml:space="preserve">SAN PEDRO     </t>
  </si>
  <si>
    <t xml:space="preserve">30-60148812-0 </t>
  </si>
  <si>
    <t xml:space="preserve">COMPOSE DE GARIBALDI ANIBAL   </t>
  </si>
  <si>
    <t xml:space="preserve">19 DE MARZO 108  </t>
  </si>
  <si>
    <t xml:space="preserve">20-11996236-7 </t>
  </si>
  <si>
    <t xml:space="preserve">CONCARO VIAL SA.              </t>
  </si>
  <si>
    <t xml:space="preserve">CONCRET MIXER S.A.            </t>
  </si>
  <si>
    <t xml:space="preserve">INDEPENDENCIA 3270 18 A  </t>
  </si>
  <si>
    <t xml:space="preserve">30-71458846-6 </t>
  </si>
  <si>
    <t xml:space="preserve">CONCRETUS S.A.                </t>
  </si>
  <si>
    <t xml:space="preserve">RUTA 25 NO 4543          </t>
  </si>
  <si>
    <t xml:space="preserve">HONORIO PUEYRREDON       </t>
  </si>
  <si>
    <t xml:space="preserve">VILLA ROSA - PILAR       </t>
  </si>
  <si>
    <t xml:space="preserve">30-71252587-4 </t>
  </si>
  <si>
    <t xml:space="preserve">CONRADO RUMI S.A.             </t>
  </si>
  <si>
    <t xml:space="preserve">BELGRANO 270     </t>
  </si>
  <si>
    <t xml:space="preserve">30-66768384-6 </t>
  </si>
  <si>
    <t>CONSERJERIA CLUB INDEPENDIENTE</t>
  </si>
  <si>
    <t xml:space="preserve">AV BME MITRE 560        </t>
  </si>
  <si>
    <t xml:space="preserve">CAPITAN SARMIENTO        </t>
  </si>
  <si>
    <t xml:space="preserve">27-32238297-4 </t>
  </si>
  <si>
    <t xml:space="preserve">CONSTELMEC SA                 </t>
  </si>
  <si>
    <t xml:space="preserve">PEDRO SIRI 2165          </t>
  </si>
  <si>
    <t xml:space="preserve">30-71513698-4 </t>
  </si>
  <si>
    <t xml:space="preserve">CONSTRUDISENO S.A.            </t>
  </si>
  <si>
    <t xml:space="preserve"> RUTA 197 Y PANAMERICANA </t>
  </si>
  <si>
    <t xml:space="preserve">GRAL PACHECO            </t>
  </si>
  <si>
    <t xml:space="preserve">30-51663117-8 </t>
  </si>
  <si>
    <t xml:space="preserve">CONSULTEK S.R.L.              </t>
  </si>
  <si>
    <t xml:space="preserve">AV MITRE 929   </t>
  </si>
  <si>
    <t xml:space="preserve">30-68679723-2 </t>
  </si>
  <si>
    <t xml:space="preserve">CONSULTORA CLEARING INFORMA   </t>
  </si>
  <si>
    <t>ZEBALLOS 1574 AVELLANEDA</t>
  </si>
  <si>
    <t xml:space="preserve">27-12817009-5 </t>
  </si>
  <si>
    <t xml:space="preserve">CONSULTORA OSP S.R.L.         </t>
  </si>
  <si>
    <t xml:space="preserve">ROCA 339          </t>
  </si>
  <si>
    <t xml:space="preserve">30-70745847-6 </t>
  </si>
  <si>
    <t xml:space="preserve">CONSULTORES Y ASESORES S.H.   </t>
  </si>
  <si>
    <t xml:space="preserve">ROCA 15          </t>
  </si>
  <si>
    <t xml:space="preserve">30-71411962-8 </t>
  </si>
  <si>
    <t xml:space="preserve">CONTARDO ANIBAL JUAN          </t>
  </si>
  <si>
    <t xml:space="preserve">LARRAZABAL 3792          </t>
  </si>
  <si>
    <t xml:space="preserve">CIUDAD AUT BS AS         </t>
  </si>
  <si>
    <t xml:space="preserve">20-25998909-5 </t>
  </si>
  <si>
    <t xml:space="preserve">CONTI ROBERTO NICOLAS         </t>
  </si>
  <si>
    <t xml:space="preserve">SAN JUAN 975 PERGAMINO  </t>
  </si>
  <si>
    <t xml:space="preserve">20-10080145-1 </t>
  </si>
  <si>
    <t>COOPERATIVA DE ELECTRIC ZARATE</t>
  </si>
  <si>
    <t xml:space="preserve">ANDRADE Y BOLIVAR        </t>
  </si>
  <si>
    <t xml:space="preserve">30-54573231-5   </t>
  </si>
  <si>
    <t xml:space="preserve">AV CABILDO 2040 </t>
  </si>
  <si>
    <t xml:space="preserve">20-18079040-4 </t>
  </si>
  <si>
    <t xml:space="preserve">CORBLOCK S.A.I.C.             </t>
  </si>
  <si>
    <t>AV ITALIA S/NOMALAGUENO</t>
  </si>
  <si>
    <t xml:space="preserve">CORDOBA                 </t>
  </si>
  <si>
    <t>CORDOBES TRANSP. Y MAQUINAS S.</t>
  </si>
  <si>
    <t xml:space="preserve">AV ANT ARGENTINA 4100  </t>
  </si>
  <si>
    <t xml:space="preserve">30-70809424-9 </t>
  </si>
  <si>
    <t xml:space="preserve">CORIPA S.A.                   </t>
  </si>
  <si>
    <t>VIRREY DEL PINO 2458 P 3</t>
  </si>
  <si>
    <t xml:space="preserve">DTO B CAPITAL FEDERAL  </t>
  </si>
  <si>
    <t xml:space="preserve">CORPUS SA                     </t>
  </si>
  <si>
    <t xml:space="preserve">19 DE MARZO 838          </t>
  </si>
  <si>
    <t xml:space="preserve">30-65776199-7 </t>
  </si>
  <si>
    <t xml:space="preserve">CORREO ARGENTINO S.A.- ZARATE </t>
  </si>
  <si>
    <t xml:space="preserve">FELIX PAGOLA 35   </t>
  </si>
  <si>
    <t xml:space="preserve">30-70857483-6 </t>
  </si>
  <si>
    <t>CORTADERAS S.R.L.-AYV PUBLICID</t>
  </si>
  <si>
    <t xml:space="preserve">SAN PEDRO 1166          </t>
  </si>
  <si>
    <t xml:space="preserve">SAENZ PENA       </t>
  </si>
  <si>
    <t xml:space="preserve">30-71090263-8 </t>
  </si>
  <si>
    <t xml:space="preserve">CORTASSA MATIAS PABLO         </t>
  </si>
  <si>
    <t xml:space="preserve">ITUZAINGO 761            </t>
  </si>
  <si>
    <t xml:space="preserve">20-24619248-1 </t>
  </si>
  <si>
    <t xml:space="preserve">CORTINADOS LORENA S.R.L.      </t>
  </si>
  <si>
    <t xml:space="preserve">AV ROCCA 113    </t>
  </si>
  <si>
    <t xml:space="preserve">30-71029125-6 </t>
  </si>
  <si>
    <t xml:space="preserve">CORVALAN DIEGO LEANDRO        </t>
  </si>
  <si>
    <t xml:space="preserve">ALTE BROWN 831  </t>
  </si>
  <si>
    <t xml:space="preserve">20-32780734-0 </t>
  </si>
  <si>
    <t xml:space="preserve">FRAGA 869        </t>
  </si>
  <si>
    <t xml:space="preserve">30-51688312-6 </t>
  </si>
  <si>
    <t xml:space="preserve">COSMOPOLITA S.A.C.A.I.F.      </t>
  </si>
  <si>
    <t xml:space="preserve">MITRE 1071 PB OF 2    </t>
  </si>
  <si>
    <t xml:space="preserve">MORON            </t>
  </si>
  <si>
    <t xml:space="preserve">30-54495812-3 </t>
  </si>
  <si>
    <t xml:space="preserve">COSTA DIEGO JOSE              </t>
  </si>
  <si>
    <t xml:space="preserve">EL RESERO 637            </t>
  </si>
  <si>
    <t xml:space="preserve">LOS CARDALES </t>
  </si>
  <si>
    <t xml:space="preserve">20-20585720-7 </t>
  </si>
  <si>
    <t xml:space="preserve">COSTA MARIO- HOGAR Y MUEBLES  </t>
  </si>
  <si>
    <t xml:space="preserve">ROCCA 90         </t>
  </si>
  <si>
    <t xml:space="preserve">20-11390150-1 </t>
  </si>
  <si>
    <t xml:space="preserve">COSTANTINI HECTOR R.- RUEDAS  </t>
  </si>
  <si>
    <t xml:space="preserve">RAWSON 383       </t>
  </si>
  <si>
    <t xml:space="preserve">20-16948974-3 </t>
  </si>
  <si>
    <t xml:space="preserve">COSTANTINI Y CIA. S.A.- YPF   </t>
  </si>
  <si>
    <t>RUTA 7- KM 353</t>
  </si>
  <si>
    <t>IRIARTE</t>
  </si>
  <si>
    <t xml:space="preserve">30-53031190-9 </t>
  </si>
  <si>
    <t xml:space="preserve">CREDITO Y CAUCION S.A.        </t>
  </si>
  <si>
    <t xml:space="preserve">AV LN ALEM 651 PISO 4 B </t>
  </si>
  <si>
    <t xml:space="preserve">30-68787435-4 </t>
  </si>
  <si>
    <t xml:space="preserve">CRESPO BERNARDO HUGO FLETES   </t>
  </si>
  <si>
    <t xml:space="preserve">RIO COLORADO 4932       </t>
  </si>
  <si>
    <t xml:space="preserve">EZPELETA         </t>
  </si>
  <si>
    <t xml:space="preserve">20-14557602-5 </t>
  </si>
  <si>
    <t xml:space="preserve">CRISTALDO NORMA CECILIA       </t>
  </si>
  <si>
    <t xml:space="preserve">PASAJE SAN JUAN 1370     </t>
  </si>
  <si>
    <t xml:space="preserve">27-34400936-3 </t>
  </si>
  <si>
    <t xml:space="preserve">CRISTIAN PONCE COMISIONES     </t>
  </si>
  <si>
    <t xml:space="preserve">SOLER 1542        </t>
  </si>
  <si>
    <t xml:space="preserve">20-22739192-9 </t>
  </si>
  <si>
    <t xml:space="preserve">CRUCIJUEGOS INSUM PUBLIC SRL  </t>
  </si>
  <si>
    <t xml:space="preserve">UGARCHETE 360 BIS        </t>
  </si>
  <si>
    <t xml:space="preserve">30-71206423-0 </t>
  </si>
  <si>
    <t xml:space="preserve">CULLIGAN ARGENTINA S.A.       </t>
  </si>
  <si>
    <t xml:space="preserve">MONTENEGRO 1380          </t>
  </si>
  <si>
    <t xml:space="preserve">30-67861730-6 </t>
  </si>
  <si>
    <t xml:space="preserve">D ONOFRIO DANIEL RUBEN        </t>
  </si>
  <si>
    <t xml:space="preserve">LAVALLE Y E LOPEZ S/N   </t>
  </si>
  <si>
    <t xml:space="preserve">LOS QUIRQUINCHOS         </t>
  </si>
  <si>
    <t xml:space="preserve">20-05078028-8 </t>
  </si>
  <si>
    <t xml:space="preserve">D.A.S. DE DIONISIO SIMON      </t>
  </si>
  <si>
    <t xml:space="preserve">D.N.P. DISTRUBUCIONES S.A.    </t>
  </si>
  <si>
    <t xml:space="preserve">HONORIO PUEYRREDON 759  </t>
  </si>
  <si>
    <t xml:space="preserve">30-71071636-2 </t>
  </si>
  <si>
    <t xml:space="preserve">DABRA S.A.                    </t>
  </si>
  <si>
    <t xml:space="preserve">COLEC PANAMER 256       </t>
  </si>
  <si>
    <t xml:space="preserve">30-63848573-3 </t>
  </si>
  <si>
    <t xml:space="preserve">DAIANA ELIZABETH GONZALEZ     </t>
  </si>
  <si>
    <t xml:space="preserve">RIVADAVIA 1434           </t>
  </si>
  <si>
    <t xml:space="preserve">27-36941293-6 </t>
  </si>
  <si>
    <t xml:space="preserve">DAMIANICH &amp; SONS              </t>
  </si>
  <si>
    <t xml:space="preserve">CNEL TEODORO GARCIA      </t>
  </si>
  <si>
    <t xml:space="preserve">RAMOS MEJIA              </t>
  </si>
  <si>
    <t xml:space="preserve">30-65870709-0 </t>
  </si>
  <si>
    <t xml:space="preserve">DANILO S.A.C.I.I. Y A.        </t>
  </si>
  <si>
    <t>AV CORRIENTES 3277OPISO</t>
  </si>
  <si>
    <t xml:space="preserve">DARRITCHON S.R.L.             </t>
  </si>
  <si>
    <t xml:space="preserve">GRAL VILLEGAS 3408     </t>
  </si>
  <si>
    <t xml:space="preserve">SAN JUSTO        </t>
  </si>
  <si>
    <t xml:space="preserve">30-51631125-4 </t>
  </si>
  <si>
    <t xml:space="preserve">20-21465247-2   </t>
  </si>
  <si>
    <t>DATA DE D OLIVEIRA LIMA ROBERT</t>
  </si>
  <si>
    <t xml:space="preserve">SUIPACHA 675     </t>
  </si>
  <si>
    <t xml:space="preserve">20-04514029-7 </t>
  </si>
  <si>
    <t xml:space="preserve">DATTATEC.COM SRL              </t>
  </si>
  <si>
    <t xml:space="preserve">CORDOBA 3753             </t>
  </si>
  <si>
    <t xml:space="preserve">30-71017365-2 </t>
  </si>
  <si>
    <t xml:space="preserve">DAYPLAS SA                    </t>
  </si>
  <si>
    <t xml:space="preserve">AV COMBAT DE MALVI 3197  </t>
  </si>
  <si>
    <t xml:space="preserve">33-58249873-9 </t>
  </si>
  <si>
    <t xml:space="preserve">DE LEON CONO GABRIEL-  VIGIA  </t>
  </si>
  <si>
    <t xml:space="preserve">LARRABURE 1645   </t>
  </si>
  <si>
    <t xml:space="preserve">20-92198415-5 </t>
  </si>
  <si>
    <t xml:space="preserve">DE LUCCA JORGE RAFAEL         </t>
  </si>
  <si>
    <t xml:space="preserve">PSJE DELTA 260           </t>
  </si>
  <si>
    <t xml:space="preserve">20-30171353-4 </t>
  </si>
  <si>
    <t xml:space="preserve">DE NAPOLI LEONARDO JAVIER     </t>
  </si>
  <si>
    <t xml:space="preserve">RIVADAVIA 4593           </t>
  </si>
  <si>
    <t xml:space="preserve">SAN MARTIN               </t>
  </si>
  <si>
    <t xml:space="preserve">20-28620743-0 </t>
  </si>
  <si>
    <t>DE VICENZI ELIO. MARIO Y ROSAN</t>
  </si>
  <si>
    <t xml:space="preserve">CASTELLI 1378    </t>
  </si>
  <si>
    <t xml:space="preserve">DECOBUILD S.A.                </t>
  </si>
  <si>
    <t xml:space="preserve">YAPEYU 3843              </t>
  </si>
  <si>
    <t xml:space="preserve">30-71228894-5 </t>
  </si>
  <si>
    <t>DECORCAR DE PEREZ OSCAR ALBERT</t>
  </si>
  <si>
    <t xml:space="preserve">MORENO 177       </t>
  </si>
  <si>
    <t xml:space="preserve">20-12611739-7 </t>
  </si>
  <si>
    <t xml:space="preserve">DEGOURMET SA                  </t>
  </si>
  <si>
    <t xml:space="preserve">AV H YRIGOYEN 2207       </t>
  </si>
  <si>
    <t xml:space="preserve">ALTO DEL TALAR           </t>
  </si>
  <si>
    <t xml:space="preserve">30-70842281-5 </t>
  </si>
  <si>
    <t xml:space="preserve">DEHEZA S.A.I.C.F.E I.         </t>
  </si>
  <si>
    <t>RUTA 7 KM 298 LAS ARMAS</t>
  </si>
  <si>
    <t xml:space="preserve">30-51618667-0 </t>
  </si>
  <si>
    <t xml:space="preserve">DELGADO MAGALI MB             </t>
  </si>
  <si>
    <t xml:space="preserve">ANDRADE 1331             </t>
  </si>
  <si>
    <t xml:space="preserve">27-33785070-2 </t>
  </si>
  <si>
    <t xml:space="preserve">DELIA ERNESTO MAXIMILIANO     </t>
  </si>
  <si>
    <t xml:space="preserve">JUSTA  795           </t>
  </si>
  <si>
    <t xml:space="preserve">23-26764157-9 </t>
  </si>
  <si>
    <t>DELICIAS INTERNACIONALES S.R.L</t>
  </si>
  <si>
    <t xml:space="preserve">DELLEPIANE 1050          </t>
  </si>
  <si>
    <t xml:space="preserve">30-66770022-8 </t>
  </si>
  <si>
    <t xml:space="preserve">DET NORSKE VERITAS SA         </t>
  </si>
  <si>
    <t>PAS SANTOS DISCEPOLO 1859</t>
  </si>
  <si>
    <t xml:space="preserve">5O PISO CABA             </t>
  </si>
  <si>
    <t xml:space="preserve">30-70991838-5   </t>
  </si>
  <si>
    <t xml:space="preserve">DIAZ ERNESTO DANIEL           </t>
  </si>
  <si>
    <t xml:space="preserve">SAN LORENZO 1043         </t>
  </si>
  <si>
    <t xml:space="preserve">20-14670109-5 </t>
  </si>
  <si>
    <t xml:space="preserve">DICARVIAL S.R.L.              </t>
  </si>
  <si>
    <t xml:space="preserve">ISLAS MALVINAS 2921     </t>
  </si>
  <si>
    <t xml:space="preserve">ISIDRO CASANOVA  </t>
  </si>
  <si>
    <t>DIEMI SERVICIOS INDUSTRIALES S</t>
  </si>
  <si>
    <t xml:space="preserve">DELLEPIANE 656  </t>
  </si>
  <si>
    <t xml:space="preserve">30-71159143-1 </t>
  </si>
  <si>
    <t xml:space="preserve">DIESEL PETRILLI S.A.          </t>
  </si>
  <si>
    <t xml:space="preserve">AV FALCON 682          </t>
  </si>
  <si>
    <t xml:space="preserve">30-70773766-9 </t>
  </si>
  <si>
    <t xml:space="preserve">DIESEL SCHEITLIN S.A.         </t>
  </si>
  <si>
    <t xml:space="preserve">SAN MARTIN 2311 </t>
  </si>
  <si>
    <t>BARATE</t>
  </si>
  <si>
    <t xml:space="preserve">30-71218989-0 </t>
  </si>
  <si>
    <t xml:space="preserve">DIEX GROUP SRL                </t>
  </si>
  <si>
    <t xml:space="preserve">COLECT OESTE PANAM 3165  </t>
  </si>
  <si>
    <t xml:space="preserve">30-71471098-9 </t>
  </si>
  <si>
    <t xml:space="preserve">DI-GA TRACTORES S.A.          </t>
  </si>
  <si>
    <t xml:space="preserve">25 DE MAYO 1390          </t>
  </si>
  <si>
    <t xml:space="preserve">30-71187057-8 </t>
  </si>
  <si>
    <t xml:space="preserve">DINIMAC AUTOMOVILES S.R.L.    </t>
  </si>
  <si>
    <t xml:space="preserve">MARIMON 58       </t>
  </si>
  <si>
    <t>DIR HIDRAULICAS ACOSTA HNOS SR</t>
  </si>
  <si>
    <t>RUTA 8 6623/17</t>
  </si>
  <si>
    <t xml:space="preserve">30-70874631-9 </t>
  </si>
  <si>
    <t xml:space="preserve">DIRECTV ARGENTINA S.A.        </t>
  </si>
  <si>
    <t xml:space="preserve">PARAGUAY 610             </t>
  </si>
  <si>
    <t xml:space="preserve">30-68588939-7 </t>
  </si>
  <si>
    <t>DISTRIBUCIONYRADIADORES PEHUEN</t>
  </si>
  <si>
    <t xml:space="preserve">ALEJANDRO MAINO 240     </t>
  </si>
  <si>
    <t xml:space="preserve">SAN PEDRO        </t>
  </si>
  <si>
    <t xml:space="preserve">30-71091819-4 </t>
  </si>
  <si>
    <t xml:space="preserve">DISTRIBUIDORA BORRAVINO S.A.  </t>
  </si>
  <si>
    <t xml:space="preserve">FRENCH 985        </t>
  </si>
  <si>
    <t xml:space="preserve">30-70883614-8 </t>
  </si>
  <si>
    <t>DISTRIBUIDORA- CACERES DANIELA</t>
  </si>
  <si>
    <t xml:space="preserve">LAPRIDA 270 COLON      </t>
  </si>
  <si>
    <t xml:space="preserve">ENTRE RIOS               </t>
  </si>
  <si>
    <t xml:space="preserve">27-33804976-0 </t>
  </si>
  <si>
    <t>DISTRIBUIDORA RODIPLA-MORA ARI</t>
  </si>
  <si>
    <t xml:space="preserve">ANTONIO MACHADO 8157     </t>
  </si>
  <si>
    <t xml:space="preserve">VIRREY DEL PINO          </t>
  </si>
  <si>
    <t xml:space="preserve">20-25332598-5 </t>
  </si>
  <si>
    <t xml:space="preserve">DISTRIBUIDORA SENALACION SRL  </t>
  </si>
  <si>
    <t xml:space="preserve">GONZALEZ CHAVEZ 1126     </t>
  </si>
  <si>
    <t xml:space="preserve">ITUZAINGO                </t>
  </si>
  <si>
    <t xml:space="preserve">30-71238917-2 </t>
  </si>
  <si>
    <t xml:space="preserve">DISTRIPOL HERRAMIENTAS S.R.L. </t>
  </si>
  <si>
    <t xml:space="preserve">DJN SRL                       </t>
  </si>
  <si>
    <t xml:space="preserve">BELGRANO 2580            </t>
  </si>
  <si>
    <t xml:space="preserve">30-71233401-7 </t>
  </si>
  <si>
    <t xml:space="preserve">DOCAMPO LOPEZ S.A.            </t>
  </si>
  <si>
    <t xml:space="preserve">SANTA FE 1348 ROSARIO   </t>
  </si>
  <si>
    <t xml:space="preserve">NORTE SANTA FE         </t>
  </si>
  <si>
    <t xml:space="preserve">30-52297953-4 </t>
  </si>
  <si>
    <t xml:space="preserve">DOCK PLANNING SOLUTIONS       </t>
  </si>
  <si>
    <t xml:space="preserve">AV HIP YRIGOYEN 2441     </t>
  </si>
  <si>
    <t xml:space="preserve">MARTINEZ                 </t>
  </si>
  <si>
    <t xml:space="preserve">30-51674005-8 </t>
  </si>
  <si>
    <t xml:space="preserve">LARREA 1460       </t>
  </si>
  <si>
    <t xml:space="preserve">DUARTE JESUS DANIEL           </t>
  </si>
  <si>
    <t xml:space="preserve">CALLE 22 Y RIVADAVIA     </t>
  </si>
  <si>
    <t xml:space="preserve">20-25943808-0 </t>
  </si>
  <si>
    <t xml:space="preserve">DUARTE ROBERTO HUGO           </t>
  </si>
  <si>
    <t xml:space="preserve">RIVADAVIA Y A STORNI    </t>
  </si>
  <si>
    <t xml:space="preserve">20-10667022-7 </t>
  </si>
  <si>
    <t xml:space="preserve">EARLINESS S.A.                </t>
  </si>
  <si>
    <t xml:space="preserve">YERBAL 4771 DPTO 3     </t>
  </si>
  <si>
    <t xml:space="preserve">30-71096035-2 </t>
  </si>
  <si>
    <t xml:space="preserve">EASY ESCOBAR- CENCOSUD S.A.   </t>
  </si>
  <si>
    <t xml:space="preserve">RUTA PROV 25 1710      </t>
  </si>
  <si>
    <t xml:space="preserve">ESCOBAR BUENOS AIRES    </t>
  </si>
  <si>
    <t xml:space="preserve">E-BUYPLACE S.A.               </t>
  </si>
  <si>
    <t xml:space="preserve">MONTEAGUDO 146 BARRIO   </t>
  </si>
  <si>
    <t xml:space="preserve">PARQUE PATRICIOS </t>
  </si>
  <si>
    <t xml:space="preserve">30-70776878-5 </t>
  </si>
  <si>
    <t>ECO LONAS- RIVAS Y DELBUENO SH</t>
  </si>
  <si>
    <t xml:space="preserve">SUIPACHA 1665-     </t>
  </si>
  <si>
    <t xml:space="preserve">30-70787042-3 </t>
  </si>
  <si>
    <t xml:space="preserve">ECODIESEL- ESCUTIA FABIAN     </t>
  </si>
  <si>
    <t xml:space="preserve">9 DE JULIO 276    </t>
  </si>
  <si>
    <t xml:space="preserve">20-20019845-0 </t>
  </si>
  <si>
    <t xml:space="preserve">ECOTUBOS SA                   </t>
  </si>
  <si>
    <t xml:space="preserve">SARMIENTO 646            </t>
  </si>
  <si>
    <t xml:space="preserve">30-71474546-4 </t>
  </si>
  <si>
    <t xml:space="preserve">EDIFICAR MAT DE CONST SRL     </t>
  </si>
  <si>
    <t xml:space="preserve">LAGOMARSINO 1026         </t>
  </si>
  <si>
    <t xml:space="preserve">30-71177347-5 </t>
  </si>
  <si>
    <t xml:space="preserve">EDOSADA S.A.                  </t>
  </si>
  <si>
    <t xml:space="preserve">MARTIN DE GAINZA 2599    </t>
  </si>
  <si>
    <t xml:space="preserve">BARADERO                 </t>
  </si>
  <si>
    <t xml:space="preserve">30-71108383-5 </t>
  </si>
  <si>
    <t xml:space="preserve">EDUARDO KRUMIN                </t>
  </si>
  <si>
    <t>AVDA GALLESIO 850</t>
  </si>
  <si>
    <t xml:space="preserve">EFEPE S.A.                    </t>
  </si>
  <si>
    <t xml:space="preserve">GUATEMALA 3555 </t>
  </si>
  <si>
    <t xml:space="preserve">30-59432683-7 </t>
  </si>
  <si>
    <t xml:space="preserve">EG3 RED S.A.                  </t>
  </si>
  <si>
    <t xml:space="preserve"> MAIPU 1 PISO 13       </t>
  </si>
  <si>
    <t xml:space="preserve">30-69161708-0 </t>
  </si>
  <si>
    <t>EL BABIANO II DE ALVAREZ LUCAS</t>
  </si>
  <si>
    <t xml:space="preserve">ROCA 242 </t>
  </si>
  <si>
    <t xml:space="preserve">23-23986976-9 </t>
  </si>
  <si>
    <t xml:space="preserve">EL BASTION S.A.               </t>
  </si>
  <si>
    <t xml:space="preserve">BELEN 1070 </t>
  </si>
  <si>
    <t xml:space="preserve">30-70847587-0 </t>
  </si>
  <si>
    <t xml:space="preserve">EL CHALERO S.A.               </t>
  </si>
  <si>
    <t xml:space="preserve">RUTA 5 KM 159,50 </t>
  </si>
  <si>
    <t>CHIVILCOY</t>
  </si>
  <si>
    <t xml:space="preserve">30-57953630-2 </t>
  </si>
  <si>
    <t xml:space="preserve">EL CONSTRUCTOR S.R.L.         </t>
  </si>
  <si>
    <t xml:space="preserve">HIPOLITO YRIGOYEN 615  </t>
  </si>
  <si>
    <t xml:space="preserve">30-50009651-5 </t>
  </si>
  <si>
    <t xml:space="preserve">EL FORTINERO S.R.L.           </t>
  </si>
  <si>
    <t xml:space="preserve">AV SAN MARTIN 2484     </t>
  </si>
  <si>
    <t xml:space="preserve">ESCOBAR          </t>
  </si>
  <si>
    <t xml:space="preserve">30-71255514-5 </t>
  </si>
  <si>
    <t xml:space="preserve">EL GAITA DE GONZALO MORICONI  </t>
  </si>
  <si>
    <t xml:space="preserve">ESPAÑA 4381      </t>
  </si>
  <si>
    <t xml:space="preserve">EL MATRERO- JUAN MANUEL SAR   </t>
  </si>
  <si>
    <t xml:space="preserve">EL MERCADER DE LILA KNIPP     </t>
  </si>
  <si>
    <t>OHIGGINS 179</t>
  </si>
  <si>
    <t>SAN ISIDRO</t>
  </si>
  <si>
    <t xml:space="preserve">27-17527864-3 </t>
  </si>
  <si>
    <t xml:space="preserve">EL MONARCA- ISMAEL RIVADULLA  </t>
  </si>
  <si>
    <t xml:space="preserve">RUTA 9 (VIEJA) KM 50   </t>
  </si>
  <si>
    <t xml:space="preserve">PB                       </t>
  </si>
  <si>
    <t xml:space="preserve">EL NUEVO MUCAMO DE ZARATE SRL </t>
  </si>
  <si>
    <t xml:space="preserve">RIVADAVIA 902     </t>
  </si>
  <si>
    <t>EL PARRI - LEIVA MARIA ANTONIA</t>
  </si>
  <si>
    <t xml:space="preserve">BERTOLINI 1218           </t>
  </si>
  <si>
    <t xml:space="preserve">27-20290572-8 </t>
  </si>
  <si>
    <t xml:space="preserve">EL QUILQUIHUE CIA AGROP SRL   </t>
  </si>
  <si>
    <t>AV SANTA MARIA 6649 OF 1</t>
  </si>
  <si>
    <t xml:space="preserve">30-70703273-8 </t>
  </si>
  <si>
    <t xml:space="preserve">EL RUBI TRANSPORTE            </t>
  </si>
  <si>
    <t xml:space="preserve">VIOLA 2936     </t>
  </si>
  <si>
    <t xml:space="preserve">PROV              </t>
  </si>
  <si>
    <t xml:space="preserve">30-70702022-5 </t>
  </si>
  <si>
    <t>EL SOLITARIO DE REPETTO ISABEL</t>
  </si>
  <si>
    <t xml:space="preserve">LAVALLE 1156     </t>
  </si>
  <si>
    <t xml:space="preserve">EL VIEJO ALMACEN S.R.L.       </t>
  </si>
  <si>
    <t xml:space="preserve">AMEGHINO 893      </t>
  </si>
  <si>
    <t xml:space="preserve">30-66049706-0 </t>
  </si>
  <si>
    <t>ELECTRIC.SUIPACHA-JULIO MOYANO</t>
  </si>
  <si>
    <t xml:space="preserve">SUIPACHA 1141     </t>
  </si>
  <si>
    <t xml:space="preserve">20-14166386-1 </t>
  </si>
  <si>
    <t>ELECTRICIDAD DE EVA DE BATISTA</t>
  </si>
  <si>
    <t xml:space="preserve">SOLER 395         </t>
  </si>
  <si>
    <t xml:space="preserve">27-05978329-2 </t>
  </si>
  <si>
    <t xml:space="preserve">LAVALLE 567       </t>
  </si>
  <si>
    <t xml:space="preserve">ELECTRO EG- EDUARDO GARIBALDI </t>
  </si>
  <si>
    <t xml:space="preserve">CARLOS CASARES 1190     </t>
  </si>
  <si>
    <t xml:space="preserve">VICTORIA         </t>
  </si>
  <si>
    <t xml:space="preserve">20-25967395-0 </t>
  </si>
  <si>
    <t>ELECTRO MOTOR DE VENAGLIA LUIS</t>
  </si>
  <si>
    <t xml:space="preserve">GRAL PINTOS 1202/4     </t>
  </si>
  <si>
    <t xml:space="preserve">20-16092332-7 </t>
  </si>
  <si>
    <t xml:space="preserve">ELECTRONICA MEGATONE S.A.     </t>
  </si>
  <si>
    <t xml:space="preserve">JUSTA  852   </t>
  </si>
  <si>
    <t xml:space="preserve">30-54365973-4 </t>
  </si>
  <si>
    <t>ELECTRO-SHOP- GUEVARA FABIAN E</t>
  </si>
  <si>
    <t xml:space="preserve">ALEM 432  </t>
  </si>
  <si>
    <t xml:space="preserve">20-17136094-4 </t>
  </si>
  <si>
    <t xml:space="preserve">ELECTROZARATE- MARCOS ALFIE   </t>
  </si>
  <si>
    <t xml:space="preserve">RIVADAVIA 1000    </t>
  </si>
  <si>
    <t xml:space="preserve">EMAPI S.A.                    </t>
  </si>
  <si>
    <t xml:space="preserve">AV 520 Y 200 ABASTO    </t>
  </si>
  <si>
    <t xml:space="preserve">LA PLATA BUENOS AIRES   </t>
  </si>
  <si>
    <t xml:space="preserve">EMBAR S.R.L.- SUPERMERCADO    </t>
  </si>
  <si>
    <t xml:space="preserve">RIVADAVIA 866    </t>
  </si>
  <si>
    <t xml:space="preserve">30-71117855-0 </t>
  </si>
  <si>
    <t xml:space="preserve">EMPRENDIMIENTOS AVASAR SA     </t>
  </si>
  <si>
    <t xml:space="preserve">AV ANT ARG Y CARRIEGO    </t>
  </si>
  <si>
    <t xml:space="preserve">30-71492066-5 </t>
  </si>
  <si>
    <t>EMPRENDIMIENTOS ZONA NORTE S.A</t>
  </si>
  <si>
    <t>H YRIGOYEN 93</t>
  </si>
  <si>
    <t xml:space="preserve">30-70782147-3 </t>
  </si>
  <si>
    <t xml:space="preserve">EMPRESA LIZASO HNOS. S.A.     </t>
  </si>
  <si>
    <t xml:space="preserve">ANDRADE 757       </t>
  </si>
  <si>
    <t xml:space="preserve">33-70737213-9 </t>
  </si>
  <si>
    <t xml:space="preserve">EMPRESA SAN JOSE S.A.         </t>
  </si>
  <si>
    <t>PARADOR LA CARMELA LOC 1</t>
  </si>
  <si>
    <t>COLECTORA SUR 1815 CAMPA</t>
  </si>
  <si>
    <t xml:space="preserve">NA. BS. AS.              </t>
  </si>
  <si>
    <t xml:space="preserve">30-54625840-4 </t>
  </si>
  <si>
    <t xml:space="preserve">EMPRONOR S.R.L.               </t>
  </si>
  <si>
    <t xml:space="preserve">AV SM DEL CARRIL 2754 </t>
  </si>
  <si>
    <t xml:space="preserve">1O P BUENOS AIRES       </t>
  </si>
  <si>
    <t xml:space="preserve">33-71078001-9 </t>
  </si>
  <si>
    <t xml:space="preserve">ENRIQUE LECUMBERRY            </t>
  </si>
  <si>
    <t xml:space="preserve">ALBERTI 985              </t>
  </si>
  <si>
    <t xml:space="preserve">20-10392440-6 </t>
  </si>
  <si>
    <t xml:space="preserve">EQUIPAR                       </t>
  </si>
  <si>
    <t xml:space="preserve">FISCHER 141              </t>
  </si>
  <si>
    <t xml:space="preserve">ARMSTRONG                </t>
  </si>
  <si>
    <t xml:space="preserve">30-71436739-7 </t>
  </si>
  <si>
    <t xml:space="preserve">ERNESTO CLAUDIO FLORES        </t>
  </si>
  <si>
    <t xml:space="preserve">PIVIDAL 85               </t>
  </si>
  <si>
    <t xml:space="preserve">23-17136088-9 </t>
  </si>
  <si>
    <t xml:space="preserve">ERNESTO J. SCHRAIBER SRL      </t>
  </si>
  <si>
    <t xml:space="preserve">PIEDRAS 638/40           </t>
  </si>
  <si>
    <t xml:space="preserve">30-57729709-2 </t>
  </si>
  <si>
    <t xml:space="preserve">ESCAPES COMUNERO              </t>
  </si>
  <si>
    <t xml:space="preserve">LAVALLE 1084             </t>
  </si>
  <si>
    <t xml:space="preserve">27-93737909-4 </t>
  </si>
  <si>
    <t xml:space="preserve">ESCAPES DORIA- SCAFATI CARLOS </t>
  </si>
  <si>
    <t xml:space="preserve">BELGRANO 1331    </t>
  </si>
  <si>
    <t xml:space="preserve">20-10392281-0 </t>
  </si>
  <si>
    <t xml:space="preserve">ESCO-CAR S.R.L.               </t>
  </si>
  <si>
    <t xml:space="preserve">IRIART 832       </t>
  </si>
  <si>
    <t xml:space="preserve">ESCRIBANA MARCELA TAPIA       </t>
  </si>
  <si>
    <t xml:space="preserve">AVELLANEDA 195    </t>
  </si>
  <si>
    <t xml:space="preserve">27-23228281-4 </t>
  </si>
  <si>
    <t xml:space="preserve">ESCRIBANO JULIO TAPIA         </t>
  </si>
  <si>
    <t xml:space="preserve">20-06264240-9 </t>
  </si>
  <si>
    <t xml:space="preserve">ESIMET SRL                    </t>
  </si>
  <si>
    <t xml:space="preserve">11 DE SETIEMBRE 2953     </t>
  </si>
  <si>
    <t xml:space="preserve">33-54788743-9 </t>
  </si>
  <si>
    <t>ESSO PETROLERA ARGENTINA S.R.L</t>
  </si>
  <si>
    <t xml:space="preserve">19 DE MARZO E ITUZAINGO  </t>
  </si>
  <si>
    <t>EST. SERVICIO RAM- MEROIL S.A.</t>
  </si>
  <si>
    <t xml:space="preserve">LARRABURE 1358   </t>
  </si>
  <si>
    <t xml:space="preserve">30-70707302-7 </t>
  </si>
  <si>
    <t xml:space="preserve">ESTABLECIMIENTO FERNANDEZ G.  </t>
  </si>
  <si>
    <t xml:space="preserve">SARMIENTO 5128 ROSARIO  </t>
  </si>
  <si>
    <t xml:space="preserve">23-30254289-9 </t>
  </si>
  <si>
    <t xml:space="preserve">ESTEEL SERVICE S.R.L.         </t>
  </si>
  <si>
    <t xml:space="preserve">AV CARABOBO 348 </t>
  </si>
  <si>
    <t xml:space="preserve">30-70936347-2 </t>
  </si>
  <si>
    <t xml:space="preserve">ESTUDIO TUCULET Y ASOC. S.H.  </t>
  </si>
  <si>
    <t xml:space="preserve">ROCA 15  </t>
  </si>
  <si>
    <t xml:space="preserve">30-71417021-6 </t>
  </si>
  <si>
    <t xml:space="preserve">ESTUDIO WAGG SA               </t>
  </si>
  <si>
    <t xml:space="preserve">ARMENIA 3263             </t>
  </si>
  <si>
    <t xml:space="preserve">33-65147869-9 </t>
  </si>
  <si>
    <t xml:space="preserve">EXPORTADORA ARGENTINA S.A.    </t>
  </si>
  <si>
    <t xml:space="preserve">AVELINO ROLON 1748       </t>
  </si>
  <si>
    <t xml:space="preserve">BOULOGNE         </t>
  </si>
  <si>
    <t xml:space="preserve">30-63831465-3 </t>
  </si>
  <si>
    <t xml:space="preserve">EXPRESO BRIO S.R.L.           </t>
  </si>
  <si>
    <t xml:space="preserve">ACEVEDO 2949 ROSARIO   </t>
  </si>
  <si>
    <t xml:space="preserve">30-70153026-4 </t>
  </si>
  <si>
    <t xml:space="preserve">EXPRESO HADA DE GONZALEZ ADAN </t>
  </si>
  <si>
    <t xml:space="preserve">RIO CUARTO 4491         </t>
  </si>
  <si>
    <t xml:space="preserve">20-14120765-3 </t>
  </si>
  <si>
    <t xml:space="preserve">EXPRESO TRANS LARRAZ SA       </t>
  </si>
  <si>
    <t xml:space="preserve">FRENCH 1597              </t>
  </si>
  <si>
    <t xml:space="preserve">33-71076393-9 </t>
  </si>
  <si>
    <t xml:space="preserve">EXTREME TECHNOLOGY SA         </t>
  </si>
  <si>
    <t xml:space="preserve">AV DEL LIBERTADOR 5755   </t>
  </si>
  <si>
    <t xml:space="preserve">30-70783838-4 </t>
  </si>
  <si>
    <t xml:space="preserve">F.A.M. TALLER DE TORNERIA     </t>
  </si>
  <si>
    <t xml:space="preserve">STO CABRAL 1438  </t>
  </si>
  <si>
    <t xml:space="preserve">27-12981515-4 </t>
  </si>
  <si>
    <t xml:space="preserve">F.M. OMEGA S.R.L.             </t>
  </si>
  <si>
    <t xml:space="preserve">H YRIGOYEN 848 PISO 13 </t>
  </si>
  <si>
    <t xml:space="preserve">30-66766791-3 </t>
  </si>
  <si>
    <t xml:space="preserve">FAA- HERRERA VILLALAIN JUAN C </t>
  </si>
  <si>
    <t xml:space="preserve">CORONEL BUERAS 3026     </t>
  </si>
  <si>
    <t xml:space="preserve">LANUS ESTE       </t>
  </si>
  <si>
    <t xml:space="preserve">FABRIC.ARGENT. DE ASFALTOS    </t>
  </si>
  <si>
    <t xml:space="preserve">CNEL BUERAS 3026        </t>
  </si>
  <si>
    <t xml:space="preserve">30-50193253-8 </t>
  </si>
  <si>
    <t>FABRICA DE MOSAICOS SAN LUIS S</t>
  </si>
  <si>
    <t xml:space="preserve">RUTA 9 PANAM KM 41    </t>
  </si>
  <si>
    <t xml:space="preserve">FABRICA DE MUEBLES LEVITON    </t>
  </si>
  <si>
    <t xml:space="preserve">SAN MARTIN 1322          </t>
  </si>
  <si>
    <t xml:space="preserve">ROSARIOSANTA FE         </t>
  </si>
  <si>
    <t xml:space="preserve">20218854673   </t>
  </si>
  <si>
    <t>FADA DE PALERMO GUSTAVO MIGUEL</t>
  </si>
  <si>
    <t xml:space="preserve">COLECTORA NORTE 483      </t>
  </si>
  <si>
    <t xml:space="preserve">20-25355543-3 </t>
  </si>
  <si>
    <t xml:space="preserve">FAFAR S.R.L.                  </t>
  </si>
  <si>
    <t xml:space="preserve">PIERES 863 </t>
  </si>
  <si>
    <t xml:space="preserve">33-71016095-9 </t>
  </si>
  <si>
    <t xml:space="preserve">FAJARDO CARLOS ADRIAN         </t>
  </si>
  <si>
    <t xml:space="preserve">FALABELLA SA                  </t>
  </si>
  <si>
    <t xml:space="preserve">FLORIDA 343 4            </t>
  </si>
  <si>
    <t xml:space="preserve">30-65572582-9   </t>
  </si>
  <si>
    <t xml:space="preserve">FANUCCHI S.R.L.               </t>
  </si>
  <si>
    <t xml:space="preserve">NUNEZ 2395 PISO 1      </t>
  </si>
  <si>
    <t xml:space="preserve">FANUCCI NELIDA CRISTINA       </t>
  </si>
  <si>
    <t xml:space="preserve">AV SAVIO 725           </t>
  </si>
  <si>
    <t xml:space="preserve">SAN NICOLAS      </t>
  </si>
  <si>
    <t xml:space="preserve">27-13100706-5 </t>
  </si>
  <si>
    <t xml:space="preserve">FAVRE MOSSIER SRL             </t>
  </si>
  <si>
    <t xml:space="preserve">LERMA 44 PISO 6 DTO D    </t>
  </si>
  <si>
    <t xml:space="preserve">CIUDAD DE BUENOS AIRES   </t>
  </si>
  <si>
    <t xml:space="preserve">30-70746592-8 </t>
  </si>
  <si>
    <t>FEDERACION PATRONAL SEGUROS SA</t>
  </si>
  <si>
    <t xml:space="preserve">AV 51 NO 770 </t>
  </si>
  <si>
    <t xml:space="preserve">33-70736658-9 </t>
  </si>
  <si>
    <t xml:space="preserve">FELDMAN BEATRIZ DECOUTLET     </t>
  </si>
  <si>
    <t xml:space="preserve">JUSTA  566           </t>
  </si>
  <si>
    <t xml:space="preserve">27-12945540-9 </t>
  </si>
  <si>
    <t xml:space="preserve">FELKER LUIS MARCELO           </t>
  </si>
  <si>
    <t xml:space="preserve">ALEM 261                 </t>
  </si>
  <si>
    <t xml:space="preserve">20-24021543-9 </t>
  </si>
  <si>
    <t xml:space="preserve">FERMOD SACIFEI                </t>
  </si>
  <si>
    <t xml:space="preserve">SARRATEA 749             </t>
  </si>
  <si>
    <t xml:space="preserve">30-51574428-9 </t>
  </si>
  <si>
    <t xml:space="preserve">FERNANDEZ ELECTRA             </t>
  </si>
  <si>
    <t xml:space="preserve">SOLER 190         </t>
  </si>
  <si>
    <t xml:space="preserve">27-11139994-3 </t>
  </si>
  <si>
    <t xml:space="preserve">FERNANDEZ INSUA S.A.          </t>
  </si>
  <si>
    <t xml:space="preserve">COLECTORA OESTE KM 275  </t>
  </si>
  <si>
    <t xml:space="preserve">FERRERAMA SRL                 </t>
  </si>
  <si>
    <t xml:space="preserve">AV ROSALES 869/71        </t>
  </si>
  <si>
    <t xml:space="preserve">EL PALOMAR               </t>
  </si>
  <si>
    <t xml:space="preserve">30-71165145-0 </t>
  </si>
  <si>
    <t xml:space="preserve">FERRETERIA DE ZAMPINO JORGE   </t>
  </si>
  <si>
    <t xml:space="preserve">AV DIRECTORIO 1650     </t>
  </si>
  <si>
    <t xml:space="preserve">20-07851813-9 </t>
  </si>
  <si>
    <t xml:space="preserve">FERRETERIA EL PUENTE          </t>
  </si>
  <si>
    <t xml:space="preserve">AV IRIGOYEN 836         </t>
  </si>
  <si>
    <t xml:space="preserve">SAN NICOLAS              </t>
  </si>
  <si>
    <t xml:space="preserve">20-25715164-7   </t>
  </si>
  <si>
    <t xml:space="preserve">FERRETERIA LA LUCY S.R.L.     </t>
  </si>
  <si>
    <t xml:space="preserve">LN ALEM 1280   </t>
  </si>
  <si>
    <t xml:space="preserve">30-71135304-2 </t>
  </si>
  <si>
    <t xml:space="preserve">FERRETERIA PARIS              </t>
  </si>
  <si>
    <t xml:space="preserve">ITUZAINGO 937            </t>
  </si>
  <si>
    <t xml:space="preserve">27-02384873-8 </t>
  </si>
  <si>
    <t xml:space="preserve">FERRETERIA ROMA- CARLOS ROMA  </t>
  </si>
  <si>
    <t xml:space="preserve">CALLE 14 NO 554          </t>
  </si>
  <si>
    <t xml:space="preserve">LIMA                     </t>
  </si>
  <si>
    <t xml:space="preserve">20-12048850-4 </t>
  </si>
  <si>
    <t xml:space="preserve">FERRETERIA- TRIBER S.A.       </t>
  </si>
  <si>
    <t xml:space="preserve">AV JUAN B JUSTO 1300   </t>
  </si>
  <si>
    <t xml:space="preserve">33-68257123-9 </t>
  </si>
  <si>
    <t xml:space="preserve">FELIX PAGOLA 290  </t>
  </si>
  <si>
    <t xml:space="preserve">FERRONIER SRL                 </t>
  </si>
  <si>
    <t xml:space="preserve">AV MITRE 1155            </t>
  </si>
  <si>
    <t xml:space="preserve">30-68675578-5 </t>
  </si>
  <si>
    <t xml:space="preserve">LAVALLE 1705      </t>
  </si>
  <si>
    <t xml:space="preserve">FER-ZAR DE BODELON EDGARDO    </t>
  </si>
  <si>
    <t xml:space="preserve">RIVADAVIA 1492   </t>
  </si>
  <si>
    <t xml:space="preserve">20-06150385-5 </t>
  </si>
  <si>
    <t>FIDUS SOC.GARANTIAS RECIPROCAS</t>
  </si>
  <si>
    <t>URUGUAY 292 PISO 2 DTO1</t>
  </si>
  <si>
    <t xml:space="preserve">33-70900345-9 </t>
  </si>
  <si>
    <t>FILIPPI NORMA BEATRIZ ESCRIBAN</t>
  </si>
  <si>
    <t xml:space="preserve">19 DE MARZO      </t>
  </si>
  <si>
    <t xml:space="preserve">27-05386683-8 </t>
  </si>
  <si>
    <t xml:space="preserve">FINING ARGENTINA SA           </t>
  </si>
  <si>
    <t xml:space="preserve">FINISH POINT SRL              </t>
  </si>
  <si>
    <t xml:space="preserve">FRAY MAMERTO ESQUIU 2273 </t>
  </si>
  <si>
    <t xml:space="preserve">33-71180074-9 </t>
  </si>
  <si>
    <t xml:space="preserve">FIORANELLI SRL                </t>
  </si>
  <si>
    <t xml:space="preserve">AV GALESIO 215    </t>
  </si>
  <si>
    <t xml:space="preserve">FIVE AVENUE SRL               </t>
  </si>
  <si>
    <t xml:space="preserve">BALCARCE 237             </t>
  </si>
  <si>
    <t xml:space="preserve">CAPILLA DEL SENOR        </t>
  </si>
  <si>
    <t xml:space="preserve">30-70799031-3 </t>
  </si>
  <si>
    <t xml:space="preserve">FLASH SERVICIOS               </t>
  </si>
  <si>
    <t xml:space="preserve">ESTRADA 691              </t>
  </si>
  <si>
    <t xml:space="preserve">30-70974999-0 </t>
  </si>
  <si>
    <t>FLORENTIN KARINA  ESC COMUNERO</t>
  </si>
  <si>
    <t xml:space="preserve">VIAMONTE 711             </t>
  </si>
  <si>
    <t xml:space="preserve">27-33796023-0 </t>
  </si>
  <si>
    <t xml:space="preserve">FLORERIA BROWN                </t>
  </si>
  <si>
    <t xml:space="preserve">ALTE BROWN 698           </t>
  </si>
  <si>
    <t xml:space="preserve">27-16983978-1 </t>
  </si>
  <si>
    <t xml:space="preserve">FLORERIA LA VICTORIA          </t>
  </si>
  <si>
    <t xml:space="preserve">BROWN Y CASTELLI 0       </t>
  </si>
  <si>
    <t xml:space="preserve">30-55013574-0 </t>
  </si>
  <si>
    <t>FONDO D GARANTIAS BUENOS AIRES</t>
  </si>
  <si>
    <t xml:space="preserve">AV CORRIENTES 672 2O P </t>
  </si>
  <si>
    <t xml:space="preserve">30-68457707-3 </t>
  </si>
  <si>
    <t xml:space="preserve">FONRES S.A.                   </t>
  </si>
  <si>
    <t xml:space="preserve">AV CORDOBA 6060         </t>
  </si>
  <si>
    <t xml:space="preserve">30-71041960-0 </t>
  </si>
  <si>
    <t xml:space="preserve">FORNASARI FERNANDO MIGUEL     </t>
  </si>
  <si>
    <t xml:space="preserve">GALLESIO 542             </t>
  </si>
  <si>
    <t xml:space="preserve">20-14911949-4 </t>
  </si>
  <si>
    <t xml:space="preserve">FORTALEIN S.L.                </t>
  </si>
  <si>
    <t xml:space="preserve">COLECTORA OESTE 1588    </t>
  </si>
  <si>
    <t xml:space="preserve">30-70760479-0 </t>
  </si>
  <si>
    <t xml:space="preserve">FOTO ALFREDO SCIAMANNA        </t>
  </si>
  <si>
    <t xml:space="preserve">RIVADAVIA 819            </t>
  </si>
  <si>
    <t xml:space="preserve">23-13388560-9 </t>
  </si>
  <si>
    <t xml:space="preserve">FOTO PERNA LUCERO EDUARDO     </t>
  </si>
  <si>
    <t xml:space="preserve">JUSTA  502    </t>
  </si>
  <si>
    <t xml:space="preserve">20-16092026-3 </t>
  </si>
  <si>
    <t xml:space="preserve">FRANCO ALEOTTI                </t>
  </si>
  <si>
    <t xml:space="preserve">19 DE MARZO 1192         </t>
  </si>
  <si>
    <t xml:space="preserve">20-35666309-9 </t>
  </si>
  <si>
    <t>FRANCO HUGO - OSCAR Y GUIFFE M</t>
  </si>
  <si>
    <t>RUTA 39 Y ACCESO A CASERO</t>
  </si>
  <si>
    <t xml:space="preserve">30-62421054-5 </t>
  </si>
  <si>
    <t xml:space="preserve">FRAVEGA S.A.C.I. E I.         </t>
  </si>
  <si>
    <t xml:space="preserve">30-52687424-9 </t>
  </si>
  <si>
    <t xml:space="preserve">FREE TRANSPORT S.A.           </t>
  </si>
  <si>
    <t xml:space="preserve">CHILE 1121       </t>
  </si>
  <si>
    <t xml:space="preserve">30-71027904-3 </t>
  </si>
  <si>
    <t>FRENO-LIN DE MARIA A.DEL BARBA</t>
  </si>
  <si>
    <t xml:space="preserve">ARRIBENOS 744     </t>
  </si>
  <si>
    <t xml:space="preserve">FRIO STAR S.A.                </t>
  </si>
  <si>
    <t xml:space="preserve">FRUGONI VIAL DE VICENTE BAUER </t>
  </si>
  <si>
    <t xml:space="preserve">RUTA 8 KM 114          </t>
  </si>
  <si>
    <t xml:space="preserve">SAN ANTONIO DE ARECO    </t>
  </si>
  <si>
    <t xml:space="preserve">20-05853675-0 </t>
  </si>
  <si>
    <t xml:space="preserve">FULL BRICKS S.A.              </t>
  </si>
  <si>
    <t xml:space="preserve">SAN MARTIN 143-    </t>
  </si>
  <si>
    <t xml:space="preserve">30-70995622-8 </t>
  </si>
  <si>
    <t xml:space="preserve">FULL COLOR DE LAVEZZARI MAURO </t>
  </si>
  <si>
    <t xml:space="preserve">ALTE BROWN 723   </t>
  </si>
  <si>
    <t xml:space="preserve">20-92460144-3 </t>
  </si>
  <si>
    <t xml:space="preserve">FURFANTO S.A.                 </t>
  </si>
  <si>
    <t>AV ALVEAR Y R 8 KM 112,5</t>
  </si>
  <si>
    <t xml:space="preserve">SAN ANTONIO DE ARECO     </t>
  </si>
  <si>
    <t xml:space="preserve">30-61627989-7 </t>
  </si>
  <si>
    <t xml:space="preserve">GAFFREY GERARDO               </t>
  </si>
  <si>
    <t xml:space="preserve">GUIDO 134                </t>
  </si>
  <si>
    <t xml:space="preserve">MAR DEL PLATA            </t>
  </si>
  <si>
    <t xml:space="preserve">20-10133932-8 </t>
  </si>
  <si>
    <t xml:space="preserve">GALLINA DANIEL- MOTOR DIESEL  </t>
  </si>
  <si>
    <t xml:space="preserve">PELLEGRINI 2554         </t>
  </si>
  <si>
    <t xml:space="preserve">20-14989890-6 </t>
  </si>
  <si>
    <t xml:space="preserve">GALLINI HUGO E-TRANSPORTE     </t>
  </si>
  <si>
    <t xml:space="preserve">SAN LORENZO 479          </t>
  </si>
  <si>
    <t xml:space="preserve">20-13785826-7 </t>
  </si>
  <si>
    <t xml:space="preserve">GALVANIZACION MET- TAL S.A.   </t>
  </si>
  <si>
    <t xml:space="preserve">HONORIO PUEYRREDON 5279 </t>
  </si>
  <si>
    <t xml:space="preserve">VILLA ROSA       </t>
  </si>
  <si>
    <t xml:space="preserve">30-62379353-9 </t>
  </si>
  <si>
    <t xml:space="preserve">GAMA DE AGUIRRE GASTON PIO    </t>
  </si>
  <si>
    <t xml:space="preserve">SARMIENTO NO 299 </t>
  </si>
  <si>
    <t xml:space="preserve">20-23036716-8 </t>
  </si>
  <si>
    <t xml:space="preserve">GAMALAND S.A.                 </t>
  </si>
  <si>
    <t>AV DE MAYO 791 PISO 1 A</t>
  </si>
  <si>
    <t xml:space="preserve">30-70889893-3 </t>
  </si>
  <si>
    <t xml:space="preserve">GAMARRA NESTOR                </t>
  </si>
  <si>
    <t xml:space="preserve">YERBAL 729- BULOGNE      </t>
  </si>
  <si>
    <t xml:space="preserve">20-12204693-2 </t>
  </si>
  <si>
    <t xml:space="preserve">GARBARINO S.A. (IPOINT)       </t>
  </si>
  <si>
    <t xml:space="preserve">AV CABILDO 2025        </t>
  </si>
  <si>
    <t xml:space="preserve">30-54008821-3 </t>
  </si>
  <si>
    <t xml:space="preserve">GARBARINO S.A.I.C.E I.        </t>
  </si>
  <si>
    <t>LAS MAGNOLIAS 754LOC 122</t>
  </si>
  <si>
    <t>GARBER GROUP S.A.- PUERTO VINO</t>
  </si>
  <si>
    <t xml:space="preserve">AMENABAR 2702           </t>
  </si>
  <si>
    <t xml:space="preserve">30-70808252-6 </t>
  </si>
  <si>
    <t xml:space="preserve">GARCIA EDGARDO FABIAN         </t>
  </si>
  <si>
    <t xml:space="preserve">BELGRANO 2610            </t>
  </si>
  <si>
    <t xml:space="preserve">20-20490730-8 </t>
  </si>
  <si>
    <t xml:space="preserve">GARCIA FABIO GERMAN           </t>
  </si>
  <si>
    <t xml:space="preserve"> ZELADA 7261 PISO PA     </t>
  </si>
  <si>
    <t xml:space="preserve">20-22128546-9 </t>
  </si>
  <si>
    <t xml:space="preserve">GARCIA MONTAJES SRL           </t>
  </si>
  <si>
    <t xml:space="preserve">MELILLO 552              </t>
  </si>
  <si>
    <t xml:space="preserve">30-71465903-7 </t>
  </si>
  <si>
    <t xml:space="preserve">GARCIA SEBASTIAN ENRIQUE      </t>
  </si>
  <si>
    <t xml:space="preserve">AV HEREDIA 941           </t>
  </si>
  <si>
    <t xml:space="preserve">20-28380183-8 </t>
  </si>
  <si>
    <t xml:space="preserve">GAROLA INOXIDABLE             </t>
  </si>
  <si>
    <t xml:space="preserve">CHACABUCO 486            </t>
  </si>
  <si>
    <t xml:space="preserve">LAS VARILLAS             </t>
  </si>
  <si>
    <t xml:space="preserve">CORDOBA                  </t>
  </si>
  <si>
    <t xml:space="preserve">20-17104699-9   </t>
  </si>
  <si>
    <t>GATTI RODAMIENTOS-GATTI CARLOS</t>
  </si>
  <si>
    <t xml:space="preserve">RIVADAVIA 1799           </t>
  </si>
  <si>
    <t xml:space="preserve">20-07844247-7 </t>
  </si>
  <si>
    <t xml:space="preserve">GAVAZZI CLAUDIO- ANDAMIOS SG  </t>
  </si>
  <si>
    <t xml:space="preserve">BELGRANO 1253   </t>
  </si>
  <si>
    <t xml:space="preserve">20-13473312-9 </t>
  </si>
  <si>
    <t xml:space="preserve">GEARVEL S.A.I.Y C.            </t>
  </si>
  <si>
    <t xml:space="preserve">AMEGHINO 1037    </t>
  </si>
  <si>
    <t xml:space="preserve">30-57004406-7 </t>
  </si>
  <si>
    <t xml:space="preserve">GENER DE ACERO FABIAN         </t>
  </si>
  <si>
    <t xml:space="preserve">HIPOLITO YRIGOYEN 2199  </t>
  </si>
  <si>
    <t xml:space="preserve">20-24984833-7 </t>
  </si>
  <si>
    <t xml:space="preserve">GENTILLI HECTOR LUJAN G.N.C.  </t>
  </si>
  <si>
    <t xml:space="preserve">H YRIGOYEN 1481 </t>
  </si>
  <si>
    <t xml:space="preserve">20-08514948-3 </t>
  </si>
  <si>
    <t xml:space="preserve">GEO VIAL S.R.L.               </t>
  </si>
  <si>
    <t xml:space="preserve">ARRECIFES 2160           </t>
  </si>
  <si>
    <t xml:space="preserve">CASTELAR                 </t>
  </si>
  <si>
    <t xml:space="preserve">30-68900119-6 </t>
  </si>
  <si>
    <t xml:space="preserve">GEOBAUEN SRL                  </t>
  </si>
  <si>
    <t xml:space="preserve">CUBA 1940 PISO 11 DPTO C </t>
  </si>
  <si>
    <t xml:space="preserve">GERMAN ATILIO GARCIA          </t>
  </si>
  <si>
    <t xml:space="preserve">OCAMPO 4328              </t>
  </si>
  <si>
    <t xml:space="preserve">20-22908255-9 </t>
  </si>
  <si>
    <t xml:space="preserve">GERSUR S.A. CORRALON SACCHI   </t>
  </si>
  <si>
    <t xml:space="preserve">MITRE 1475 </t>
  </si>
  <si>
    <t xml:space="preserve">30-70747256-8 </t>
  </si>
  <si>
    <t xml:space="preserve">GEUNA JUAN MANUEL             </t>
  </si>
  <si>
    <t xml:space="preserve">BROWN 950                </t>
  </si>
  <si>
    <t xml:space="preserve">23-30171249-9 </t>
  </si>
  <si>
    <t xml:space="preserve">GIRARDI DANIEL HECTOR- OSP    </t>
  </si>
  <si>
    <t xml:space="preserve">ROCA 339 1O       </t>
  </si>
  <si>
    <t xml:space="preserve">20-12981446-3 </t>
  </si>
  <si>
    <t xml:space="preserve">GMS SOCIEDAD ANONIMA          </t>
  </si>
  <si>
    <t xml:space="preserve">RIVADAVIA 371    </t>
  </si>
  <si>
    <t xml:space="preserve">30-66195034-6   </t>
  </si>
  <si>
    <t>GOBETTO EMILIO-  CONSECIONARIO</t>
  </si>
  <si>
    <t xml:space="preserve">AGUSTIN ALVAREZ 1150    </t>
  </si>
  <si>
    <t xml:space="preserve">20-17903460-4 </t>
  </si>
  <si>
    <t xml:space="preserve">MITRE 1809        </t>
  </si>
  <si>
    <t xml:space="preserve">GOMERIA CHIROLA               </t>
  </si>
  <si>
    <t>AVDA ANTA Y URQUIZA 1805</t>
  </si>
  <si>
    <t xml:space="preserve">23-21436546-4 </t>
  </si>
  <si>
    <t>GOMERIA DE LOPEZ SERGIO ISMAEL</t>
  </si>
  <si>
    <t xml:space="preserve">FALCON 599 SAN NICOLAS  </t>
  </si>
  <si>
    <t xml:space="preserve">20-17733251-9 </t>
  </si>
  <si>
    <t xml:space="preserve">GOMERIA EL TRIANGULO          </t>
  </si>
  <si>
    <t xml:space="preserve">COLECTORA NORTE 1042     </t>
  </si>
  <si>
    <t xml:space="preserve">20-24158636-8 </t>
  </si>
  <si>
    <t>GOMERIA LA CUEVA- GLORIA PUJOL</t>
  </si>
  <si>
    <t xml:space="preserve">MITRE 1131       </t>
  </si>
  <si>
    <t xml:space="preserve">27-12611534-8 </t>
  </si>
  <si>
    <t xml:space="preserve">GOMERIA VULCATOTAL            </t>
  </si>
  <si>
    <t xml:space="preserve">GOMEZ ROBERTO DARIO           </t>
  </si>
  <si>
    <t xml:space="preserve">BRASIL 140               </t>
  </si>
  <si>
    <t xml:space="preserve">VILLA MERCEDES           </t>
  </si>
  <si>
    <t xml:space="preserve">20-11931993-6 </t>
  </si>
  <si>
    <t xml:space="preserve">GONZALEZ JORGE - ALAMBRADOS   </t>
  </si>
  <si>
    <t xml:space="preserve">MENDOZA 172             </t>
  </si>
  <si>
    <t>GONZALEZ JUAN CARLOS-TATA DIOS</t>
  </si>
  <si>
    <t xml:space="preserve">LAVALLE 1602      </t>
  </si>
  <si>
    <t xml:space="preserve">20-08393040-4 </t>
  </si>
  <si>
    <t>GONZALEZ SERGIO BULON. AVENIDA</t>
  </si>
  <si>
    <t xml:space="preserve">GALESIO 891       </t>
  </si>
  <si>
    <t xml:space="preserve">GORIS EDUARDO                 </t>
  </si>
  <si>
    <t xml:space="preserve">DORREGO 1523      </t>
  </si>
  <si>
    <t xml:space="preserve">20-13776472-6 </t>
  </si>
  <si>
    <t xml:space="preserve">GORIS TRANSPORTE S.R.L.       </t>
  </si>
  <si>
    <t xml:space="preserve">ARRIBENOS 1490   </t>
  </si>
  <si>
    <t xml:space="preserve">30/70846533-6 </t>
  </si>
  <si>
    <t xml:space="preserve">GRACIELA NOEMI BRITOS         </t>
  </si>
  <si>
    <t xml:space="preserve">6 DE JULIO 1556          </t>
  </si>
  <si>
    <t xml:space="preserve">27-17904820-0 </t>
  </si>
  <si>
    <t xml:space="preserve">GRAFICA ABDALA S.R.L.         </t>
  </si>
  <si>
    <t xml:space="preserve">LAVALLE 1505     </t>
  </si>
  <si>
    <t xml:space="preserve">30-71038347-9 </t>
  </si>
  <si>
    <t xml:space="preserve">GROUTER S.R.L.                </t>
  </si>
  <si>
    <t xml:space="preserve">ROMULO NOYA 6381O D     </t>
  </si>
  <si>
    <t xml:space="preserve">30-71428617-6 </t>
  </si>
  <si>
    <t xml:space="preserve">GRUPO ARTECNICA S.R.L.        </t>
  </si>
  <si>
    <t xml:space="preserve">12 DE OCTUBRE 54817      </t>
  </si>
  <si>
    <t xml:space="preserve">30-70955463-4 </t>
  </si>
  <si>
    <t xml:space="preserve">GRUPO CO.SE.MA. S.R.L.        </t>
  </si>
  <si>
    <t xml:space="preserve">PEDRO MARTINI 415 </t>
  </si>
  <si>
    <t xml:space="preserve">GRUPO COSEMA- DARA ARIEL      </t>
  </si>
  <si>
    <t xml:space="preserve">PEDRO MARTINI 415  </t>
  </si>
  <si>
    <t xml:space="preserve">20-16983030-5 </t>
  </si>
  <si>
    <t xml:space="preserve">GRUPO FIP S.A. (ESTACION YPF) </t>
  </si>
  <si>
    <t xml:space="preserve">AV LAVALLE 2451 </t>
  </si>
  <si>
    <t xml:space="preserve">30-64580687-1 </t>
  </si>
  <si>
    <t xml:space="preserve">GRUPO PARANA SRL              </t>
  </si>
  <si>
    <t xml:space="preserve">TUCUMAN 455 P4           </t>
  </si>
  <si>
    <t xml:space="preserve">33-71520050-9 </t>
  </si>
  <si>
    <t xml:space="preserve">GRUPO SALADINO S.R.L.         </t>
  </si>
  <si>
    <t xml:space="preserve">GUARANI 273     </t>
  </si>
  <si>
    <t xml:space="preserve">30-71029687-8 </t>
  </si>
  <si>
    <t xml:space="preserve">GTS NEUMATICOS                </t>
  </si>
  <si>
    <t xml:space="preserve">AV RIVADAVIA 1540 RTA 6  </t>
  </si>
  <si>
    <t xml:space="preserve">30-71189187-7 </t>
  </si>
  <si>
    <t xml:space="preserve">GUARDIA RAUL OSCAR            </t>
  </si>
  <si>
    <t xml:space="preserve">BARRIO CECO CASA 791     </t>
  </si>
  <si>
    <t xml:space="preserve">20-27748434-0 </t>
  </si>
  <si>
    <t xml:space="preserve">GUARDO OSCAR ANTONIO          </t>
  </si>
  <si>
    <t xml:space="preserve">RODNEY 4547              </t>
  </si>
  <si>
    <t xml:space="preserve">LAFERRERE    </t>
  </si>
  <si>
    <t xml:space="preserve">20-12679332-5 </t>
  </si>
  <si>
    <t xml:space="preserve">GUERRERO NAHUEL               </t>
  </si>
  <si>
    <t xml:space="preserve">FELIX PAGOLA 1706        </t>
  </si>
  <si>
    <t xml:space="preserve">20-32780906-8 </t>
  </si>
  <si>
    <t xml:space="preserve">GUIBE S.A.                    </t>
  </si>
  <si>
    <t xml:space="preserve">AV WARNES 1548          </t>
  </si>
  <si>
    <t xml:space="preserve">33-70871350-9 </t>
  </si>
  <si>
    <t xml:space="preserve">GUIDI CARLOS - TRANSPORTE     </t>
  </si>
  <si>
    <t xml:space="preserve">AV ADER 2920 MUNRO     </t>
  </si>
  <si>
    <t xml:space="preserve">20-17674931-9 </t>
  </si>
  <si>
    <t xml:space="preserve">GUILLERMO E. BROLLO- TEINSA   </t>
  </si>
  <si>
    <t xml:space="preserve">JUSTA  1281  </t>
  </si>
  <si>
    <t xml:space="preserve">GUILLERMO FRACCHIA S.R.L.     </t>
  </si>
  <si>
    <t xml:space="preserve">OLAVARRIA 633 </t>
  </si>
  <si>
    <t>GUILLERMO LOMBARDO Y D. LOMBAR</t>
  </si>
  <si>
    <t xml:space="preserve">AV CALZON 624 TIGRE   </t>
  </si>
  <si>
    <t xml:space="preserve">30-67852671-8 </t>
  </si>
  <si>
    <t xml:space="preserve">GURIERREZ DANIEL ALBERTO      </t>
  </si>
  <si>
    <t xml:space="preserve">DE LA TORRE 1599         </t>
  </si>
  <si>
    <t xml:space="preserve">20-22739168-6 </t>
  </si>
  <si>
    <t>H F GRANT Y CIA SA DE CONSTRUC</t>
  </si>
  <si>
    <t xml:space="preserve">GALVANI 235 PB         </t>
  </si>
  <si>
    <t xml:space="preserve">H. C. PUMPER S.A.             </t>
  </si>
  <si>
    <t xml:space="preserve">AV CRAMER 4351 P B     </t>
  </si>
  <si>
    <t xml:space="preserve">HAUSWAGEN- PILAR S.A.         </t>
  </si>
  <si>
    <t xml:space="preserve">PANAMERICANA KM 51500 </t>
  </si>
  <si>
    <t xml:space="preserve">30-58831221-2 </t>
  </si>
  <si>
    <t xml:space="preserve">HAYTRAX S.A.                  </t>
  </si>
  <si>
    <t>BAIGORRIA 3754 PB DTO3</t>
  </si>
  <si>
    <t xml:space="preserve">30-70925477-0 </t>
  </si>
  <si>
    <t xml:space="preserve">HEAVYPARTS SRL                </t>
  </si>
  <si>
    <t xml:space="preserve">AV LARRABURE 1470        </t>
  </si>
  <si>
    <t xml:space="preserve">30-71447774-5 </t>
  </si>
  <si>
    <t xml:space="preserve">HERALDO GIACOVELLI            </t>
  </si>
  <si>
    <t xml:space="preserve">RUTA 191 KM 45          </t>
  </si>
  <si>
    <t xml:space="preserve">20-04675510-4 </t>
  </si>
  <si>
    <t xml:space="preserve">HEROVIAL SRL                  </t>
  </si>
  <si>
    <t>RUTA PANAMERICANA KM 40 C</t>
  </si>
  <si>
    <t xml:space="preserve">COL OESTE 29791          </t>
  </si>
  <si>
    <t xml:space="preserve">30-71209805-4 </t>
  </si>
  <si>
    <t xml:space="preserve">HIDRAULICA INTERIOR           </t>
  </si>
  <si>
    <t xml:space="preserve">COLECTORA OESTE 1038     </t>
  </si>
  <si>
    <t xml:space="preserve">ING MASCHWITZ            </t>
  </si>
  <si>
    <t xml:space="preserve">20-12114241-5 </t>
  </si>
  <si>
    <t xml:space="preserve">HIDRO GAS- CONSTANTINO MIGUEL </t>
  </si>
  <si>
    <t xml:space="preserve">AV GALESIO 618  </t>
  </si>
  <si>
    <t xml:space="preserve">20-12444431-5 </t>
  </si>
  <si>
    <t xml:space="preserve">GALLESIO 235     </t>
  </si>
  <si>
    <t xml:space="preserve">20-20267922-7 </t>
  </si>
  <si>
    <t xml:space="preserve">HIERROS BARADERO S.A.         </t>
  </si>
  <si>
    <t xml:space="preserve">MALABIA 227 BARADERO    </t>
  </si>
  <si>
    <t xml:space="preserve">HIERROS CAMPANA S.A.          </t>
  </si>
  <si>
    <t xml:space="preserve">CAPILLA DEL SENOR NO 8   </t>
  </si>
  <si>
    <t xml:space="preserve">HILLKIRK ALEJANDRO- ABOGADO   </t>
  </si>
  <si>
    <t xml:space="preserve">MORENO 586       </t>
  </si>
  <si>
    <t xml:space="preserve">20-24916055-6 </t>
  </si>
  <si>
    <t xml:space="preserve">HILLKIRK CONSTANZA- ABOGADA   </t>
  </si>
  <si>
    <t xml:space="preserve">27-28801662-9 </t>
  </si>
  <si>
    <t xml:space="preserve">HILTI  ARGENTINA SRL          </t>
  </si>
  <si>
    <t xml:space="preserve">HJB REFRIGERACION CAMPANA     </t>
  </si>
  <si>
    <t xml:space="preserve">DI LUCA 153              </t>
  </si>
  <si>
    <t xml:space="preserve">20-23836300-5 </t>
  </si>
  <si>
    <t xml:space="preserve">HK SERVICE S.R.L.             </t>
  </si>
  <si>
    <t xml:space="preserve">RIVADAVIA 475    </t>
  </si>
  <si>
    <t xml:space="preserve">30-71073096-9 </t>
  </si>
  <si>
    <t xml:space="preserve">HONDA MOTOR DE ARGENTINA      </t>
  </si>
  <si>
    <t xml:space="preserve">RUTA 6 KM 195            </t>
  </si>
  <si>
    <t xml:space="preserve">30-57754677-7 </t>
  </si>
  <si>
    <t xml:space="preserve">HORCRISA S.A. (HORMIGON)      </t>
  </si>
  <si>
    <t xml:space="preserve">MERMOZ 1585 EL TALAR   </t>
  </si>
  <si>
    <t xml:space="preserve">TIGRE            </t>
  </si>
  <si>
    <t xml:space="preserve">30-70775068-1 </t>
  </si>
  <si>
    <t xml:space="preserve">HORMIGONES CARDALES SA        </t>
  </si>
  <si>
    <t xml:space="preserve">HORMIPISOS S.H.               </t>
  </si>
  <si>
    <t xml:space="preserve">BOSCH 2571        </t>
  </si>
  <si>
    <t xml:space="preserve">30-70979319-1 </t>
  </si>
  <si>
    <t xml:space="preserve">HP STORE                      </t>
  </si>
  <si>
    <t xml:space="preserve">MONTANESES 2150          </t>
  </si>
  <si>
    <t xml:space="preserve">30-62155898-2 </t>
  </si>
  <si>
    <t xml:space="preserve">HUGO JOSE TROSSERO            </t>
  </si>
  <si>
    <t xml:space="preserve">TROFELLI 1700            </t>
  </si>
  <si>
    <t xml:space="preserve">20-06136615-7 </t>
  </si>
  <si>
    <t xml:space="preserve">HUMBERTO MANUEL BAUER         </t>
  </si>
  <si>
    <t xml:space="preserve">RUTA 8 KM 114           </t>
  </si>
  <si>
    <t xml:space="preserve">20-11923382-9 </t>
  </si>
  <si>
    <t xml:space="preserve">HURACAN S.R.L.                </t>
  </si>
  <si>
    <t xml:space="preserve">ZELADA 7261 </t>
  </si>
  <si>
    <t xml:space="preserve">30-50149751-3 </t>
  </si>
  <si>
    <t xml:space="preserve">HYDROMAC MAQUINAS S.A.        </t>
  </si>
  <si>
    <t xml:space="preserve">PANAMERICANA KM 28500   </t>
  </si>
  <si>
    <t xml:space="preserve">DON TORCUATO       </t>
  </si>
  <si>
    <t xml:space="preserve">30-64412061-5 </t>
  </si>
  <si>
    <t>HYS ZARATE SERV. NTEGRALES SRL</t>
  </si>
  <si>
    <t xml:space="preserve">MORENO 41 </t>
  </si>
  <si>
    <t xml:space="preserve">30-71082533-1 </t>
  </si>
  <si>
    <t xml:space="preserve">IERIC- CAMPANA                </t>
  </si>
  <si>
    <t xml:space="preserve">CASTILLA 314 OF 3     </t>
  </si>
  <si>
    <t xml:space="preserve">30-68631480-0 </t>
  </si>
  <si>
    <t xml:space="preserve">IGLESIAS LEONARDO VITO        </t>
  </si>
  <si>
    <t xml:space="preserve">WENCESLAO DE TATA 4444   </t>
  </si>
  <si>
    <t xml:space="preserve">CASEROS                  </t>
  </si>
  <si>
    <t xml:space="preserve">20-23414396-5 </t>
  </si>
  <si>
    <t xml:space="preserve">IGNACIO DEBELLO-LIBRERIA      </t>
  </si>
  <si>
    <t xml:space="preserve">FELIZ PAGOLA 441         </t>
  </si>
  <si>
    <t xml:space="preserve">20-23908464-9 </t>
  </si>
  <si>
    <t xml:space="preserve">ILLERA HERMANOS S.R.L.        </t>
  </si>
  <si>
    <t xml:space="preserve">U FERNANDEZ 467  </t>
  </si>
  <si>
    <t xml:space="preserve">30-66770077-5 </t>
  </si>
  <si>
    <t xml:space="preserve">IMPREC S.A.                   </t>
  </si>
  <si>
    <t xml:space="preserve">ESTAFETA SAN PEDRO      </t>
  </si>
  <si>
    <t>IMPRENTA BELEN-MASTROIACOVO MO</t>
  </si>
  <si>
    <t xml:space="preserve">CHILE 892         </t>
  </si>
  <si>
    <t xml:space="preserve">27-17629702-1 </t>
  </si>
  <si>
    <t xml:space="preserve">INC S.A.                      </t>
  </si>
  <si>
    <t xml:space="preserve">SALGUERO 3212            </t>
  </si>
  <si>
    <t xml:space="preserve">INDESUR ARGENTINA S.A.        </t>
  </si>
  <si>
    <t xml:space="preserve">H ASCASUBI 480          </t>
  </si>
  <si>
    <t xml:space="preserve">WILDE                    </t>
  </si>
  <si>
    <t xml:space="preserve">33-70850322-9 </t>
  </si>
  <si>
    <t xml:space="preserve">INDUSTRIA ARG DEL DESCANSO SA </t>
  </si>
  <si>
    <t xml:space="preserve">PANAMERICANA 386        </t>
  </si>
  <si>
    <t xml:space="preserve">GARIN                    </t>
  </si>
  <si>
    <t xml:space="preserve">30-70850362-9 </t>
  </si>
  <si>
    <t xml:space="preserve">INDUSTRIAS EDIGMA SRL         </t>
  </si>
  <si>
    <t xml:space="preserve">CHURRUCA 8254            </t>
  </si>
  <si>
    <t xml:space="preserve">LOMA HERMOSA             </t>
  </si>
  <si>
    <t xml:space="preserve">30-70998786-7 </t>
  </si>
  <si>
    <t xml:space="preserve">INDUSTRIAS MARCELINI S.A.     </t>
  </si>
  <si>
    <t xml:space="preserve">RUTA 94 KM 26 0          </t>
  </si>
  <si>
    <t xml:space="preserve">VILLA CANAS              </t>
  </si>
  <si>
    <t xml:space="preserve">PCIA SANTA FE            </t>
  </si>
  <si>
    <t xml:space="preserve">30-71043662-9 </t>
  </si>
  <si>
    <t xml:space="preserve">ING. ALEJANDRO PANNUNZIO S.A. </t>
  </si>
  <si>
    <t xml:space="preserve">AV DEL LIBERTADOR 13925 </t>
  </si>
  <si>
    <t xml:space="preserve">OF 23 MARTINEZ </t>
  </si>
  <si>
    <t xml:space="preserve">30-65850295-2 </t>
  </si>
  <si>
    <t xml:space="preserve">ING. EUGENIO MENDIGUREN S.A.  </t>
  </si>
  <si>
    <t xml:space="preserve">ALTE BROWN 1198 - MORON </t>
  </si>
  <si>
    <t xml:space="preserve">PCIA BUENOS AIRES       </t>
  </si>
  <si>
    <t xml:space="preserve">30-68499158-9 </t>
  </si>
  <si>
    <t xml:space="preserve">ING. MARCOS GERMAN PERTOSI    </t>
  </si>
  <si>
    <t xml:space="preserve">ANTARTIDA ARGENTINA 2510 </t>
  </si>
  <si>
    <t xml:space="preserve">20-22401631-0 </t>
  </si>
  <si>
    <t>INIGUEZ OSCAR OSVALDO ROTISERI</t>
  </si>
  <si>
    <t xml:space="preserve">SAENZ PENA 701   </t>
  </si>
  <si>
    <t xml:space="preserve">PCIA DE          </t>
  </si>
  <si>
    <t xml:space="preserve">INMATEL SA                    </t>
  </si>
  <si>
    <t xml:space="preserve">BERTOLINI 761            </t>
  </si>
  <si>
    <t xml:space="preserve">30-71084919-2 </t>
  </si>
  <si>
    <t xml:space="preserve">INMOBILIARIA JEANMAIRE        </t>
  </si>
  <si>
    <t xml:space="preserve">ITUIZANGO 888            </t>
  </si>
  <si>
    <t xml:space="preserve">27-06278176-4   </t>
  </si>
  <si>
    <t xml:space="preserve">INPRINT DE TONTI CLAUDIO RAUL </t>
  </si>
  <si>
    <t xml:space="preserve">GALESIO 525 DPTO 1       </t>
  </si>
  <si>
    <t xml:space="preserve">20-13776354-1 </t>
  </si>
  <si>
    <t xml:space="preserve">ROMULO NOYA  670        </t>
  </si>
  <si>
    <t>INSTRUM.AUTOM.- FOSSATI CARLOS</t>
  </si>
  <si>
    <t xml:space="preserve">LAVALLE 1527     </t>
  </si>
  <si>
    <t xml:space="preserve">23-20981149-9 </t>
  </si>
  <si>
    <t xml:space="preserve">IRON GROUP S.A.               </t>
  </si>
  <si>
    <t xml:space="preserve">COLECTESTE PANAMERICANA </t>
  </si>
  <si>
    <t xml:space="preserve">KM 26,351 DON TORCUATO </t>
  </si>
  <si>
    <t xml:space="preserve">NORTE. BS. AS.           </t>
  </si>
  <si>
    <t>ISMAEL FERRAROTTI S.A.C.I.F.I.</t>
  </si>
  <si>
    <t xml:space="preserve">RUTA 8 Y SAN  MARTIN    </t>
  </si>
  <si>
    <t xml:space="preserve">PILAR             </t>
  </si>
  <si>
    <t xml:space="preserve">30-53237635-8 </t>
  </si>
  <si>
    <t xml:space="preserve">ITAL ROUEN SA                 </t>
  </si>
  <si>
    <t xml:space="preserve">LAVALLE 1650             </t>
  </si>
  <si>
    <t xml:space="preserve">30-70865973-4 </t>
  </si>
  <si>
    <t xml:space="preserve">IVECAM S.A.                   </t>
  </si>
  <si>
    <t>AV 101 (EX RUTA 8) 2984</t>
  </si>
  <si>
    <t xml:space="preserve">30-56227129-1 </t>
  </si>
  <si>
    <t xml:space="preserve">IVECO ARGENTINA S.A.          </t>
  </si>
  <si>
    <t>DELLA PAOLERA CARLOS 297</t>
  </si>
  <si>
    <t xml:space="preserve">PISO 24 CABA        </t>
  </si>
  <si>
    <t xml:space="preserve">30-58589526-8 </t>
  </si>
  <si>
    <t xml:space="preserve">IZAJES Y MONTAJES S.A.        </t>
  </si>
  <si>
    <t xml:space="preserve">JUSTA  1361         </t>
  </si>
  <si>
    <t xml:space="preserve">IZAVANI S.A.                  </t>
  </si>
  <si>
    <t>AV MAYO 752 5O P DTO 104</t>
  </si>
  <si>
    <t xml:space="preserve">30-71425238-7 </t>
  </si>
  <si>
    <t xml:space="preserve">J., L. Y D. ZARANTONELLO S.H. </t>
  </si>
  <si>
    <t xml:space="preserve">AMEGHINO 781     </t>
  </si>
  <si>
    <t xml:space="preserve">30-68678867-5 </t>
  </si>
  <si>
    <t xml:space="preserve">JANEZ ANDRES OSVALDO          </t>
  </si>
  <si>
    <t xml:space="preserve">DEAN FUNES 1184          </t>
  </si>
  <si>
    <t xml:space="preserve">20-23957138-8 </t>
  </si>
  <si>
    <t xml:space="preserve">JCO SRL                       </t>
  </si>
  <si>
    <t xml:space="preserve">BARLETTA 1132            </t>
  </si>
  <si>
    <t xml:space="preserve">33-70745215-9 </t>
  </si>
  <si>
    <t xml:space="preserve">JORGE A DIAZ - CASA ABERTURAS </t>
  </si>
  <si>
    <t xml:space="preserve">LAVALLE Y MITRE          </t>
  </si>
  <si>
    <t xml:space="preserve">20-13388880-3   </t>
  </si>
  <si>
    <t xml:space="preserve">JORGE ALBERTO JUGUER          </t>
  </si>
  <si>
    <t xml:space="preserve">MITRE 431                </t>
  </si>
  <si>
    <t xml:space="preserve">CAP FED                  </t>
  </si>
  <si>
    <t xml:space="preserve">20-08186682-2 </t>
  </si>
  <si>
    <t xml:space="preserve">JORGE ALBERTO TISERA          </t>
  </si>
  <si>
    <t xml:space="preserve">RIVADAVIA 1469           </t>
  </si>
  <si>
    <t xml:space="preserve">20-04744445-5 </t>
  </si>
  <si>
    <t xml:space="preserve">JORGE H. MARTIN - TICER       </t>
  </si>
  <si>
    <t xml:space="preserve">ITUZAINGO 902            </t>
  </si>
  <si>
    <t xml:space="preserve">20-24916488-8 </t>
  </si>
  <si>
    <t xml:space="preserve">JORGE JAVIER OBARRIO          </t>
  </si>
  <si>
    <t>AV SEGUROLA 3223 PB B CAB</t>
  </si>
  <si>
    <t xml:space="preserve">20-16722652-4 </t>
  </si>
  <si>
    <t xml:space="preserve">JORGE RODRIGUEZ - LEYMA       </t>
  </si>
  <si>
    <t xml:space="preserve">GOUJON 221               </t>
  </si>
  <si>
    <t xml:space="preserve">20-10963133-8 </t>
  </si>
  <si>
    <t xml:space="preserve">JORGE ZANZUCHI                </t>
  </si>
  <si>
    <t xml:space="preserve">SAAVEDRA 1131            </t>
  </si>
  <si>
    <t xml:space="preserve">20-10896319-1 </t>
  </si>
  <si>
    <t xml:space="preserve">JOSEFINA TUCULET              </t>
  </si>
  <si>
    <t xml:space="preserve">27-25382254-1 </t>
  </si>
  <si>
    <t>JOSUE T-V DE NAVAZZOTTI ANALIA</t>
  </si>
  <si>
    <t>BERNARDO DE IRIGOYEN 1235</t>
  </si>
  <si>
    <t xml:space="preserve">27-22744414-8 </t>
  </si>
  <si>
    <t xml:space="preserve">JOYERIA FRISCO                </t>
  </si>
  <si>
    <t xml:space="preserve">FELIX PAGOLA 368         </t>
  </si>
  <si>
    <t xml:space="preserve">23-25688277-9 </t>
  </si>
  <si>
    <t xml:space="preserve">JUAN CURTI                    </t>
  </si>
  <si>
    <t xml:space="preserve">PERU 40           </t>
  </si>
  <si>
    <t xml:space="preserve">20-11305994-0 </t>
  </si>
  <si>
    <t xml:space="preserve">JUAN MARTIN TUCULET           </t>
  </si>
  <si>
    <t xml:space="preserve">ROCA 15           </t>
  </si>
  <si>
    <t xml:space="preserve">20-23363015-3 </t>
  </si>
  <si>
    <t>JULIO GERBAUDO Y RUBEN SCHIARI</t>
  </si>
  <si>
    <t>RUTA 12 KM 84 EX RUTA 193</t>
  </si>
  <si>
    <t xml:space="preserve">30-70752074-0 </t>
  </si>
  <si>
    <t xml:space="preserve">JUMBO RETAIL ARGENTINA SA     </t>
  </si>
  <si>
    <t xml:space="preserve">SUIPACHA 1111 P18       </t>
  </si>
  <si>
    <t xml:space="preserve">30-70877296-4 </t>
  </si>
  <si>
    <t xml:space="preserve">JUMIZAR S.A. (VOLQUETES MILU) </t>
  </si>
  <si>
    <t xml:space="preserve">CALLE 2 NO 247   </t>
  </si>
  <si>
    <t>JV NEUMATICOS DE VERNIMMY JOSE</t>
  </si>
  <si>
    <t xml:space="preserve">FELIX PAGOLA 67  </t>
  </si>
  <si>
    <t xml:space="preserve">20-04747359-5 </t>
  </si>
  <si>
    <t xml:space="preserve">KAISEN SEGURIDAD S.A.         </t>
  </si>
  <si>
    <t xml:space="preserve">OLAZABAL 292 </t>
  </si>
  <si>
    <t>GRAL PACHECO</t>
  </si>
  <si>
    <t xml:space="preserve">30-70848086-6 </t>
  </si>
  <si>
    <t xml:space="preserve">KALAYDJIAN CARLOS             </t>
  </si>
  <si>
    <t xml:space="preserve">BUSSO 27                 </t>
  </si>
  <si>
    <t xml:space="preserve">20-14101730-7 </t>
  </si>
  <si>
    <t xml:space="preserve">KAPLAST ARGENTINA S.A.        </t>
  </si>
  <si>
    <t xml:space="preserve">RUTA 9 KM 78,7  </t>
  </si>
  <si>
    <t xml:space="preserve">KASETA JORGE LUIS             </t>
  </si>
  <si>
    <t xml:space="preserve">AV 11 NO890              </t>
  </si>
  <si>
    <t xml:space="preserve">20-08353926-8 </t>
  </si>
  <si>
    <t xml:space="preserve">KELCOT SA                     </t>
  </si>
  <si>
    <t xml:space="preserve">ROMAN GOMEZ 2085         </t>
  </si>
  <si>
    <t xml:space="preserve">J INGENIEROS             </t>
  </si>
  <si>
    <t xml:space="preserve">33-58045297-9 </t>
  </si>
  <si>
    <t xml:space="preserve">KETTI MARIA VICTORIA          </t>
  </si>
  <si>
    <t xml:space="preserve">BOLIVAR 923              </t>
  </si>
  <si>
    <t xml:space="preserve">27-31039560-4 </t>
  </si>
  <si>
    <t xml:space="preserve">KIHARA FLORENCIA LILIANA      </t>
  </si>
  <si>
    <t xml:space="preserve">AV CORRIENTES 1312      </t>
  </si>
  <si>
    <t xml:space="preserve">27-27582510-2 </t>
  </si>
  <si>
    <t xml:space="preserve">KM. 51 DE GUIZZI ROBERTO F.   </t>
  </si>
  <si>
    <t xml:space="preserve">REMEDIOS DE ESCALADA 430 </t>
  </si>
  <si>
    <t xml:space="preserve">20-11770681-9 </t>
  </si>
  <si>
    <t xml:space="preserve">KOVAL HERNAN                  </t>
  </si>
  <si>
    <t xml:space="preserve">R NOYA 879      </t>
  </si>
  <si>
    <t xml:space="preserve">23-17699934-9 </t>
  </si>
  <si>
    <t>KRIGER FEDERICO DANIEL- CAMION</t>
  </si>
  <si>
    <t xml:space="preserve">SAN MARTIN 0 OLAVARRIA  </t>
  </si>
  <si>
    <t xml:space="preserve">COLONIA SAN MIGUEL       </t>
  </si>
  <si>
    <t xml:space="preserve">20-30460963-0 </t>
  </si>
  <si>
    <t xml:space="preserve">LA ARGENTINA S.A.             </t>
  </si>
  <si>
    <t xml:space="preserve">AV 6 DE JULIO 1422      </t>
  </si>
  <si>
    <t xml:space="preserve">LA BLOQUERA S.A.              </t>
  </si>
  <si>
    <t xml:space="preserve">GONZALEZ CHAVEZ 1139    </t>
  </si>
  <si>
    <t xml:space="preserve">CHASCOMUS        </t>
  </si>
  <si>
    <t xml:space="preserve">LA CABANA DE MARTINEZ         </t>
  </si>
  <si>
    <t xml:space="preserve">ALVEAR 1073              </t>
  </si>
  <si>
    <t xml:space="preserve">30-71525004-3 </t>
  </si>
  <si>
    <t>LA CAMPANENSE, PAOLA A GALIANO</t>
  </si>
  <si>
    <t>AV MITRE 892 1O PISO OF</t>
  </si>
  <si>
    <t xml:space="preserve">27-23363812-4 </t>
  </si>
  <si>
    <t xml:space="preserve">LA CASA DE LAS ABERTURAS      </t>
  </si>
  <si>
    <t xml:space="preserve">LA CASA DEL RADIADOR          </t>
  </si>
  <si>
    <t xml:space="preserve">LA LUCY  DE JUAN CILIBERTI    </t>
  </si>
  <si>
    <t xml:space="preserve">LNALEM 1280    </t>
  </si>
  <si>
    <t xml:space="preserve">20-16983172-7 </t>
  </si>
  <si>
    <t xml:space="preserve">LA MERCANTIL ANDINA S.A.      </t>
  </si>
  <si>
    <t xml:space="preserve">AV BELGRANO 672         </t>
  </si>
  <si>
    <t xml:space="preserve">30-50003691-1 </t>
  </si>
  <si>
    <t xml:space="preserve">LA PREFERIDA DE ALBANO MARIO </t>
  </si>
  <si>
    <t xml:space="preserve">FELIX PAGOLA 22   </t>
  </si>
  <si>
    <t>LA UNION HOGAR- BRICK ART S.A.</t>
  </si>
  <si>
    <t xml:space="preserve">JUSTA  453           </t>
  </si>
  <si>
    <t xml:space="preserve">30-64170954-5   </t>
  </si>
  <si>
    <t xml:space="preserve">LA VOZ DE ZARATE S.R.L        </t>
  </si>
  <si>
    <t xml:space="preserve">BROWN 742                </t>
  </si>
  <si>
    <t xml:space="preserve">30-64624581-4 </t>
  </si>
  <si>
    <t>LA ZELINDA- BENITO BOLTARO Y M</t>
  </si>
  <si>
    <t>LIBERTAD 1352 6O PISO A</t>
  </si>
  <si>
    <t xml:space="preserve">30-61565539-9 </t>
  </si>
  <si>
    <t>LABEGLIA SERV.DE CLAUDIA ORTIZ</t>
  </si>
  <si>
    <t xml:space="preserve">PEDRO MARTINI 1827      </t>
  </si>
  <si>
    <t xml:space="preserve">27-23986525-4 </t>
  </si>
  <si>
    <t>LABORATORIO DE RIOS MIGUEL ANT</t>
  </si>
  <si>
    <t xml:space="preserve">BERUTTI 282     </t>
  </si>
  <si>
    <t xml:space="preserve">20-23208742-1 </t>
  </si>
  <si>
    <t xml:space="preserve">LAGO SEBASTIAN MANUEL         </t>
  </si>
  <si>
    <t xml:space="preserve">BARCELONA 1540           </t>
  </si>
  <si>
    <t xml:space="preserve">BANFIELD                 </t>
  </si>
  <si>
    <t xml:space="preserve">20-33335195-2 </t>
  </si>
  <si>
    <t>LAMBERT ATILIO Y LAMBERT JORGE</t>
  </si>
  <si>
    <t>RUTA NAC NO 14 KM 125</t>
  </si>
  <si>
    <t>PARQUE INDUSTRIAL CONCEP</t>
  </si>
  <si>
    <t>CION DEL URUGUAY. E. RIOS</t>
  </si>
  <si>
    <t xml:space="preserve">30-58301964-9 </t>
  </si>
  <si>
    <t xml:space="preserve">LAS ACACIAS S.R.L.            </t>
  </si>
  <si>
    <t xml:space="preserve">POETA AGUERO 391 MERLO  </t>
  </si>
  <si>
    <t xml:space="preserve">SAN LUIS                 </t>
  </si>
  <si>
    <t xml:space="preserve">30-70821719-7 </t>
  </si>
  <si>
    <t xml:space="preserve">LAS SIERRAS S.R.L.            </t>
  </si>
  <si>
    <t xml:space="preserve">RUTA NACIONAL 36 Y ADOS  </t>
  </si>
  <si>
    <t xml:space="preserve">RIO CUARTO CORDOBA     </t>
  </si>
  <si>
    <t xml:space="preserve">30-70799487-4 </t>
  </si>
  <si>
    <t xml:space="preserve">LASER DISC ARGENTINA SA       </t>
  </si>
  <si>
    <t xml:space="preserve">CORVALAN 1848            </t>
  </si>
  <si>
    <t xml:space="preserve">30-66296058-2 </t>
  </si>
  <si>
    <t xml:space="preserve">LATORRE MARCELA CRISTINA      </t>
  </si>
  <si>
    <t xml:space="preserve">CALLE 473 NO 1305        </t>
  </si>
  <si>
    <t xml:space="preserve">CITY BELL                </t>
  </si>
  <si>
    <t xml:space="preserve">LA PLATA, BUENOS AIRES   </t>
  </si>
  <si>
    <t xml:space="preserve">27-22260971-8 </t>
  </si>
  <si>
    <t xml:space="preserve">LAURENZANA LAURA JORGELINA    </t>
  </si>
  <si>
    <t xml:space="preserve">SAN MARTIN 594           </t>
  </si>
  <si>
    <t xml:space="preserve">LONGCHAMPS               </t>
  </si>
  <si>
    <t xml:space="preserve">27-29910765-0 </t>
  </si>
  <si>
    <t xml:space="preserve">LEGATEC DE LEONARDO GAZZIA    </t>
  </si>
  <si>
    <t xml:space="preserve">PJE O LEGUIZAMON 7158  </t>
  </si>
  <si>
    <t xml:space="preserve">20-23509291-4 </t>
  </si>
  <si>
    <t>LEGUIZAMON ROBERTO - ROTISERIA</t>
  </si>
  <si>
    <t xml:space="preserve">AV ANTA 79              </t>
  </si>
  <si>
    <t xml:space="preserve">23-24478148-9 </t>
  </si>
  <si>
    <t xml:space="preserve">LEIVA RAMON HECTOR            </t>
  </si>
  <si>
    <t xml:space="preserve">LAVALLE 3456             </t>
  </si>
  <si>
    <t xml:space="preserve">VILLA LIBERTAD           </t>
  </si>
  <si>
    <t xml:space="preserve">20-08240148-3 </t>
  </si>
  <si>
    <t>LENCINA ALBERTO- MADERAS SAN P</t>
  </si>
  <si>
    <t xml:space="preserve">LAVALLE 1151      </t>
  </si>
  <si>
    <t xml:space="preserve">20-12674254-2 </t>
  </si>
  <si>
    <t xml:space="preserve">LETANU Y AREVALO SH           </t>
  </si>
  <si>
    <t xml:space="preserve">JORGE R VARELA 643       </t>
  </si>
  <si>
    <t xml:space="preserve">30-57149624-7 </t>
  </si>
  <si>
    <t xml:space="preserve">LEVAL SA                      </t>
  </si>
  <si>
    <t xml:space="preserve">RAMIREZ DE VELASCO 517   </t>
  </si>
  <si>
    <t xml:space="preserve">30-64508027-7 </t>
  </si>
  <si>
    <t xml:space="preserve">LEYCO S.R.L.                  </t>
  </si>
  <si>
    <t xml:space="preserve">ROMULO NOYA 973          </t>
  </si>
  <si>
    <t xml:space="preserve">30-70779274-0 </t>
  </si>
  <si>
    <t xml:space="preserve">LILIANA PEREZ                 </t>
  </si>
  <si>
    <t xml:space="preserve">UBALDO FERNANDEZ 689     </t>
  </si>
  <si>
    <t>LIM-ZART. CARDOZO ISAAC AGUSTI</t>
  </si>
  <si>
    <t>ANTARTIDA ARGENTINA 4605</t>
  </si>
  <si>
    <t xml:space="preserve">20-12048972-1 </t>
  </si>
  <si>
    <t xml:space="preserve">LIN HUAJIAO                   </t>
  </si>
  <si>
    <t xml:space="preserve">LAS ORQUIDEAS 1658       </t>
  </si>
  <si>
    <t xml:space="preserve">27-94032497-7 </t>
  </si>
  <si>
    <t>LINING MADERAS DE EDMUNDO, WAL</t>
  </si>
  <si>
    <t xml:space="preserve">AV LAVALLE 1255  </t>
  </si>
  <si>
    <t xml:space="preserve">30-59527639-6 </t>
  </si>
  <si>
    <t xml:space="preserve">LINSER S.A.C.I.S.             </t>
  </si>
  <si>
    <t xml:space="preserve">BOGOTA 2384     </t>
  </si>
  <si>
    <t xml:space="preserve">30-51989149-9 </t>
  </si>
  <si>
    <t xml:space="preserve">LLADOS ABEL ANDRES-REMATES    </t>
  </si>
  <si>
    <t xml:space="preserve">BERUTTI 858             </t>
  </si>
  <si>
    <t xml:space="preserve">VILLA CONSTITUCION      </t>
  </si>
  <si>
    <t xml:space="preserve">20-06144268-6 </t>
  </si>
  <si>
    <t xml:space="preserve">LO JACK- CAR SECURITY S.A.    </t>
  </si>
  <si>
    <t xml:space="preserve">SAN LORENZO 3887        </t>
  </si>
  <si>
    <t xml:space="preserve">OLIVOS           </t>
  </si>
  <si>
    <t xml:space="preserve">30-69874417-7 </t>
  </si>
  <si>
    <t xml:space="preserve">LOOSE MARTIN LEONEL           </t>
  </si>
  <si>
    <t xml:space="preserve">LUIS PEREYRA 441         </t>
  </si>
  <si>
    <t xml:space="preserve">23-26323645-9 </t>
  </si>
  <si>
    <t xml:space="preserve">LORENZO I. Y LORENZO D.  S.H. </t>
  </si>
  <si>
    <t xml:space="preserve">CARLOS PELEGRINI 616     </t>
  </si>
  <si>
    <t xml:space="preserve">LUJANPROV        </t>
  </si>
  <si>
    <t xml:space="preserve">30-70988010-8 </t>
  </si>
  <si>
    <t>LORENZO LAROCCA E HIJOS S.A.I.</t>
  </si>
  <si>
    <t xml:space="preserve">AV EVA PERON 2242      </t>
  </si>
  <si>
    <t xml:space="preserve">30-52756821-4 </t>
  </si>
  <si>
    <t xml:space="preserve">LOS PINOS DE NEUMANN CESAR A. </t>
  </si>
  <si>
    <t xml:space="preserve">SAVIO 1093 SAN NICOLAS  </t>
  </si>
  <si>
    <t xml:space="preserve">23-27564068-9 </t>
  </si>
  <si>
    <t>LR CONSULTORA-CASANOVA MARIANA</t>
  </si>
  <si>
    <t xml:space="preserve">CALLE 8 NO 471 LA PLATA </t>
  </si>
  <si>
    <t xml:space="preserve">LA PLATA                 </t>
  </si>
  <si>
    <t xml:space="preserve">27-21835465-9 </t>
  </si>
  <si>
    <t xml:space="preserve">LS ELECTROMEC S.R.L.          </t>
  </si>
  <si>
    <t>AMEGHINO 428  BS</t>
  </si>
  <si>
    <t xml:space="preserve">30-70850154-5 </t>
  </si>
  <si>
    <t xml:space="preserve">LUB AND VOL S.R.L.- VOLQUETES </t>
  </si>
  <si>
    <t xml:space="preserve">GRAL PAZ 943    </t>
  </si>
  <si>
    <t xml:space="preserve">30-71134462-0 </t>
  </si>
  <si>
    <t xml:space="preserve">LUBRICAR ALEM S.H.            </t>
  </si>
  <si>
    <t xml:space="preserve">LN ALEM 610            </t>
  </si>
  <si>
    <t>LUBRICENTRO- BALVIDARES ANALIA</t>
  </si>
  <si>
    <t xml:space="preserve">AV GALLESIO 289 </t>
  </si>
  <si>
    <t xml:space="preserve">27-11139676-6 </t>
  </si>
  <si>
    <t xml:space="preserve">LUBRICENTRO DE PACINI JULIO Y </t>
  </si>
  <si>
    <t xml:space="preserve">SAN MARTIN 2663         </t>
  </si>
  <si>
    <t xml:space="preserve">VILLA GDOR GALVES      </t>
  </si>
  <si>
    <t xml:space="preserve">30-70146048-7 </t>
  </si>
  <si>
    <t xml:space="preserve">LUCARELLI SEBASTIAN LUIS      </t>
  </si>
  <si>
    <t xml:space="preserve">AMEGUINO 741             </t>
  </si>
  <si>
    <t xml:space="preserve">20-25355807-6 </t>
  </si>
  <si>
    <t xml:space="preserve">LUIS LEONARDO ROMERO          </t>
  </si>
  <si>
    <t xml:space="preserve">SAN LORENZO 198          </t>
  </si>
  <si>
    <t xml:space="preserve">20-34400949-0 </t>
  </si>
  <si>
    <t xml:space="preserve">LUIS MARIA POLETTI            </t>
  </si>
  <si>
    <t xml:space="preserve">AMEGHINO 958             </t>
  </si>
  <si>
    <t xml:space="preserve">20-04732571-5 </t>
  </si>
  <si>
    <t xml:space="preserve">LUIS O. AGUILAR               </t>
  </si>
  <si>
    <t xml:space="preserve">MELILLO 410       </t>
  </si>
  <si>
    <t xml:space="preserve">20-10877376-7 </t>
  </si>
  <si>
    <t xml:space="preserve">LUISA ANDREA DENIS            </t>
  </si>
  <si>
    <t xml:space="preserve">NEUQUEN 1336             </t>
  </si>
  <si>
    <t xml:space="preserve">VILLA CONSTITUCION       </t>
  </si>
  <si>
    <t xml:space="preserve">2919                     </t>
  </si>
  <si>
    <t xml:space="preserve">27-28395184-2 </t>
  </si>
  <si>
    <t xml:space="preserve">LUNA HECTOR ANTONIO- FLETE    </t>
  </si>
  <si>
    <t xml:space="preserve">BELGRANO 789 </t>
  </si>
  <si>
    <t xml:space="preserve">20-16986410-2 </t>
  </si>
  <si>
    <t xml:space="preserve">LUVAL S.R.L.                  </t>
  </si>
  <si>
    <t>INDEPENDENCIA NO 933OF6</t>
  </si>
  <si>
    <t xml:space="preserve">30-71133650-4 </t>
  </si>
  <si>
    <t>MA.GE DE ROBLEDO OSCAR ELECTRI</t>
  </si>
  <si>
    <t xml:space="preserve">RODRIGUEZ PENA 2753     </t>
  </si>
  <si>
    <t xml:space="preserve">20-29990499-8 </t>
  </si>
  <si>
    <t xml:space="preserve">MACCAFERRI DE ARG SA          </t>
  </si>
  <si>
    <t xml:space="preserve">GUEMES 1233              </t>
  </si>
  <si>
    <t xml:space="preserve">BENAVIDEZ                </t>
  </si>
  <si>
    <t xml:space="preserve">30-60945048-3 </t>
  </si>
  <si>
    <t xml:space="preserve">MACHERETT HUGO EDUARDO        </t>
  </si>
  <si>
    <t xml:space="preserve">ALBERTI 1027             </t>
  </si>
  <si>
    <t xml:space="preserve">23-08488628-9 </t>
  </si>
  <si>
    <t xml:space="preserve">MACSI S.A.C.I.F.I.            </t>
  </si>
  <si>
    <t xml:space="preserve">ALFREDO I PALACIOS 3251 </t>
  </si>
  <si>
    <t xml:space="preserve">LOMAS DEL MIRADOR        </t>
  </si>
  <si>
    <t xml:space="preserve">MADERERA POSADAS S.A.         </t>
  </si>
  <si>
    <t xml:space="preserve">A R BUFANO 2735        </t>
  </si>
  <si>
    <t xml:space="preserve">30-51629593-3 </t>
  </si>
  <si>
    <t xml:space="preserve">MADOZ JORGE ARQUITECTO        </t>
  </si>
  <si>
    <t xml:space="preserve">MAIPU 58                 </t>
  </si>
  <si>
    <t xml:space="preserve">20-11139478-5 </t>
  </si>
  <si>
    <t xml:space="preserve">MAGAZINE DE TOLEDO LUCRECIA   </t>
  </si>
  <si>
    <t xml:space="preserve">MORENO 289       </t>
  </si>
  <si>
    <t xml:space="preserve">27-13776849-1 </t>
  </si>
  <si>
    <t xml:space="preserve">MAGDALENA IOVINE- ROTISERIA   </t>
  </si>
  <si>
    <t xml:space="preserve">H YRIGOYEN 301   </t>
  </si>
  <si>
    <t xml:space="preserve">27-11473547-2 </t>
  </si>
  <si>
    <t xml:space="preserve">MAIOCCO JULIO CESAR TRANSP.   </t>
  </si>
  <si>
    <t>GALVEZ 2867- PISO 1 DTO2</t>
  </si>
  <si>
    <t xml:space="preserve">ROSARIO SUD SANTA FE    </t>
  </si>
  <si>
    <t xml:space="preserve">20-10959820-9 </t>
  </si>
  <si>
    <t xml:space="preserve">MALPEZA SA                    </t>
  </si>
  <si>
    <t xml:space="preserve">AV ANT ARG 2211          </t>
  </si>
  <si>
    <t xml:space="preserve">30-71513663-1 </t>
  </si>
  <si>
    <t xml:space="preserve">MALVICINO FERNANDO IVAN       </t>
  </si>
  <si>
    <t xml:space="preserve">CORDOBA 1335             </t>
  </si>
  <si>
    <t xml:space="preserve">23-17252519-9 </t>
  </si>
  <si>
    <t xml:space="preserve">MANCINI DOMATTO S.R.L.        </t>
  </si>
  <si>
    <t xml:space="preserve">HIPOLITO YRIGOYEN 1757  </t>
  </si>
  <si>
    <t xml:space="preserve">30-66769462-7 </t>
  </si>
  <si>
    <t xml:space="preserve">MANGIANTINI Y ROSSI S.H.      </t>
  </si>
  <si>
    <t xml:space="preserve">MANUEL DE LA TORRE 1302  </t>
  </si>
  <si>
    <t xml:space="preserve">30-62447771-1 </t>
  </si>
  <si>
    <t xml:space="preserve">MANJARES  S.R.L.              </t>
  </si>
  <si>
    <t xml:space="preserve">UBALDO FERNANDEZ 565     </t>
  </si>
  <si>
    <t xml:space="preserve">30-70803969-8 </t>
  </si>
  <si>
    <t xml:space="preserve">MANSILLA MARIO                </t>
  </si>
  <si>
    <t xml:space="preserve">GUILLERMO MARCONI 2010   </t>
  </si>
  <si>
    <t xml:space="preserve">PASO DEL REY             </t>
  </si>
  <si>
    <t xml:space="preserve">20-17855218-0 </t>
  </si>
  <si>
    <t xml:space="preserve">MAQUIGOD S.R.L.               </t>
  </si>
  <si>
    <t xml:space="preserve">VENEZUELA 1075 </t>
  </si>
  <si>
    <t xml:space="preserve">EL TALAR </t>
  </si>
  <si>
    <t xml:space="preserve">30-71072424-1 </t>
  </si>
  <si>
    <t>MAQUINARIAS MAJU- GOMEZ OSVALD</t>
  </si>
  <si>
    <t xml:space="preserve">BRIGJ M DE ROSAS 1780 </t>
  </si>
  <si>
    <t xml:space="preserve">20-13892904-4 </t>
  </si>
  <si>
    <t xml:space="preserve">MARA BORRAJO FERNANDEZ        </t>
  </si>
  <si>
    <t xml:space="preserve">BERTOLINI 624            </t>
  </si>
  <si>
    <t xml:space="preserve">27-34162566-7 </t>
  </si>
  <si>
    <t xml:space="preserve">MARANELLO OIL SA              </t>
  </si>
  <si>
    <t xml:space="preserve">RIVADAVIA 461            </t>
  </si>
  <si>
    <t xml:space="preserve">33-71455278-9 </t>
  </si>
  <si>
    <t xml:space="preserve">MARC KEMAK SRL                </t>
  </si>
  <si>
    <t xml:space="preserve">CALLE 48 NO 726          </t>
  </si>
  <si>
    <t xml:space="preserve">30-71050839-5 </t>
  </si>
  <si>
    <t xml:space="preserve">MARCO DE MARCOS D'AGOSTINO  </t>
  </si>
  <si>
    <t xml:space="preserve">BDO DE IRIGOYEN 740    </t>
  </si>
  <si>
    <t xml:space="preserve">20-15297636-5 </t>
  </si>
  <si>
    <t xml:space="preserve">MARCONI FIDEL R Y GUILLERMO A </t>
  </si>
  <si>
    <t xml:space="preserve">FRAGAT ARGENTINA 1925    </t>
  </si>
  <si>
    <t xml:space="preserve">33-62761356-9 </t>
  </si>
  <si>
    <t xml:space="preserve">MARCOS CILIBERTI              </t>
  </si>
  <si>
    <t xml:space="preserve">ALEM 1280                </t>
  </si>
  <si>
    <t xml:space="preserve">23-20343211-9 </t>
  </si>
  <si>
    <t xml:space="preserve">MARIA DE LOS ANGELES PICON    </t>
  </si>
  <si>
    <t xml:space="preserve">LNALEM 1735            </t>
  </si>
  <si>
    <t xml:space="preserve">27-26619500-7 </t>
  </si>
  <si>
    <t xml:space="preserve">MARIA FLORENCIA RAVIOLA       </t>
  </si>
  <si>
    <t xml:space="preserve">LITORAL 365 SAN PEDRO   </t>
  </si>
  <si>
    <t xml:space="preserve">27-26747363-9 </t>
  </si>
  <si>
    <t xml:space="preserve">MARIA PAZ ROLDAN              </t>
  </si>
  <si>
    <t xml:space="preserve">RIVADAVIA 610            </t>
  </si>
  <si>
    <t xml:space="preserve">27357140647   </t>
  </si>
  <si>
    <t xml:space="preserve">MARIO J. PEIRO S.A.           </t>
  </si>
  <si>
    <t xml:space="preserve">JUAN B JUSTO 375       </t>
  </si>
  <si>
    <t xml:space="preserve">30-64559803-9 </t>
  </si>
  <si>
    <t xml:space="preserve">MARIO RICARDO PAREDES- AIRE   </t>
  </si>
  <si>
    <t xml:space="preserve">PUEYRREDON 735   </t>
  </si>
  <si>
    <t xml:space="preserve">20-12444025-5 </t>
  </si>
  <si>
    <t>MARMOLERIA CAMPANA- LEDEZMA PE</t>
  </si>
  <si>
    <t xml:space="preserve">LURASCHI 1326    </t>
  </si>
  <si>
    <t xml:space="preserve">MARTA SUSANA NUNEZ            </t>
  </si>
  <si>
    <t xml:space="preserve">SAGASTUME Y RUTA 12      </t>
  </si>
  <si>
    <t xml:space="preserve">CEIBAS                   </t>
  </si>
  <si>
    <t xml:space="preserve">27-18352949-3 </t>
  </si>
  <si>
    <t xml:space="preserve">MARTIN BARROCAS Y CIA SRL     </t>
  </si>
  <si>
    <t>RUTA PANAM KM 50 ESQ 25/5</t>
  </si>
  <si>
    <t xml:space="preserve">30-60896407-6 </t>
  </si>
  <si>
    <t xml:space="preserve">MARTIN MADOZ                  </t>
  </si>
  <si>
    <t xml:space="preserve">3 DE FEBRERO 59          </t>
  </si>
  <si>
    <t xml:space="preserve">20-29805413-3 </t>
  </si>
  <si>
    <t xml:space="preserve">MARZANO OSVALDO MATIAS        </t>
  </si>
  <si>
    <t>SCALABRINI ORTIZ 2343 P:6</t>
  </si>
  <si>
    <t xml:space="preserve">20-33149664-3 </t>
  </si>
  <si>
    <t>MAS PROTECCION S.A. ALARM X-28</t>
  </si>
  <si>
    <t xml:space="preserve">CHASCOMUS 5612  </t>
  </si>
  <si>
    <t xml:space="preserve">30-70773610-7 </t>
  </si>
  <si>
    <t xml:space="preserve">MAS REFRIGERACION             </t>
  </si>
  <si>
    <t xml:space="preserve">COLECTORA NORTE 971      </t>
  </si>
  <si>
    <t xml:space="preserve">27-23500830-6 </t>
  </si>
  <si>
    <t xml:space="preserve">MASIP GONZALO ARIEL           </t>
  </si>
  <si>
    <t xml:space="preserve">AYACUCHO 3338            </t>
  </si>
  <si>
    <t xml:space="preserve">SAN ANDRES </t>
  </si>
  <si>
    <t xml:space="preserve">20-29265730-8 </t>
  </si>
  <si>
    <t xml:space="preserve">MASTER BUS S.A.               </t>
  </si>
  <si>
    <t xml:space="preserve">DR SALK 243              </t>
  </si>
  <si>
    <t xml:space="preserve">30-65276194-8 </t>
  </si>
  <si>
    <t>MATERIALES &amp; HORMIGONES S.R.L.</t>
  </si>
  <si>
    <t xml:space="preserve">MORENO 173              </t>
  </si>
  <si>
    <t xml:space="preserve">30-71025973-5 </t>
  </si>
  <si>
    <t xml:space="preserve">MATERIALES ELECTRICOS SRL     </t>
  </si>
  <si>
    <t xml:space="preserve">E MORENO 2618           </t>
  </si>
  <si>
    <t xml:space="preserve">SAN ANDRES               </t>
  </si>
  <si>
    <t xml:space="preserve">30-71384260-1 </t>
  </si>
  <si>
    <t xml:space="preserve">MATERIALES FRANCO S.A.        </t>
  </si>
  <si>
    <t xml:space="preserve">RUTA 8 KM 55,200 </t>
  </si>
  <si>
    <t xml:space="preserve">30-70878884-4 </t>
  </si>
  <si>
    <t xml:space="preserve">MAVILAND S.R.L.               </t>
  </si>
  <si>
    <t xml:space="preserve">ESPANA 1031              </t>
  </si>
  <si>
    <t xml:space="preserve">30-70706097-9 </t>
  </si>
  <si>
    <t xml:space="preserve">MAXDIGITAL DE FANTINO NATALIA </t>
  </si>
  <si>
    <t>AV ANGEL GALLARDO 6654B</t>
  </si>
  <si>
    <t xml:space="preserve">23-27086665-4 </t>
  </si>
  <si>
    <t xml:space="preserve">MAXICONSUMO S.A.              </t>
  </si>
  <si>
    <t xml:space="preserve">RUTA NACIONAL NO 9       </t>
  </si>
  <si>
    <t xml:space="preserve">COLECTORA SUR NO 452     </t>
  </si>
  <si>
    <t xml:space="preserve">MAXIKIOSCO DE KROGER ADRIAN   </t>
  </si>
  <si>
    <t xml:space="preserve">MORENO 289        </t>
  </si>
  <si>
    <t xml:space="preserve">20-18573917-2 </t>
  </si>
  <si>
    <t xml:space="preserve">MBG ELECTRICIDAD              </t>
  </si>
  <si>
    <t xml:space="preserve">URQUIZA 747              </t>
  </si>
  <si>
    <t xml:space="preserve">MATHEU                   </t>
  </si>
  <si>
    <t xml:space="preserve">27-17901709-7 </t>
  </si>
  <si>
    <t xml:space="preserve">MD CARGAS                     </t>
  </si>
  <si>
    <t xml:space="preserve">CASTELLI 878             </t>
  </si>
  <si>
    <t xml:space="preserve">30-71173121-7 </t>
  </si>
  <si>
    <t>MECANICA ALTOMONTE- MAZZA JUAN</t>
  </si>
  <si>
    <t xml:space="preserve">AVELLANEDA 3563 </t>
  </si>
  <si>
    <t>VIRREYES</t>
  </si>
  <si>
    <t xml:space="preserve">20-93653675-2 </t>
  </si>
  <si>
    <t xml:space="preserve">MECANIZADOS F.A.M. S.A.       </t>
  </si>
  <si>
    <t xml:space="preserve">SARGENTO CABRAL 1438    </t>
  </si>
  <si>
    <t xml:space="preserve">30-71115482-1 </t>
  </si>
  <si>
    <t xml:space="preserve">MEDIOS SYMS PRODUCCIONES S.A. </t>
  </si>
  <si>
    <t xml:space="preserve">AMEGUINO 1624            </t>
  </si>
  <si>
    <t xml:space="preserve">PCIA. BS. AS.            </t>
  </si>
  <si>
    <t xml:space="preserve">30-71051314-3 </t>
  </si>
  <si>
    <t>MEGATOOLS S.A.- SERVICIO BOSCH</t>
  </si>
  <si>
    <t xml:space="preserve">ARENALES 614     </t>
  </si>
  <si>
    <t xml:space="preserve">30-66770091-0 </t>
  </si>
  <si>
    <t xml:space="preserve">MEGLIO MARCELO OSCAR          </t>
  </si>
  <si>
    <t>19 DE MARZO 520 2O POF2</t>
  </si>
  <si>
    <t xml:space="preserve">20-17699634-0 </t>
  </si>
  <si>
    <t xml:space="preserve">MELAMIN S.R..L.               </t>
  </si>
  <si>
    <t xml:space="preserve">AMEGUINO 1210            </t>
  </si>
  <si>
    <t xml:space="preserve">2O PISO DPTO A         </t>
  </si>
  <si>
    <t xml:space="preserve">ZARATE, BS. AS.          </t>
  </si>
  <si>
    <t xml:space="preserve">30-70975733-0 </t>
  </si>
  <si>
    <t>MELO OSCAR ALFREDO. MATERIALES</t>
  </si>
  <si>
    <t xml:space="preserve">19 DE MARZO 636  </t>
  </si>
  <si>
    <t xml:space="preserve">20-10896513-5 </t>
  </si>
  <si>
    <t xml:space="preserve">MELSEBEN S.A.                 </t>
  </si>
  <si>
    <t xml:space="preserve">AV INDEPENDENCIA 3270  </t>
  </si>
  <si>
    <t xml:space="preserve">PISO 18 OF A CABA </t>
  </si>
  <si>
    <t xml:space="preserve">30-71137353-1 </t>
  </si>
  <si>
    <t xml:space="preserve">MENSAJERIA DE ROBOTTI ROBERTO </t>
  </si>
  <si>
    <t xml:space="preserve">BROWN 426         </t>
  </si>
  <si>
    <t xml:space="preserve">20-24646480-5 </t>
  </si>
  <si>
    <t xml:space="preserve">MENSAJERIA- RINALDI DEBORA    </t>
  </si>
  <si>
    <t xml:space="preserve">LAVALLE 90       </t>
  </si>
  <si>
    <t xml:space="preserve">27-23064433-6 </t>
  </si>
  <si>
    <t xml:space="preserve">MERCEDES CAZON S.H.           </t>
  </si>
  <si>
    <t xml:space="preserve">AV CAZON 44 48          </t>
  </si>
  <si>
    <t xml:space="preserve">30-55641559-1 </t>
  </si>
  <si>
    <t xml:space="preserve">27-93182692-7 </t>
  </si>
  <si>
    <t xml:space="preserve">AV ANT ARGENTINA 2174  </t>
  </si>
  <si>
    <t xml:space="preserve">30-71162575-1 </t>
  </si>
  <si>
    <t xml:space="preserve">METAL TRANS DE PEREYRA ADRIAN </t>
  </si>
  <si>
    <t xml:space="preserve">9 DE JULIO 51           </t>
  </si>
  <si>
    <t xml:space="preserve">LOS CARDALES     </t>
  </si>
  <si>
    <t xml:space="preserve">20-27108702-1 </t>
  </si>
  <si>
    <t xml:space="preserve">METAL. ZARATE DE BENZO ANDRES </t>
  </si>
  <si>
    <t xml:space="preserve">AVELLANEDA 1250  </t>
  </si>
  <si>
    <t xml:space="preserve">20-04739927-1 </t>
  </si>
  <si>
    <t xml:space="preserve">METALURGICA JMD S.A.          </t>
  </si>
  <si>
    <t xml:space="preserve">LUCENA 5361 WILDE       </t>
  </si>
  <si>
    <t xml:space="preserve">30-70821629-8 </t>
  </si>
  <si>
    <t xml:space="preserve">METALURGICA PROTEO S.R.L.     </t>
  </si>
  <si>
    <t xml:space="preserve">MERCEDES 4196 CABA  </t>
  </si>
  <si>
    <t xml:space="preserve">METALURGICA TUYU S.R.L.       </t>
  </si>
  <si>
    <t>ESC STGO PARODI 5331/37</t>
  </si>
  <si>
    <t xml:space="preserve">30-70725866-3 </t>
  </si>
  <si>
    <t xml:space="preserve">METALURGICA ZARATE S.R.L.     </t>
  </si>
  <si>
    <t xml:space="preserve">AVELLANEDA 750   </t>
  </si>
  <si>
    <t xml:space="preserve">MICA DARDO Y MICA MAXI S.H.   </t>
  </si>
  <si>
    <t xml:space="preserve">RUTA 8 KM 53,30 PILAR  </t>
  </si>
  <si>
    <t xml:space="preserve">33-70893591-9 </t>
  </si>
  <si>
    <t xml:space="preserve">MICROTRON                     </t>
  </si>
  <si>
    <t xml:space="preserve">H YRIGOYEN 534          </t>
  </si>
  <si>
    <t xml:space="preserve">20-16092184-7 </t>
  </si>
  <si>
    <t xml:space="preserve">MILLAN RAMOS S.R.L.           </t>
  </si>
  <si>
    <t xml:space="preserve">ALEM 231  </t>
  </si>
  <si>
    <t xml:space="preserve">30-70915973-5 </t>
  </si>
  <si>
    <t xml:space="preserve">MINNIG JORGE GUSTAVO (UOCRA)  </t>
  </si>
  <si>
    <t xml:space="preserve">25 DE MAYO 825 OF 4   </t>
  </si>
  <si>
    <t xml:space="preserve">20-17700999-8 </t>
  </si>
  <si>
    <t xml:space="preserve">MIOTTO CELINA                 </t>
  </si>
  <si>
    <t xml:space="preserve">RICARDO ROJAS 471       </t>
  </si>
  <si>
    <t xml:space="preserve">MIPAL S.R.L.                  </t>
  </si>
  <si>
    <t xml:space="preserve">RUTA NAC NO 188 KM 599 </t>
  </si>
  <si>
    <t xml:space="preserve">BAGUAL PCIA SAN LUIS   </t>
  </si>
  <si>
    <t xml:space="preserve">30-71067116-4 </t>
  </si>
  <si>
    <t xml:space="preserve">MOCCHETTI FERNANDO NELSON     </t>
  </si>
  <si>
    <t xml:space="preserve">TUCUMAN 3465             </t>
  </si>
  <si>
    <t xml:space="preserve">CASILDA                  </t>
  </si>
  <si>
    <t xml:space="preserve">20-27244840-0 </t>
  </si>
  <si>
    <t xml:space="preserve">MOLPAS S.R.L.                 </t>
  </si>
  <si>
    <t xml:space="preserve">JUSTA  688-98 </t>
  </si>
  <si>
    <t xml:space="preserve">MOLTRA DE GALLEGOS NORBERTO R </t>
  </si>
  <si>
    <t xml:space="preserve">V ALSINA 4259   </t>
  </si>
  <si>
    <t xml:space="preserve">20-11299940-0 </t>
  </si>
  <si>
    <t xml:space="preserve">MONTALTO CARLOS ALBERTO       </t>
  </si>
  <si>
    <t xml:space="preserve">ARENALES 502    </t>
  </si>
  <si>
    <t xml:space="preserve">20-17234094-7 </t>
  </si>
  <si>
    <t xml:space="preserve">MONTEMARANI JORGE A.          </t>
  </si>
  <si>
    <t xml:space="preserve">PERITO MORENO 1385      </t>
  </si>
  <si>
    <t xml:space="preserve">FIRMAT SANTA FE         </t>
  </si>
  <si>
    <t xml:space="preserve">20-11767234-5 </t>
  </si>
  <si>
    <t>MONTIEL RODOLFO- REPAR. MAQUIN</t>
  </si>
  <si>
    <t xml:space="preserve">ALSINA 215 SAN FERNANDO </t>
  </si>
  <si>
    <t xml:space="preserve">23-10464234-9 </t>
  </si>
  <si>
    <t xml:space="preserve">MORASCHI CENTER S.A. (RABE)   </t>
  </si>
  <si>
    <t>ACCNORTE KM29 ESQLIBER</t>
  </si>
  <si>
    <t xml:space="preserve">EL TALAR PCIA DE </t>
  </si>
  <si>
    <t xml:space="preserve">30-67727539-8 </t>
  </si>
  <si>
    <t>MOREIRA CLAUDIO MIGUEL-SERVICY</t>
  </si>
  <si>
    <t xml:space="preserve">SAN MARTIN 924   </t>
  </si>
  <si>
    <t xml:space="preserve">20-20585760-6 </t>
  </si>
  <si>
    <t>MOTORES Y BOMBAS RODRIGUEZ SRL</t>
  </si>
  <si>
    <t>MONTEAGUDO (EX 95) NO 385</t>
  </si>
  <si>
    <t xml:space="preserve">VILLA LYNCH      </t>
  </si>
  <si>
    <t xml:space="preserve">30-70846897-1 </t>
  </si>
  <si>
    <t xml:space="preserve">MOTORMEGA S.R.L.              </t>
  </si>
  <si>
    <t xml:space="preserve">ESTRADA 1270     </t>
  </si>
  <si>
    <t xml:space="preserve">33-65523597-9 </t>
  </si>
  <si>
    <t xml:space="preserve">MOV S.A.                      </t>
  </si>
  <si>
    <t xml:space="preserve">AV MONTES DE OCA 680    </t>
  </si>
  <si>
    <t xml:space="preserve">30-70754467-4 </t>
  </si>
  <si>
    <t xml:space="preserve">MUCCIGROSSO S.A.              </t>
  </si>
  <si>
    <t xml:space="preserve">SAN LORENZO 764  </t>
  </si>
  <si>
    <t xml:space="preserve">30-66767213-5 </t>
  </si>
  <si>
    <t xml:space="preserve">MULTIHARD- BIBICI S.R.L.      </t>
  </si>
  <si>
    <t xml:space="preserve">AV CABILDO 2780        </t>
  </si>
  <si>
    <t>MUNDO CORREAS DE GUSTAVO PEREZ</t>
  </si>
  <si>
    <t xml:space="preserve">BV SARMIENTO 682        </t>
  </si>
  <si>
    <t xml:space="preserve">MYKO Y MYKO S.A.              </t>
  </si>
  <si>
    <t xml:space="preserve">MANAGUA 1237 PILAR     </t>
  </si>
  <si>
    <t xml:space="preserve">30-70920728-4 </t>
  </si>
  <si>
    <t xml:space="preserve">NACION SEGUROS S.A.           </t>
  </si>
  <si>
    <t>SAN MARTIN 913</t>
  </si>
  <si>
    <t xml:space="preserve">30-67856116-5 </t>
  </si>
  <si>
    <t xml:space="preserve">NARGAM SA                     </t>
  </si>
  <si>
    <t xml:space="preserve">HUMBERTO 1RO 1135 PISO 0 </t>
  </si>
  <si>
    <t xml:space="preserve">30-71055951-8 </t>
  </si>
  <si>
    <t xml:space="preserve">NAVA JERONIMO SIMON           </t>
  </si>
  <si>
    <t xml:space="preserve">MITRE 857                </t>
  </si>
  <si>
    <t xml:space="preserve">20-23833229-0 </t>
  </si>
  <si>
    <t xml:space="preserve">NAVARRO ACHE SA               </t>
  </si>
  <si>
    <t xml:space="preserve">BUSCHIAZO 307            </t>
  </si>
  <si>
    <t xml:space="preserve">30-71078630-1   </t>
  </si>
  <si>
    <t xml:space="preserve">NAVIERA LOJDA S.A. ARENERA    </t>
  </si>
  <si>
    <t>AV LARRABURE 100</t>
  </si>
  <si>
    <t>NECXUS NEGOCIOS INFORMATICOS S</t>
  </si>
  <si>
    <t xml:space="preserve">MERCEDES 3353           </t>
  </si>
  <si>
    <t xml:space="preserve">NELSON HUGO VALLE             </t>
  </si>
  <si>
    <t xml:space="preserve">H YRIGOYEN 1032 </t>
  </si>
  <si>
    <t xml:space="preserve">20-04741096-8 </t>
  </si>
  <si>
    <t xml:space="preserve">NESTOR DANIEL DEMICHELLI      </t>
  </si>
  <si>
    <t xml:space="preserve">DIRECTORIO 1519- HAEDO   </t>
  </si>
  <si>
    <t xml:space="preserve">MORON BUENOS AIRES      </t>
  </si>
  <si>
    <t xml:space="preserve">20240471311   </t>
  </si>
  <si>
    <t xml:space="preserve">NEUMA TECH S.A.               </t>
  </si>
  <si>
    <t xml:space="preserve">DEL PROGRESO 7238       </t>
  </si>
  <si>
    <t>PQUE INDUSTR 9 DE ABRIL</t>
  </si>
  <si>
    <t>ESTEB. ECHEVERRIA. BS. AS</t>
  </si>
  <si>
    <t xml:space="preserve">30-70812367-2 </t>
  </si>
  <si>
    <t xml:space="preserve">NEUMALARG S.A. NEUMATICOS     </t>
  </si>
  <si>
    <t>CNO COLECTORA ESTE KM86,5</t>
  </si>
  <si>
    <t xml:space="preserve">RUTA 9 ZARATE   </t>
  </si>
  <si>
    <t xml:space="preserve">30-70823848-8 </t>
  </si>
  <si>
    <t>NEUMAT.LA CUEVA- NEUMAVIT S.A.</t>
  </si>
  <si>
    <t xml:space="preserve">AV MITRE 1131  </t>
  </si>
  <si>
    <t>NEUMATICOS FERNENDEZ MIGUEL A.</t>
  </si>
  <si>
    <t xml:space="preserve">AV LARRABURE 1664      </t>
  </si>
  <si>
    <t xml:space="preserve">20-10435337-2 </t>
  </si>
  <si>
    <t xml:space="preserve">NEUMATICOS ROSICH S.H.        </t>
  </si>
  <si>
    <t xml:space="preserve">LAVALLE 2042     </t>
  </si>
  <si>
    <t xml:space="preserve">30-71196298-7 </t>
  </si>
  <si>
    <t xml:space="preserve">NEW HARBOUR SA                </t>
  </si>
  <si>
    <t xml:space="preserve">AV DE MAYO 749 P 8 OF 44 </t>
  </si>
  <si>
    <t xml:space="preserve">CIUDAD AUTONOMA DE BS AS </t>
  </si>
  <si>
    <t xml:space="preserve">30-70857970-6 </t>
  </si>
  <si>
    <t xml:space="preserve">NEXTELL ARGENTINA             </t>
  </si>
  <si>
    <t xml:space="preserve">PALESTINA 951            </t>
  </si>
  <si>
    <t xml:space="preserve">30-67877531-9 </t>
  </si>
  <si>
    <t xml:space="preserve">NICOLAS BONFANTI              </t>
  </si>
  <si>
    <t xml:space="preserve">CHICLANA 848             </t>
  </si>
  <si>
    <t xml:space="preserve">20-33191885-8 </t>
  </si>
  <si>
    <t xml:space="preserve">NO USAR BENIGNO ESTEBAN CA    </t>
  </si>
  <si>
    <t xml:space="preserve">ITUZAINGO 802            </t>
  </si>
  <si>
    <t xml:space="preserve">20-07601089-8 </t>
  </si>
  <si>
    <t xml:space="preserve">NO USAR FANUCCHI HEDUER DARIO </t>
  </si>
  <si>
    <t xml:space="preserve">NUNEZ 2395 1O DTO A   </t>
  </si>
  <si>
    <t xml:space="preserve">20-21006299-9 </t>
  </si>
  <si>
    <t>NO USAR-FABRICA DE LADR-SOLARO</t>
  </si>
  <si>
    <t xml:space="preserve">LA RIOJA 57              </t>
  </si>
  <si>
    <t xml:space="preserve">CHACABUCO                </t>
  </si>
  <si>
    <t xml:space="preserve">30-70884093-5 </t>
  </si>
  <si>
    <t xml:space="preserve">NORTE CONFORT SRL             </t>
  </si>
  <si>
    <t xml:space="preserve">HIPOLITO IRIGOYEN 247    </t>
  </si>
  <si>
    <t xml:space="preserve">30-71485895-1 </t>
  </si>
  <si>
    <t>NS CONSULTORES DE  TUCULET SEB</t>
  </si>
  <si>
    <t>AV CORRIENTES 922P7D41</t>
  </si>
  <si>
    <t xml:space="preserve">30-71094365-2 </t>
  </si>
  <si>
    <t>NUEVAS MUEBLERIAS AVENIDA S.A.</t>
  </si>
  <si>
    <t>19 DE MARZO E INDEPENDENC</t>
  </si>
  <si>
    <t xml:space="preserve">30-66495349-4 </t>
  </si>
  <si>
    <t xml:space="preserve">NUNEZ AUTOS S.A.              </t>
  </si>
  <si>
    <t>AV FIGUEROA ALCORTA 7576</t>
  </si>
  <si>
    <t xml:space="preserve">30-69526813-7 </t>
  </si>
  <si>
    <t xml:space="preserve">OBRAS Y PROYECTOS S.R.L.      </t>
  </si>
  <si>
    <t xml:space="preserve">BV DE LOS RUSOS 4766   </t>
  </si>
  <si>
    <t>BO LOS BOULEVARESCORDOBA</t>
  </si>
  <si>
    <t xml:space="preserve">30-70454075-9 </t>
  </si>
  <si>
    <t>ODDO MARIA GISELA- SEG. E HIG.</t>
  </si>
  <si>
    <t xml:space="preserve">BDO DE IRIGOYEN 2415   </t>
  </si>
  <si>
    <t xml:space="preserve">27-27264794-7 </t>
  </si>
  <si>
    <t>ODISA OBRAS DE INGENIERIA S.A.</t>
  </si>
  <si>
    <t xml:space="preserve">JUAN B JUSTO 2900      </t>
  </si>
  <si>
    <t>ENTRE GRAL ACHA Y BERUTTI</t>
  </si>
  <si>
    <t xml:space="preserve">QUILMES OESTE. BS. AS.   </t>
  </si>
  <si>
    <t xml:space="preserve">30-50413898-0 </t>
  </si>
  <si>
    <t>OF NET- STAPLES ARGENTINA S.A.</t>
  </si>
  <si>
    <t xml:space="preserve">VIEYTES 1690            </t>
  </si>
  <si>
    <t xml:space="preserve">33-69214822-9 </t>
  </si>
  <si>
    <t xml:space="preserve">OL-CAR DE OLGA REDONDO        </t>
  </si>
  <si>
    <t xml:space="preserve">PELLEGRINI 1432   </t>
  </si>
  <si>
    <t xml:space="preserve">27-04700581-2 </t>
  </si>
  <si>
    <t>OLEO NEUM. DE RODRIGUEZ PIETRO</t>
  </si>
  <si>
    <t xml:space="preserve">URQUIZA 79       </t>
  </si>
  <si>
    <t xml:space="preserve">20-04739750-3 </t>
  </si>
  <si>
    <t xml:space="preserve">OLEOHIDRAULICA DE  BOTTOS GUS </t>
  </si>
  <si>
    <t xml:space="preserve">RIVADAVIA 1725          </t>
  </si>
  <si>
    <t xml:space="preserve">VENADO TUERTO SANTA FE  </t>
  </si>
  <si>
    <t xml:space="preserve">20-12326833-5 </t>
  </si>
  <si>
    <t xml:space="preserve">OMEGA SANITARIOS CAMPANA SRL  </t>
  </si>
  <si>
    <t xml:space="preserve">AV MITRE 1212   </t>
  </si>
  <si>
    <t xml:space="preserve">33-70915217-9 </t>
  </si>
  <si>
    <t xml:space="preserve">OMZAR S.A.                    </t>
  </si>
  <si>
    <t xml:space="preserve">19 DE MARZO 520 2O PISO </t>
  </si>
  <si>
    <t xml:space="preserve">30-71088031-6 </t>
  </si>
  <si>
    <t>OPERADORA DE EST. DE SERV. S.A</t>
  </si>
  <si>
    <t>RUTA 12 Y RUTA 193</t>
  </si>
  <si>
    <t xml:space="preserve">30-67877449-5 </t>
  </si>
  <si>
    <t>OPERADORA DE ESTACIONES DE SER</t>
  </si>
  <si>
    <t xml:space="preserve">GUEMES MACHACA 515       </t>
  </si>
  <si>
    <t xml:space="preserve">ORES S.A.                     </t>
  </si>
  <si>
    <t xml:space="preserve">AV ANTA 50       </t>
  </si>
  <si>
    <t xml:space="preserve">30-70708139-9 </t>
  </si>
  <si>
    <t xml:space="preserve">ORGANIZACION SOCSE S.A.       </t>
  </si>
  <si>
    <t>MADAME CURIE 1971 BECCAR</t>
  </si>
  <si>
    <t xml:space="preserve">30-70909100-6 </t>
  </si>
  <si>
    <t xml:space="preserve">ORTIZ DE GUINEA DIEGO         </t>
  </si>
  <si>
    <t xml:space="preserve">AV ALBERDI 1233 P2 OF1  </t>
  </si>
  <si>
    <t xml:space="preserve">20-22653576-5 </t>
  </si>
  <si>
    <t xml:space="preserve">OSDE                          </t>
  </si>
  <si>
    <t xml:space="preserve">AV LEANDRO N ALEM 1067 </t>
  </si>
  <si>
    <t xml:space="preserve">30-54674125-3 </t>
  </si>
  <si>
    <t xml:space="preserve">OTERO DANIELA SOLEDAD         </t>
  </si>
  <si>
    <t xml:space="preserve">ROMULO NOYA 1250         </t>
  </si>
  <si>
    <t xml:space="preserve">27-25943803-4 </t>
  </si>
  <si>
    <t xml:space="preserve">OTROS MUEBLES S.R.L.          </t>
  </si>
  <si>
    <t xml:space="preserve">URUGUAY 485 5O A       </t>
  </si>
  <si>
    <t xml:space="preserve">33-70983355-9 </t>
  </si>
  <si>
    <t>P&amp;A- DELLA PAOLERA ARIEL OSCAR</t>
  </si>
  <si>
    <t xml:space="preserve">AV DE MAYO 1279 VILLA  </t>
  </si>
  <si>
    <t xml:space="preserve">ADELINA          </t>
  </si>
  <si>
    <t xml:space="preserve">20-25340786-8 </t>
  </si>
  <si>
    <t xml:space="preserve">P.I.L. DE MADOZ OSVALDO JOSE  </t>
  </si>
  <si>
    <t xml:space="preserve">LAVALLE 656       </t>
  </si>
  <si>
    <t xml:space="preserve">20-04734591-0 </t>
  </si>
  <si>
    <t xml:space="preserve">P.P.I. DE NOELIA RUIZ         </t>
  </si>
  <si>
    <t xml:space="preserve">LAS MARGARITAS 2666     </t>
  </si>
  <si>
    <t xml:space="preserve">27-32732422-0 </t>
  </si>
  <si>
    <t xml:space="preserve">PABLO NOAT                    </t>
  </si>
  <si>
    <t xml:space="preserve">LINIERS 165              </t>
  </si>
  <si>
    <t xml:space="preserve">20-04653985-1 </t>
  </si>
  <si>
    <t>PALACIO CHAPA-  CARLOS SNAIDER</t>
  </si>
  <si>
    <t xml:space="preserve">FELIX PAGOLA 466  </t>
  </si>
  <si>
    <t xml:space="preserve">30-68676298-6 </t>
  </si>
  <si>
    <t xml:space="preserve">PALMIERI CRISTIAN E.- TRANSP. </t>
  </si>
  <si>
    <t xml:space="preserve">CALLE 2 NO 253    </t>
  </si>
  <si>
    <t xml:space="preserve">20-25355897-1 </t>
  </si>
  <si>
    <t xml:space="preserve">PALUCCI HUGO ALBERTO          </t>
  </si>
  <si>
    <t xml:space="preserve">FELIX PAGOLA 750         </t>
  </si>
  <si>
    <t xml:space="preserve">20-12071433-4 </t>
  </si>
  <si>
    <t xml:space="preserve">PALUZZI HNOS. S.A.            </t>
  </si>
  <si>
    <t>AV SAVIO 362</t>
  </si>
  <si>
    <t xml:space="preserve">PANAMER S.A.                  </t>
  </si>
  <si>
    <t xml:space="preserve">PANAMERICANA Y RUTA 6   </t>
  </si>
  <si>
    <t>PANAMERICANA ESPORTADORA Y CIA</t>
  </si>
  <si>
    <t>RUTA 9 KM 5550 ESCOBAR</t>
  </si>
  <si>
    <t xml:space="preserve">30-70850668-7 </t>
  </si>
  <si>
    <t xml:space="preserve">PANIZZA ANGEL GABRIEL- A.A.P. </t>
  </si>
  <si>
    <t xml:space="preserve">DORREGO 1227    </t>
  </si>
  <si>
    <t xml:space="preserve">20-13069649-0 </t>
  </si>
  <si>
    <t xml:space="preserve">PARDO S.A.                    </t>
  </si>
  <si>
    <t xml:space="preserve">RUTA 32 KM 15           </t>
  </si>
  <si>
    <t xml:space="preserve">PARQUE INDUSTRIAL        </t>
  </si>
  <si>
    <t xml:space="preserve">PERGAMINO                </t>
  </si>
  <si>
    <t xml:space="preserve">30-66677491-0 </t>
  </si>
  <si>
    <t xml:space="preserve">PARKING DE D'AMICO MONICA     </t>
  </si>
  <si>
    <t xml:space="preserve">PELLEGRINI 334 ROSARIO  </t>
  </si>
  <si>
    <t xml:space="preserve">27-16218713-4 </t>
  </si>
  <si>
    <t xml:space="preserve">PARKING DE REMARSARO JOSEFINA </t>
  </si>
  <si>
    <t xml:space="preserve">AV PELLEGRINI 334      </t>
  </si>
  <si>
    <t xml:space="preserve">ROSARIO SANTA FE        </t>
  </si>
  <si>
    <t xml:space="preserve">27-29762841-6 </t>
  </si>
  <si>
    <t xml:space="preserve">PARRILLA DE ANGEL LAVIE       </t>
  </si>
  <si>
    <t xml:space="preserve">HIPOLITO YRIGOYEN 220   </t>
  </si>
  <si>
    <t xml:space="preserve">20-08329164-9 </t>
  </si>
  <si>
    <t xml:space="preserve">PARRILLA 'LA GRUTA'O          </t>
  </si>
  <si>
    <t xml:space="preserve">RUTA 14 KM 320           </t>
  </si>
  <si>
    <t>C DEL URUGUAY ENTRE RIOS</t>
  </si>
  <si>
    <t xml:space="preserve">27-11530786-5 </t>
  </si>
  <si>
    <t xml:space="preserve">PARRILLA LOS SAUCES           </t>
  </si>
  <si>
    <t xml:space="preserve">RUTA NAC NO5 KM 127      </t>
  </si>
  <si>
    <t xml:space="preserve">SUIPACHA                 </t>
  </si>
  <si>
    <t xml:space="preserve">20-20660248-2 </t>
  </si>
  <si>
    <t>PASEO DE COMPRAS COLOMBRARO SA</t>
  </si>
  <si>
    <t xml:space="preserve">JUSTA  441           </t>
  </si>
  <si>
    <t xml:space="preserve">30-68751632-6 </t>
  </si>
  <si>
    <t xml:space="preserve">PATRICIA VIVIANA GONZALEZ     </t>
  </si>
  <si>
    <t xml:space="preserve">PARAGUAY 40              </t>
  </si>
  <si>
    <t xml:space="preserve">CARLOS APEGAZZINI        </t>
  </si>
  <si>
    <t xml:space="preserve">23-22090819-4 </t>
  </si>
  <si>
    <t xml:space="preserve">PATRICIO PALMERO S.A.I.C.YA.  </t>
  </si>
  <si>
    <t xml:space="preserve">RUTA PANAMERICANA RAMAL  </t>
  </si>
  <si>
    <t>PILAR KM35 ESQCOSTA RIC</t>
  </si>
  <si>
    <t>GRAND BOURG.BUENOS AIRES.</t>
  </si>
  <si>
    <t xml:space="preserve">30-53148908-6 </t>
  </si>
  <si>
    <t xml:space="preserve">PAULA LUCIA FIRPO S.R.L.      </t>
  </si>
  <si>
    <t xml:space="preserve">30-71020294-6 </t>
  </si>
  <si>
    <t>PAV.Y PISOS DE LOPEZ RODOLFO R</t>
  </si>
  <si>
    <t>FERNANDO OCHOA 520</t>
  </si>
  <si>
    <t xml:space="preserve">20-05885531-7 </t>
  </si>
  <si>
    <t>PAVIM. URBANO-MARTINEZ EMANUEL</t>
  </si>
  <si>
    <t xml:space="preserve">AMEGHINO 710 PB   </t>
  </si>
  <si>
    <t xml:space="preserve">20-30903327-3 </t>
  </si>
  <si>
    <t xml:space="preserve">PAVONE HNOS. S.R.L.           </t>
  </si>
  <si>
    <t xml:space="preserve">VIRASORO 1734 ROSARIO  </t>
  </si>
  <si>
    <t xml:space="preserve">30-61516407-7 </t>
  </si>
  <si>
    <t>PEDRO BALESTRINO E HIJOS SACIY</t>
  </si>
  <si>
    <t xml:space="preserve">BOLIVAR 1251     </t>
  </si>
  <si>
    <t xml:space="preserve">IMPORTACION     </t>
  </si>
  <si>
    <t xml:space="preserve">30-53056739-3 </t>
  </si>
  <si>
    <t xml:space="preserve">PEDRO GABILONDO E HIJO S.R.L. </t>
  </si>
  <si>
    <t xml:space="preserve">PINTO 768                </t>
  </si>
  <si>
    <t xml:space="preserve">30-68674797-9 </t>
  </si>
  <si>
    <t xml:space="preserve">PEDRO PETINARI E HIJO S.A.    </t>
  </si>
  <si>
    <t>RICARDO BALBIN 2951</t>
  </si>
  <si>
    <t>MERLO</t>
  </si>
  <si>
    <t xml:space="preserve">30-62072061-1 </t>
  </si>
  <si>
    <t xml:space="preserve">PELUFFO CARLOS ALBERTO        </t>
  </si>
  <si>
    <t>PJE TUCUMAN 1447 P 1 A</t>
  </si>
  <si>
    <t xml:space="preserve">20-13388541-3 </t>
  </si>
  <si>
    <t xml:space="preserve">PENTA AUTOS S.R.L.            </t>
  </si>
  <si>
    <t xml:space="preserve">LIBERTAD 1027 FIRMAT    </t>
  </si>
  <si>
    <t xml:space="preserve">30-70876553-4 </t>
  </si>
  <si>
    <t xml:space="preserve">PEREIRA DOS SANTOS CARLA      </t>
  </si>
  <si>
    <t xml:space="preserve">INDEPENDENCIA 685        </t>
  </si>
  <si>
    <t xml:space="preserve">27-29990480-1 </t>
  </si>
  <si>
    <t>PEREIRA JOSE A. MONTAJES INDUS</t>
  </si>
  <si>
    <t xml:space="preserve">CALLE 14 NO88      </t>
  </si>
  <si>
    <t xml:space="preserve">PEREZ MARIA DEL CARMEN        </t>
  </si>
  <si>
    <t xml:space="preserve">AV ANTA 411             </t>
  </si>
  <si>
    <t xml:space="preserve">27-11738433-6 </t>
  </si>
  <si>
    <t xml:space="preserve">PEREZ MARTIN HERNAN- ABOGADO  </t>
  </si>
  <si>
    <t xml:space="preserve">20-21946270-1 </t>
  </si>
  <si>
    <t>PEREZ RUBEN ANGEL- BICICLETERI</t>
  </si>
  <si>
    <t xml:space="preserve">LEANDRO N ALEM 1642    </t>
  </si>
  <si>
    <t xml:space="preserve">20-10082176-2 </t>
  </si>
  <si>
    <t xml:space="preserve">PERFOSERV-MAZZEI              </t>
  </si>
  <si>
    <t xml:space="preserve">RUTA 188                 </t>
  </si>
  <si>
    <t xml:space="preserve">BAGUAL SAN LUIS         </t>
  </si>
  <si>
    <t xml:space="preserve">30-70930092-6 </t>
  </si>
  <si>
    <t xml:space="preserve">PERI S.A.                     </t>
  </si>
  <si>
    <t>RUTA 9 KM 47,5 COLOESTE</t>
  </si>
  <si>
    <t xml:space="preserve">30-68591052-3 </t>
  </si>
  <si>
    <t xml:space="preserve">PERLAGE DE ESTEBAN C. ALITTA  </t>
  </si>
  <si>
    <t xml:space="preserve">BROWN 609        </t>
  </si>
  <si>
    <t xml:space="preserve">20-23363100-1 </t>
  </si>
  <si>
    <t xml:space="preserve">PERROTTA RUBEN- DISTRIBUCIONE </t>
  </si>
  <si>
    <t>HDUNANT 1570 1O P OF 1</t>
  </si>
  <si>
    <t xml:space="preserve">ITUZAINGO        </t>
  </si>
  <si>
    <t xml:space="preserve">20-11798627-7 </t>
  </si>
  <si>
    <t>PETROCINO GUSTAVO JESUS-TALLER</t>
  </si>
  <si>
    <t xml:space="preserve">PELLEGRINI 2340  </t>
  </si>
  <si>
    <t xml:space="preserve">20-22401278-1 </t>
  </si>
  <si>
    <t>PETROQUIMICA PANAMERICANA S.A.</t>
  </si>
  <si>
    <t>CNODE LA COSTA BRAVA S/N</t>
  </si>
  <si>
    <t xml:space="preserve">30-68204600-3 </t>
  </si>
  <si>
    <t>PHOTO STUDIO DE BOGAO OSCAR E.</t>
  </si>
  <si>
    <t xml:space="preserve">CORDIVIOLA 1145 ROSARIO </t>
  </si>
  <si>
    <t>NORTE PCIA DE SANTA FE</t>
  </si>
  <si>
    <t xml:space="preserve">20-11750725-5 </t>
  </si>
  <si>
    <t xml:space="preserve">PILOTES Y ZANJEOS SRL         </t>
  </si>
  <si>
    <t xml:space="preserve">ISLA NAVARINO 478 -      </t>
  </si>
  <si>
    <t>FATIMA</t>
  </si>
  <si>
    <t xml:space="preserve">PINTO MAQUINARIAS  S.H.       </t>
  </si>
  <si>
    <t xml:space="preserve">AV GALLESIO 234  </t>
  </si>
  <si>
    <t xml:space="preserve">PINTURERIA EMEPE S.R.L.       </t>
  </si>
  <si>
    <t xml:space="preserve">ALEM 416  </t>
  </si>
  <si>
    <t xml:space="preserve">30-71091037.1 </t>
  </si>
  <si>
    <t xml:space="preserve">PIPKE OSVALDO ANIBAL          </t>
  </si>
  <si>
    <t xml:space="preserve">RAWSON 225               </t>
  </si>
  <si>
    <t xml:space="preserve">20-11626232-1 </t>
  </si>
  <si>
    <t xml:space="preserve">PIREZ VIVIANA BEATRIZ         </t>
  </si>
  <si>
    <t xml:space="preserve">JUAN B JUSTO 2910        </t>
  </si>
  <si>
    <t xml:space="preserve">27-22517400-3 </t>
  </si>
  <si>
    <t xml:space="preserve">PLASTIFERRO TUBOS SA          </t>
  </si>
  <si>
    <t xml:space="preserve">PLECOR S.R.L.                 </t>
  </si>
  <si>
    <t xml:space="preserve">OVIDIO LAGOS 4501       </t>
  </si>
  <si>
    <t xml:space="preserve">ROSARIO SUD              </t>
  </si>
  <si>
    <t xml:space="preserve">30-51828648-6 </t>
  </si>
  <si>
    <t>POBIAN MARCELO RAMON VIDRIERIA</t>
  </si>
  <si>
    <t xml:space="preserve">ALTE BROWN 20    </t>
  </si>
  <si>
    <t xml:space="preserve">POLICEMENTO S.R.L.            </t>
  </si>
  <si>
    <t xml:space="preserve">SAENZ VALIENTE1641      </t>
  </si>
  <si>
    <t xml:space="preserve">MARTINEZ         </t>
  </si>
  <si>
    <t xml:space="preserve">PORCO JOSE ABELINO            </t>
  </si>
  <si>
    <t xml:space="preserve">CORRIENTES 150           </t>
  </si>
  <si>
    <t xml:space="preserve">20-24427504-5 </t>
  </si>
  <si>
    <t xml:space="preserve">POZZI  AZZARO OSVALDO JUAN    </t>
  </si>
  <si>
    <t xml:space="preserve">HUMBOLDT 2357 PISO 13 A </t>
  </si>
  <si>
    <t xml:space="preserve">23-07851141-9 </t>
  </si>
  <si>
    <t>PREAR PRETENSADOS ARGENTINS SA</t>
  </si>
  <si>
    <t>CARRIL RODRIGUEZ PENA KM8</t>
  </si>
  <si>
    <t xml:space="preserve">COQUIMBITOMENDOZA       </t>
  </si>
  <si>
    <t>JEAN JAURES 216. CAP. FED</t>
  </si>
  <si>
    <t xml:space="preserve">PRECAMP MONTAJES INDUSTRIALES </t>
  </si>
  <si>
    <t xml:space="preserve">AV RIVADAVIA 1617       </t>
  </si>
  <si>
    <t xml:space="preserve">30-70993548-4 </t>
  </si>
  <si>
    <t xml:space="preserve">PREFIC S.R.L. (CERBELU)       </t>
  </si>
  <si>
    <t>PREMOLDEADOS DE ARGENTINA S.A.</t>
  </si>
  <si>
    <t xml:space="preserve">RUTA PANAMERICANA 28402 </t>
  </si>
  <si>
    <t xml:space="preserve">DON TORCUATO     </t>
  </si>
  <si>
    <t xml:space="preserve">PRENTICA SRL                  </t>
  </si>
  <si>
    <t xml:space="preserve">MONTES DE OCA 358 PISO 3 </t>
  </si>
  <si>
    <t xml:space="preserve">30-71507927-1 </t>
  </si>
  <si>
    <t xml:space="preserve">PRESTAC MED EMP SML ZARATE SA </t>
  </si>
  <si>
    <t xml:space="preserve">SAN MARTIN 143           </t>
  </si>
  <si>
    <t xml:space="preserve">30-71504813-9 </t>
  </si>
  <si>
    <t xml:space="preserve">PRESTACIONES RG S.A.          </t>
  </si>
  <si>
    <t xml:space="preserve">SAN MARTIN 27    </t>
  </si>
  <si>
    <t xml:space="preserve">33-71143381-9 </t>
  </si>
  <si>
    <t xml:space="preserve">PRODMOBI S.A.                 </t>
  </si>
  <si>
    <t xml:space="preserve">FERRE 2674      </t>
  </si>
  <si>
    <t xml:space="preserve">30-71006955-3 </t>
  </si>
  <si>
    <t xml:space="preserve">PROGOM S.R.L.                 </t>
  </si>
  <si>
    <t xml:space="preserve">MORENO 516       </t>
  </si>
  <si>
    <t xml:space="preserve">30-57307079-4 </t>
  </si>
  <si>
    <t xml:space="preserve">PROKRETE ARGENTINA S.A.       </t>
  </si>
  <si>
    <t>AV FLEMING 4246 (EX 2180</t>
  </si>
  <si>
    <t>SAN MARTÍN</t>
  </si>
  <si>
    <t>PRONTO MAQUINAS-DIEGO EXPOSITO</t>
  </si>
  <si>
    <t xml:space="preserve">PROSEIND S.A.                 </t>
  </si>
  <si>
    <t>BV 27 DE FEBREROROSARIO</t>
  </si>
  <si>
    <t xml:space="preserve">30-70700989-2 </t>
  </si>
  <si>
    <t xml:space="preserve">PROVERVIAL S.A.               </t>
  </si>
  <si>
    <t xml:space="preserve">CALLE 26 (MASUNTA) 3226 </t>
  </si>
  <si>
    <t xml:space="preserve">30-70957981-5 </t>
  </si>
  <si>
    <t xml:space="preserve">PROVINCIA LEASING S.A.        </t>
  </si>
  <si>
    <t xml:space="preserve">CRISOLOGO LARRALDE 1861 </t>
  </si>
  <si>
    <t xml:space="preserve">30-68831033-0 </t>
  </si>
  <si>
    <t xml:space="preserve">PRUNE DE GAX S.A.             </t>
  </si>
  <si>
    <t xml:space="preserve">PANAMERICANA Y CNODEL   </t>
  </si>
  <si>
    <t>BULOGNE</t>
  </si>
  <si>
    <t xml:space="preserve">30-70840291-1 </t>
  </si>
  <si>
    <t>PUERTAS Y VENTS.EL TALAR ABERT</t>
  </si>
  <si>
    <t>AV HIPOLITO IRIGOYEN 183</t>
  </si>
  <si>
    <t xml:space="preserve">30-70860598-7 </t>
  </si>
  <si>
    <t>PUGLIESE HNOS.DE DAMIANO Y J.L</t>
  </si>
  <si>
    <t xml:space="preserve">AV MONTEVERDE 2191     </t>
  </si>
  <si>
    <t xml:space="preserve">QUILMES BUENOS AIRES    </t>
  </si>
  <si>
    <t xml:space="preserve">30-63060773-2 </t>
  </si>
  <si>
    <t xml:space="preserve">PUNTO PRET SRL                </t>
  </si>
  <si>
    <t xml:space="preserve">AV PASEO COLON 1219 P13  </t>
  </si>
  <si>
    <t xml:space="preserve">30-71100452-8 </t>
  </si>
  <si>
    <t xml:space="preserve">QUASAR SERVICIOS SRL          </t>
  </si>
  <si>
    <t xml:space="preserve">ALBERDI JUAN B- 4492     </t>
  </si>
  <si>
    <t xml:space="preserve">CIUDAD BUENOS AIRES      </t>
  </si>
  <si>
    <t xml:space="preserve">30-71462958-8 </t>
  </si>
  <si>
    <t xml:space="preserve">R.F. TRANSPORTE S.A.          </t>
  </si>
  <si>
    <t xml:space="preserve">SAN JUAN 3133 ROSARIO   </t>
  </si>
  <si>
    <t xml:space="preserve">30-70861995-3 </t>
  </si>
  <si>
    <t xml:space="preserve">RA COMPUTACION S.H.           </t>
  </si>
  <si>
    <t xml:space="preserve">ITUZAINGO 671    </t>
  </si>
  <si>
    <t xml:space="preserve">30-70977718-8 </t>
  </si>
  <si>
    <t xml:space="preserve">RADATSI ALEJANDRA YAEL        </t>
  </si>
  <si>
    <t>AV JB ALBERDI 1576 1OC</t>
  </si>
  <si>
    <t xml:space="preserve">27-25608159-3 </t>
  </si>
  <si>
    <t xml:space="preserve">RADIADORES CARLITOS S.A.      </t>
  </si>
  <si>
    <t>AV DORREGO 41</t>
  </si>
  <si>
    <t xml:space="preserve">30-69461808-8 </t>
  </si>
  <si>
    <t>RADIADORES QUIRNO-ARIEL CORREA</t>
  </si>
  <si>
    <t xml:space="preserve">G QUIRNO 630     </t>
  </si>
  <si>
    <t xml:space="preserve">RAMIREZ ABEL GUILLERMO        </t>
  </si>
  <si>
    <t xml:space="preserve">SOULET 1548              </t>
  </si>
  <si>
    <t xml:space="preserve">SAN ANDRES DE GILES      </t>
  </si>
  <si>
    <t xml:space="preserve">23-23725508-9 </t>
  </si>
  <si>
    <t xml:space="preserve">RAPA S.A.C.I.F.               </t>
  </si>
  <si>
    <t xml:space="preserve">AV LA PLATA 683 </t>
  </si>
  <si>
    <t xml:space="preserve">30-53703277-0 </t>
  </si>
  <si>
    <t xml:space="preserve">RATTO HNOS. S.A.C.F.A.        </t>
  </si>
  <si>
    <t>RUTA 8 KM 112,6 SAN AN-</t>
  </si>
  <si>
    <t xml:space="preserve">TONIO DE ARECO   </t>
  </si>
  <si>
    <t xml:space="preserve">RAUL ARLETTAZ                 </t>
  </si>
  <si>
    <t xml:space="preserve">LOPEZ Y PLANES 1887     </t>
  </si>
  <si>
    <t xml:space="preserve">20-05073123-6 </t>
  </si>
  <si>
    <t xml:space="preserve">RAZ Y CIA S.A.                </t>
  </si>
  <si>
    <t xml:space="preserve">MANUEL TRELLES 1987     </t>
  </si>
  <si>
    <t xml:space="preserve">30-66111010-0 </t>
  </si>
  <si>
    <t xml:space="preserve">RECTIF HOLVOET E HIJOS SRL    </t>
  </si>
  <si>
    <t xml:space="preserve">LORENZO CASEY 956        </t>
  </si>
  <si>
    <t xml:space="preserve">30-69701032-3 </t>
  </si>
  <si>
    <t xml:space="preserve">RECTIFICACIONES GONZALEZ S.H. </t>
  </si>
  <si>
    <t xml:space="preserve">RAWSON 871-        </t>
  </si>
  <si>
    <t xml:space="preserve">REDISAN S.R.L.                </t>
  </si>
  <si>
    <t>BEAUCHEF 378 PISO 1 DTOA</t>
  </si>
  <si>
    <t xml:space="preserve">REFRIGERACION BARADERO        </t>
  </si>
  <si>
    <t>RODRIGUEZ 1674</t>
  </si>
  <si>
    <t>BARADERO</t>
  </si>
  <si>
    <t xml:space="preserve">20-17045837-1 </t>
  </si>
  <si>
    <t xml:space="preserve">REFRIGERACION ESCOBAR S.R.L.  </t>
  </si>
  <si>
    <t xml:space="preserve">HIPOLITO YRIGOYEN 324   </t>
  </si>
  <si>
    <t xml:space="preserve">30-70885143-0 </t>
  </si>
  <si>
    <t>REMATES RODRIGUEZ LUIS ALBERTO</t>
  </si>
  <si>
    <t xml:space="preserve">PTE ROCA 374 ARRECIFES </t>
  </si>
  <si>
    <t xml:space="preserve">23-07684425-9 </t>
  </si>
  <si>
    <t xml:space="preserve">REMIS 'EL 27'                 </t>
  </si>
  <si>
    <t xml:space="preserve">CORDOBA 781              </t>
  </si>
  <si>
    <t xml:space="preserve">23-14849223-9 </t>
  </si>
  <si>
    <t xml:space="preserve">RENE BENAVIDEZ- CARNICERIA    </t>
  </si>
  <si>
    <t>DON BOSCO 28 SAN NICOLAS</t>
  </si>
  <si>
    <t xml:space="preserve">20-18149533-3 </t>
  </si>
  <si>
    <t>RENO-SOBESKY TATARCHENCO SILVI</t>
  </si>
  <si>
    <t xml:space="preserve">LAVALLE 1108     </t>
  </si>
  <si>
    <t xml:space="preserve">27-93744835-5 </t>
  </si>
  <si>
    <t>RENT A TRAILER S.A. RENTA TOOL</t>
  </si>
  <si>
    <t xml:space="preserve">AV DEL LIBERTADOR 202   </t>
  </si>
  <si>
    <t xml:space="preserve">VICENTE LOPEZ          </t>
  </si>
  <si>
    <t xml:space="preserve">30-63782848-3 </t>
  </si>
  <si>
    <t xml:space="preserve">REP. MORENO DE RAFFO LUCIANA  </t>
  </si>
  <si>
    <t>REPARACION INTEG-RUSSO ALBERTO</t>
  </si>
  <si>
    <t xml:space="preserve">BELGRANO 1462     </t>
  </si>
  <si>
    <t xml:space="preserve">20-10529532-5 </t>
  </si>
  <si>
    <t>REPARACIONES MARCANTONI GUSTAV</t>
  </si>
  <si>
    <t>ITALIA 1297 VENADO TUERT</t>
  </si>
  <si>
    <t xml:space="preserve">20-17729060-3 </t>
  </si>
  <si>
    <t>REPUE. FUNA DE GUIZZI FERNANDO</t>
  </si>
  <si>
    <t xml:space="preserve">23-29752053-9 </t>
  </si>
  <si>
    <t>REPUESTOS ALVARAU EDUARDO LUIS</t>
  </si>
  <si>
    <t xml:space="preserve">LAVALLE 1750     </t>
  </si>
  <si>
    <t xml:space="preserve">20-11882350-9 </t>
  </si>
  <si>
    <t>REPUESTOS DE MENON AGUSTIN JOS</t>
  </si>
  <si>
    <t xml:space="preserve">COLETTA 919     </t>
  </si>
  <si>
    <t xml:space="preserve">20-05955466-3 </t>
  </si>
  <si>
    <t>REPUESTOS LA ERA-ALBORNOZ EUFE</t>
  </si>
  <si>
    <t xml:space="preserve">6 DE JULIO 1448  </t>
  </si>
  <si>
    <t xml:space="preserve">20-11882505-6 </t>
  </si>
  <si>
    <t xml:space="preserve">REPUESTOS LEANDRO GARCIA      </t>
  </si>
  <si>
    <t xml:space="preserve">JUSTA  1102          </t>
  </si>
  <si>
    <t xml:space="preserve">20-21144540-9 </t>
  </si>
  <si>
    <t xml:space="preserve">REPUESTOS ZARATE              </t>
  </si>
  <si>
    <t xml:space="preserve">SUIPACHA 799             </t>
  </si>
  <si>
    <t xml:space="preserve">20-04725909-7 </t>
  </si>
  <si>
    <t>REVEST SAN MARTIN L.E.E.M. SRL</t>
  </si>
  <si>
    <t xml:space="preserve">25 DE MAYO 753   </t>
  </si>
  <si>
    <t xml:space="preserve">30-70752027-9 </t>
  </si>
  <si>
    <t xml:space="preserve">REVESTIR S.A.                 </t>
  </si>
  <si>
    <t xml:space="preserve">AV CENTENARIO 939      </t>
  </si>
  <si>
    <t xml:space="preserve">SAN ISIDRO       </t>
  </si>
  <si>
    <t xml:space="preserve">30-70971887-4 </t>
  </si>
  <si>
    <t xml:space="preserve">REYMA ARGENTINA S.A.          </t>
  </si>
  <si>
    <t>AV RIVADAVIA 1157 PIS 5</t>
  </si>
  <si>
    <t xml:space="preserve">OF 'A' BUENOS AIRES    </t>
  </si>
  <si>
    <t xml:space="preserve">REYNOSO JORGE JAVIER          </t>
  </si>
  <si>
    <t xml:space="preserve">FELIX PAGOLA 575         </t>
  </si>
  <si>
    <t xml:space="preserve">20-23661037-4 </t>
  </si>
  <si>
    <t xml:space="preserve">RHOMBUS SA                    </t>
  </si>
  <si>
    <t xml:space="preserve">LA PAMPA 4389            </t>
  </si>
  <si>
    <t xml:space="preserve">CIUDAD AUTONOMA BS AS    </t>
  </si>
  <si>
    <t xml:space="preserve">30-70982959-5 </t>
  </si>
  <si>
    <t xml:space="preserve">RIGO MARIANO                  </t>
  </si>
  <si>
    <t xml:space="preserve">ESTRADA 130              </t>
  </si>
  <si>
    <t xml:space="preserve">20-28286680-4 </t>
  </si>
  <si>
    <t>RIGO MATIAS E. Y RIGO RAUL S.H</t>
  </si>
  <si>
    <t xml:space="preserve">RUTA 191 KM 5 </t>
  </si>
  <si>
    <t xml:space="preserve">30-71067955-6 </t>
  </si>
  <si>
    <t xml:space="preserve">RK ELEVACIONES S.R.L.         </t>
  </si>
  <si>
    <t xml:space="preserve">COLECTORA ESTE 1895      </t>
  </si>
  <si>
    <t xml:space="preserve">30-71163429-7 </t>
  </si>
  <si>
    <t xml:space="preserve">RO 30 DE BENIGNO ESTEBAN C    </t>
  </si>
  <si>
    <t xml:space="preserve">ROBERTO D. TORCHIANA          </t>
  </si>
  <si>
    <t xml:space="preserve">19 DE MARZO 288          </t>
  </si>
  <si>
    <t xml:space="preserve">20-04739997-2 </t>
  </si>
  <si>
    <t>ROBERTO GULLERMO-ROBERTO M. SH</t>
  </si>
  <si>
    <t xml:space="preserve">14 DE FEBRERO 579       </t>
  </si>
  <si>
    <t xml:space="preserve">30-70934360-9 </t>
  </si>
  <si>
    <t xml:space="preserve">ROBERTO MIGUEL ROSAS          </t>
  </si>
  <si>
    <t xml:space="preserve">MAXIMO PAZ 755-    </t>
  </si>
  <si>
    <t xml:space="preserve">20-10082083-9 </t>
  </si>
  <si>
    <t>ROBERTO NANT S.R.L. FERRETERIA</t>
  </si>
  <si>
    <t>RICHIERI 3747/54 ROSARIO</t>
  </si>
  <si>
    <t xml:space="preserve">30-70926909-3 </t>
  </si>
  <si>
    <t xml:space="preserve">RODADOS ATALAYA SRL           </t>
  </si>
  <si>
    <t xml:space="preserve">30-61486353-2 </t>
  </si>
  <si>
    <t xml:space="preserve">RODAZAR- FRANCIA GUILLERMO M. </t>
  </si>
  <si>
    <t xml:space="preserve">RIVADAVIA 1300   </t>
  </si>
  <si>
    <t>RODBUL DE CABRERA JUAN IGNACIO</t>
  </si>
  <si>
    <t xml:space="preserve">CASTELLI 390    </t>
  </si>
  <si>
    <t xml:space="preserve">20-26268004-6 </t>
  </si>
  <si>
    <t>RODRIGUEZ LAURA- SA RADIADORES</t>
  </si>
  <si>
    <t>LAPRIDA 775</t>
  </si>
  <si>
    <t xml:space="preserve">27-21858032-2 </t>
  </si>
  <si>
    <t xml:space="preserve">ROF CONSTRUCCIONES S.R.L.     </t>
  </si>
  <si>
    <t xml:space="preserve">25 DE MAYO 997           </t>
  </si>
  <si>
    <t xml:space="preserve">30-68675738-9 </t>
  </si>
  <si>
    <t xml:space="preserve">ROLFO MARCELO LUIS            </t>
  </si>
  <si>
    <t xml:space="preserve">AV CENTENARIO 2380       </t>
  </si>
  <si>
    <t xml:space="preserve">20-20076519-3 </t>
  </si>
  <si>
    <t xml:space="preserve">ROLON RESPUESTOS              </t>
  </si>
  <si>
    <t xml:space="preserve">BOLIVAR 1777             </t>
  </si>
  <si>
    <t xml:space="preserve">27-11606954-2 </t>
  </si>
  <si>
    <t xml:space="preserve">ROMA COMBUSTIBLES S.A.        </t>
  </si>
  <si>
    <t xml:space="preserve">RUTA 8 Y RUTA 33        </t>
  </si>
  <si>
    <t xml:space="preserve">30-67475612-3 </t>
  </si>
  <si>
    <t xml:space="preserve">ROS-PAR DE GONZALEZ GERMAN A. </t>
  </si>
  <si>
    <t xml:space="preserve">25 DE MAYO 1501 FIRMAT  </t>
  </si>
  <si>
    <t xml:space="preserve">20-16573999-0 </t>
  </si>
  <si>
    <t xml:space="preserve">ROSTAN ALBERTO MIGUEL         </t>
  </si>
  <si>
    <t xml:space="preserve">URUGUAY 57               </t>
  </si>
  <si>
    <t xml:space="preserve">EL TALAR                 </t>
  </si>
  <si>
    <t xml:space="preserve">20-23005117-9 </t>
  </si>
  <si>
    <t xml:space="preserve">ROTARY CLUB ZARATE            </t>
  </si>
  <si>
    <t xml:space="preserve">BELGRANO 1790    </t>
  </si>
  <si>
    <t xml:space="preserve">30-70776933-1 </t>
  </si>
  <si>
    <t>ROTIS. AL TOQUE-BENITEZ LORENA</t>
  </si>
  <si>
    <t xml:space="preserve">HIPOLITO IRIGOYEN 317    </t>
  </si>
  <si>
    <t xml:space="preserve">27-26227339-9 </t>
  </si>
  <si>
    <t xml:space="preserve">ROTISERIA DE MENDEZ MARCOS    </t>
  </si>
  <si>
    <t xml:space="preserve">SARMIENTO 631    </t>
  </si>
  <si>
    <t xml:space="preserve">20-10855841-6 </t>
  </si>
  <si>
    <t xml:space="preserve">ROTISERIA TIA VICENTA S.R.L.  </t>
  </si>
  <si>
    <t xml:space="preserve">JUSTA  1471  </t>
  </si>
  <si>
    <t xml:space="preserve">30-71223221-4 </t>
  </si>
  <si>
    <t>ROTISERIA TOQUE- JUAN J. LOPEZ</t>
  </si>
  <si>
    <t xml:space="preserve">H IRIGOYEN 301  </t>
  </si>
  <si>
    <t xml:space="preserve">20-24886923-3 </t>
  </si>
  <si>
    <t xml:space="preserve">AV GALESIO 277   </t>
  </si>
  <si>
    <t xml:space="preserve">RUEDA LOGISTICA S.R.L.        </t>
  </si>
  <si>
    <t xml:space="preserve">CORRIENTES 587 4O       </t>
  </si>
  <si>
    <t xml:space="preserve">30-71015412-7 </t>
  </si>
  <si>
    <t xml:space="preserve">RUGGIPAL S.A.                 </t>
  </si>
  <si>
    <t xml:space="preserve">CALLE 2 NO 253 BO ORSI </t>
  </si>
  <si>
    <t xml:space="preserve">30-71223056-4 </t>
  </si>
  <si>
    <t>RUIZ DIEGO JORGE - CLIM. PILAR</t>
  </si>
  <si>
    <t xml:space="preserve">12 DE OCTUBRE 2150       </t>
  </si>
  <si>
    <t xml:space="preserve">DEL VISO                 </t>
  </si>
  <si>
    <t xml:space="preserve">20-10126993-1 </t>
  </si>
  <si>
    <t xml:space="preserve">RULEMANES OSCAR               </t>
  </si>
  <si>
    <t xml:space="preserve">PEDRO LAGRAVE 311        </t>
  </si>
  <si>
    <t xml:space="preserve">20-04745022-6 </t>
  </si>
  <si>
    <t xml:space="preserve">RUNCO S.A.                    </t>
  </si>
  <si>
    <t xml:space="preserve">RUSSO MARIEL ELIZABETH        </t>
  </si>
  <si>
    <t xml:space="preserve">BROWN 1048               </t>
  </si>
  <si>
    <t xml:space="preserve">27-20315630-3 </t>
  </si>
  <si>
    <t xml:space="preserve">RVST SOCIEDAD ANONIMA         </t>
  </si>
  <si>
    <t xml:space="preserve">GUISE 1846 DPTO A        </t>
  </si>
  <si>
    <t xml:space="preserve">30-71202021-7 </t>
  </si>
  <si>
    <t xml:space="preserve">S&amp;G CONSTRUCCIONES S.R.L.     </t>
  </si>
  <si>
    <t>FRAG PTE SARMIENTO 653</t>
  </si>
  <si>
    <t xml:space="preserve">30-70864207-6 </t>
  </si>
  <si>
    <t xml:space="preserve">S.G.I.   S.A.                 </t>
  </si>
  <si>
    <t xml:space="preserve">30-70773845-2 </t>
  </si>
  <si>
    <t>S.H. Y MEC.- GUSTAVO RODRIGUEZ</t>
  </si>
  <si>
    <t xml:space="preserve">URQUIZA 79      </t>
  </si>
  <si>
    <t xml:space="preserve">20-20585524-7 </t>
  </si>
  <si>
    <t xml:space="preserve">SACCHI DANIEL H.- CERAMICOS   </t>
  </si>
  <si>
    <t xml:space="preserve">AV SAN MARTIN 1731     </t>
  </si>
  <si>
    <t xml:space="preserve">20-14200017-3 </t>
  </si>
  <si>
    <t>SAFER SYSTEMS SOUTH AMERICA SA</t>
  </si>
  <si>
    <t xml:space="preserve">SAGE SRL                      </t>
  </si>
  <si>
    <t xml:space="preserve">SALERNI EDUARDO NICOLAS       </t>
  </si>
  <si>
    <t xml:space="preserve">RUTA 3 KM 64 0           </t>
  </si>
  <si>
    <t xml:space="preserve">CANUELAS                 </t>
  </si>
  <si>
    <t xml:space="preserve">20-21842190-4 </t>
  </si>
  <si>
    <t xml:space="preserve">SALVO MARIA LILIANA           </t>
  </si>
  <si>
    <t xml:space="preserve">QUIRNO 481               </t>
  </si>
  <si>
    <t xml:space="preserve">27-16983613-8 </t>
  </si>
  <si>
    <t xml:space="preserve">SAN CAYETANO- DE LA ROSA ILDA </t>
  </si>
  <si>
    <t xml:space="preserve">PUERTO RICO Y YATASTO    </t>
  </si>
  <si>
    <t xml:space="preserve">GRAND BOURG      </t>
  </si>
  <si>
    <t xml:space="preserve">27-05331291-3 </t>
  </si>
  <si>
    <t>SAN CRISTOBAL S.M. DE SEG.GENE</t>
  </si>
  <si>
    <t>ITALIA 646 ROSARIO NORTE</t>
  </si>
  <si>
    <t xml:space="preserve">34-50004533-9 </t>
  </si>
  <si>
    <t xml:space="preserve">SAN LORENZO ALVARO-LA ESQUINA </t>
  </si>
  <si>
    <t xml:space="preserve">ANTARTIDA ARGENTINA 2890 </t>
  </si>
  <si>
    <t>SANCOR DE SEMINO MARIA CECILIA</t>
  </si>
  <si>
    <t xml:space="preserve">INDEPENDENCIA 333       </t>
  </si>
  <si>
    <t xml:space="preserve">SUNCHALES SANTA FE      </t>
  </si>
  <si>
    <t xml:space="preserve">30-50004946-0 </t>
  </si>
  <si>
    <t xml:space="preserve">SANITARIOS AVENIDA S.A.       </t>
  </si>
  <si>
    <t xml:space="preserve">AV ANTA 287     </t>
  </si>
  <si>
    <t xml:space="preserve">30-71244073-9 </t>
  </si>
  <si>
    <t>SANTA CRUZ OSCAR MARIO- TALLER</t>
  </si>
  <si>
    <t xml:space="preserve">PELLEGRINI 960   </t>
  </si>
  <si>
    <t xml:space="preserve">20-04735527-4 </t>
  </si>
  <si>
    <t>SANTAMARIA LEONARDO- TRANSPORT</t>
  </si>
  <si>
    <t xml:space="preserve">CAUPOLICAN 320 ROSARIO  </t>
  </si>
  <si>
    <t xml:space="preserve">20-24926183-2 </t>
  </si>
  <si>
    <t xml:space="preserve">SARTHOU AUTOMOTORES S.A.      </t>
  </si>
  <si>
    <t xml:space="preserve">AV SANTA FE 1087        </t>
  </si>
  <si>
    <t xml:space="preserve">ACASSUSO         </t>
  </si>
  <si>
    <t xml:space="preserve">30-69057920-7 </t>
  </si>
  <si>
    <t>SAUCEDO SERGIO ARIEL-RS INGEN.</t>
  </si>
  <si>
    <t xml:space="preserve">RICARDO GUTIERREZ 3072  </t>
  </si>
  <si>
    <t xml:space="preserve">RICARDO ROJAS    </t>
  </si>
  <si>
    <t xml:space="preserve">SCARZELLO ALBERTO HUGO        </t>
  </si>
  <si>
    <t xml:space="preserve">URQUIZA 719       </t>
  </si>
  <si>
    <t xml:space="preserve">20-12071607-8 </t>
  </si>
  <si>
    <t xml:space="preserve">SCHILD EMANUEL BOMBONERIA     </t>
  </si>
  <si>
    <t xml:space="preserve">JUSTA  112   </t>
  </si>
  <si>
    <t xml:space="preserve">20-28330520-2 </t>
  </si>
  <si>
    <t>SCHINONI GRACIELA- VETERINARIA</t>
  </si>
  <si>
    <t xml:space="preserve">DORREGO 1199      </t>
  </si>
  <si>
    <t xml:space="preserve">27-14249504-5 </t>
  </si>
  <si>
    <t xml:space="preserve">SCOTCH DE SUSANA GRZETIC      </t>
  </si>
  <si>
    <t xml:space="preserve">JUSTA  153   </t>
  </si>
  <si>
    <t xml:space="preserve">27-06278279-5 </t>
  </si>
  <si>
    <t xml:space="preserve">SD GAS DE DUARTE MABEL        </t>
  </si>
  <si>
    <t xml:space="preserve">AV ANTA 1368    </t>
  </si>
  <si>
    <t xml:space="preserve">27-10225427-4 </t>
  </si>
  <si>
    <t xml:space="preserve">SEACOM SRL                    </t>
  </si>
  <si>
    <t xml:space="preserve">BARTOLOME MITRE 2064     </t>
  </si>
  <si>
    <t xml:space="preserve">30-71069056-8 </t>
  </si>
  <si>
    <t xml:space="preserve">SEBASTIAN TUCULET             </t>
  </si>
  <si>
    <t xml:space="preserve">ROCA 15                  </t>
  </si>
  <si>
    <t xml:space="preserve">SEBRE S.R.L. TRANSPORTES      </t>
  </si>
  <si>
    <t xml:space="preserve">JUAN B JUSTO 181       </t>
  </si>
  <si>
    <t xml:space="preserve">SEIJA GUSTAVO F. COMISIONES   </t>
  </si>
  <si>
    <t xml:space="preserve">BERUTTI 2261    </t>
  </si>
  <si>
    <t xml:space="preserve">20-29453866-7 </t>
  </si>
  <si>
    <t xml:space="preserve">SEINTEC SA ARGENTINA          </t>
  </si>
  <si>
    <t xml:space="preserve">SEMILLAS ESCOBAR S.R.L.       </t>
  </si>
  <si>
    <t xml:space="preserve">RUTA 9- KM 51,200      </t>
  </si>
  <si>
    <t xml:space="preserve">30-70813101-2 </t>
  </si>
  <si>
    <t>SEMZAR EMERGENCIAS MEDICAS SRL</t>
  </si>
  <si>
    <t xml:space="preserve">25 DE MAYO 483/5 </t>
  </si>
  <si>
    <t xml:space="preserve">30-64162102-8 </t>
  </si>
  <si>
    <t xml:space="preserve">VIAMONTE 1620 PISO 6 A </t>
  </si>
  <si>
    <t xml:space="preserve">SEPARADORES DE SOMOZA ALBERTO </t>
  </si>
  <si>
    <t>COMODORO RIVADAVIA NO 742</t>
  </si>
  <si>
    <t xml:space="preserve">BERNAL           </t>
  </si>
  <si>
    <t xml:space="preserve">20-16215609-9 </t>
  </si>
  <si>
    <t xml:space="preserve">SERCONEX S.A.                 </t>
  </si>
  <si>
    <t>AV CORDOBA 659 P7 DT73</t>
  </si>
  <si>
    <t xml:space="preserve">30-71122813-2 </t>
  </si>
  <si>
    <t>SERGIO B. NOVAK- AIRE ACONDIC.</t>
  </si>
  <si>
    <t xml:space="preserve">AV WARNES 1540 1O PISO </t>
  </si>
  <si>
    <t xml:space="preserve">20-13566439-2 </t>
  </si>
  <si>
    <t xml:space="preserve">SERV.INDUST. EN GENERAL SRL   </t>
  </si>
  <si>
    <t xml:space="preserve">DR MELILLO 552          </t>
  </si>
  <si>
    <t xml:space="preserve">30-71155453-6 </t>
  </si>
  <si>
    <t xml:space="preserve">SERV.TEC.AIRE-CHESINI ERNESTO </t>
  </si>
  <si>
    <t xml:space="preserve">R NOYA 1048      </t>
  </si>
  <si>
    <t xml:space="preserve">20-10721700-3 </t>
  </si>
  <si>
    <t>SERVI CARS DE FERNANDEZ RUBEN</t>
  </si>
  <si>
    <t xml:space="preserve">6 DE JULIO      </t>
  </si>
  <si>
    <t xml:space="preserve">20-12442095-5 </t>
  </si>
  <si>
    <t>SERVICIOS COMPASS DE ARGENTINA</t>
  </si>
  <si>
    <t xml:space="preserve">BLAS PARERA 2265 </t>
  </si>
  <si>
    <t xml:space="preserve">OLIVOS                   </t>
  </si>
  <si>
    <t xml:space="preserve">30-68250597-0 </t>
  </si>
  <si>
    <t xml:space="preserve">SERVICIOS DEL PARANA S.A.     </t>
  </si>
  <si>
    <t xml:space="preserve">ALT BROWN 20    </t>
  </si>
  <si>
    <t xml:space="preserve">30-71043855-9 </t>
  </si>
  <si>
    <t>SERVICIOS INDUSTR. TORONTO SRL</t>
  </si>
  <si>
    <t xml:space="preserve">AVELLANEDA 921    </t>
  </si>
  <si>
    <t xml:space="preserve">30-70878513-6 </t>
  </si>
  <si>
    <t xml:space="preserve">SERVICIOS MIRE CONSTRUCTORA   </t>
  </si>
  <si>
    <t xml:space="preserve">ROMULO NOYA 2084         </t>
  </si>
  <si>
    <t xml:space="preserve">20-18525443-8 </t>
  </si>
  <si>
    <t xml:space="preserve">SERVIDUAL LUJAN S.A.          </t>
  </si>
  <si>
    <t xml:space="preserve">ACCESO OESTE KM 65       </t>
  </si>
  <si>
    <t xml:space="preserve">30-70861967-8 </t>
  </si>
  <si>
    <t xml:space="preserve">SERVIS DE UGALDE MARIO HECTOR </t>
  </si>
  <si>
    <t xml:space="preserve">MANZANARES 565          </t>
  </si>
  <si>
    <t xml:space="preserve">20-10253890-1 </t>
  </si>
  <si>
    <t xml:space="preserve">SERVITEK DE TOGNI ROMINA F.   </t>
  </si>
  <si>
    <t xml:space="preserve">AV SAN MARTIN 7040     </t>
  </si>
  <si>
    <t xml:space="preserve">27-25836760-5 </t>
  </si>
  <si>
    <t xml:space="preserve">SHAP S.A.                     </t>
  </si>
  <si>
    <t xml:space="preserve">AVSCALABRINI ORTIZ 2415 </t>
  </si>
  <si>
    <t xml:space="preserve">PISO 3 DTO B          </t>
  </si>
  <si>
    <t xml:space="preserve">CAPITAL FEDERAL. BS. AS. </t>
  </si>
  <si>
    <t xml:space="preserve">30-54744532-1 </t>
  </si>
  <si>
    <t xml:space="preserve">SHIH CHUNG PIN                </t>
  </si>
  <si>
    <t xml:space="preserve">DE LA TORRE 1105         </t>
  </si>
  <si>
    <t xml:space="preserve">20-92711273-7 </t>
  </si>
  <si>
    <t xml:space="preserve">SILMAR SERVICIOS S.A.         </t>
  </si>
  <si>
    <t xml:space="preserve">PERU 390 PISO 4O       </t>
  </si>
  <si>
    <t xml:space="preserve">30-71131550-7 </t>
  </si>
  <si>
    <t xml:space="preserve">SILVA PABLO RAMON             </t>
  </si>
  <si>
    <t xml:space="preserve">SAENZ PENA 1690          </t>
  </si>
  <si>
    <t xml:space="preserve">20-21960810-2 </t>
  </si>
  <si>
    <t xml:space="preserve">SIM- PICCO RAMON ALBERTO      </t>
  </si>
  <si>
    <t xml:space="preserve">URUGUAY 164      </t>
  </si>
  <si>
    <t xml:space="preserve">20-11275087-9 </t>
  </si>
  <si>
    <t xml:space="preserve">SINTERZA CONSTRUCTORA S.R.L.  </t>
  </si>
  <si>
    <t xml:space="preserve">JUSTA  137   </t>
  </si>
  <si>
    <t xml:space="preserve">30-71094351-2 </t>
  </si>
  <si>
    <t xml:space="preserve">SISTEMAS REID S.A.            </t>
  </si>
  <si>
    <t xml:space="preserve">ANTONIO MCAL SUCRE 2040 </t>
  </si>
  <si>
    <t xml:space="preserve">PISO 1O DPTO B           </t>
  </si>
  <si>
    <t xml:space="preserve">SISTEMAS Y DISENO S.R.L.      </t>
  </si>
  <si>
    <t>ESQUEL 2083</t>
  </si>
  <si>
    <t>HURLINGHAM</t>
  </si>
  <si>
    <t xml:space="preserve">30-70984874-3 </t>
  </si>
  <si>
    <t xml:space="preserve">SM AUTOPARTES                 </t>
  </si>
  <si>
    <t xml:space="preserve">SAN MARTIN 273           </t>
  </si>
  <si>
    <t xml:space="preserve">20-38433271-5 </t>
  </si>
  <si>
    <t>SMG COMPANIA ARGENTINA DE SEGU</t>
  </si>
  <si>
    <t xml:space="preserve">AV CORRIENTES 1865 PB  </t>
  </si>
  <si>
    <t xml:space="preserve">30-50003196-0 </t>
  </si>
  <si>
    <t xml:space="preserve">SMG S.A. (TRANSPORTE)         </t>
  </si>
  <si>
    <t xml:space="preserve">JUAN DOMINGO PERON 2094 </t>
  </si>
  <si>
    <t xml:space="preserve">30-69384055-0 </t>
  </si>
  <si>
    <t xml:space="preserve">SOBESKY TATARCHENCO SILVINA M </t>
  </si>
  <si>
    <t xml:space="preserve">AVENIDA LAVALLE 1108     </t>
  </si>
  <si>
    <t xml:space="preserve">SOCIS SRL                     </t>
  </si>
  <si>
    <t xml:space="preserve">SANTIAGO DEL ESTERO 690  </t>
  </si>
  <si>
    <t xml:space="preserve">ING MASCHWITZ    </t>
  </si>
  <si>
    <t xml:space="preserve">30-71124527-4 </t>
  </si>
  <si>
    <t xml:space="preserve">SOLANA MARCELA A              </t>
  </si>
  <si>
    <t xml:space="preserve">RUTA 8 KM 98             </t>
  </si>
  <si>
    <t xml:space="preserve">27-25131225-2 </t>
  </si>
  <si>
    <t>SOLARI MARTIN JAVIER- TOSQUERA</t>
  </si>
  <si>
    <t xml:space="preserve">AV DR DURAN 924        </t>
  </si>
  <si>
    <t xml:space="preserve">20-22257767-6 </t>
  </si>
  <si>
    <t xml:space="preserve">SOLMAQ SERV INDUSTRIALES SA   </t>
  </si>
  <si>
    <t xml:space="preserve">MAXIMO PAZ 703           </t>
  </si>
  <si>
    <t xml:space="preserve">30-71478623-3 </t>
  </si>
  <si>
    <t xml:space="preserve">SOLOAGA SANDRA PATRICIA       </t>
  </si>
  <si>
    <t xml:space="preserve">ANTARTIDA ARGENTINA 600  </t>
  </si>
  <si>
    <t xml:space="preserve">23-22685265-4 </t>
  </si>
  <si>
    <t xml:space="preserve">SOLUCIONES DEL PARANA SRL     </t>
  </si>
  <si>
    <t xml:space="preserve">ESMERALDA 923 P10 DPTO D </t>
  </si>
  <si>
    <t xml:space="preserve">30-71067808-8 </t>
  </si>
  <si>
    <t xml:space="preserve">SOLUCIONES INDUST ME-LEC SRL  </t>
  </si>
  <si>
    <t xml:space="preserve">ARISTOBULO DEL VALLE 561 </t>
  </si>
  <si>
    <t xml:space="preserve">30-71445208-4 </t>
  </si>
  <si>
    <t xml:space="preserve">SOLUCIONES INFORMATICAS SA    </t>
  </si>
  <si>
    <t xml:space="preserve">MORENO 1870              </t>
  </si>
  <si>
    <t xml:space="preserve">30-71166043-3 </t>
  </si>
  <si>
    <t xml:space="preserve">SOMASCHINI LEONARDO           </t>
  </si>
  <si>
    <t xml:space="preserve">LAVALLE 2039     </t>
  </si>
  <si>
    <t xml:space="preserve">20-22137137-3 </t>
  </si>
  <si>
    <t>SONY ARGENTINA S.A.- UNICENTER</t>
  </si>
  <si>
    <t xml:space="preserve"> 3745 MARTINEZ    </t>
  </si>
  <si>
    <t>NICARAGUA 5410. CAP. FED.</t>
  </si>
  <si>
    <t xml:space="preserve">30-67992887-9 </t>
  </si>
  <si>
    <t>SORONDO Y MAYNAT S.H.- CUPULAS</t>
  </si>
  <si>
    <t xml:space="preserve">AV LOS QUILMES 1360    </t>
  </si>
  <si>
    <t xml:space="preserve">BERNAL BUENOS AIRES     </t>
  </si>
  <si>
    <t xml:space="preserve">30-59985880-2 </t>
  </si>
  <si>
    <t xml:space="preserve">SOUTH MANAGEMENT S.A.         </t>
  </si>
  <si>
    <t xml:space="preserve">DEBENEDETTI 2830         </t>
  </si>
  <si>
    <t xml:space="preserve">30-70088850-5 </t>
  </si>
  <si>
    <t xml:space="preserve">SOVERINA AMERICO ALBERTO      </t>
  </si>
  <si>
    <t xml:space="preserve">QUIRNO 142               </t>
  </si>
  <si>
    <t xml:space="preserve">20-04717924-7 </t>
  </si>
  <si>
    <t xml:space="preserve">STI GROUP                     </t>
  </si>
  <si>
    <t xml:space="preserve">LA PAZ 893               </t>
  </si>
  <si>
    <t xml:space="preserve">20-23884608-1 </t>
  </si>
  <si>
    <t xml:space="preserve">STRAPLAS SA                   </t>
  </si>
  <si>
    <t xml:space="preserve">STRATICO ALICIA M. CONTADORA  </t>
  </si>
  <si>
    <t xml:space="preserve">VIRREY LORETO 2984 2O B </t>
  </si>
  <si>
    <t xml:space="preserve">23-11499916-4 </t>
  </si>
  <si>
    <t>STRUFALDI JORGE- FUNDIC. RIOPL</t>
  </si>
  <si>
    <t xml:space="preserve">CALLE 45 E/ 169 Y 170    </t>
  </si>
  <si>
    <t xml:space="preserve">20-15249208-2 </t>
  </si>
  <si>
    <t xml:space="preserve">SU METRO PIZZAS               </t>
  </si>
  <si>
    <t xml:space="preserve">CALLE 13 NO118           </t>
  </si>
  <si>
    <t xml:space="preserve">27-20774835-3 </t>
  </si>
  <si>
    <t xml:space="preserve">SU SERVICIO S.A.              </t>
  </si>
  <si>
    <t xml:space="preserve">AV ANTARTIDA ARGENTINA  </t>
  </si>
  <si>
    <t xml:space="preserve">2057 ZARATE     </t>
  </si>
  <si>
    <t xml:space="preserve">30-70943273-3 </t>
  </si>
  <si>
    <t>SUCESION DE FORLIN C.- GOMERIA</t>
  </si>
  <si>
    <t xml:space="preserve">SAN MARTIN 1184 FIRMAT  </t>
  </si>
  <si>
    <t xml:space="preserve">20-06128783-4 </t>
  </si>
  <si>
    <t xml:space="preserve">SULLAIR ARGENTINA S.A.        </t>
  </si>
  <si>
    <t xml:space="preserve">SUMADERA SA                   </t>
  </si>
  <si>
    <t xml:space="preserve">RUTA 9 KM 465           </t>
  </si>
  <si>
    <t xml:space="preserve">SUNLAND S.A.                  </t>
  </si>
  <si>
    <t xml:space="preserve">INDEPENDENCIA 564        </t>
  </si>
  <si>
    <t xml:space="preserve">ESCOBAR           </t>
  </si>
  <si>
    <t xml:space="preserve">30-65502738-2 </t>
  </si>
  <si>
    <t xml:space="preserve">SUPERFIL SOCIEDAD ANONIMA     </t>
  </si>
  <si>
    <t xml:space="preserve">MATHEU 4557              </t>
  </si>
  <si>
    <t xml:space="preserve">30-60155135-3 </t>
  </si>
  <si>
    <t xml:space="preserve">SUPPRESS   S.R.L.             </t>
  </si>
  <si>
    <t xml:space="preserve">SWISS MEDICAL SA              </t>
  </si>
  <si>
    <t xml:space="preserve">25 DE MAYO 264           </t>
  </si>
  <si>
    <t xml:space="preserve">30-65485516-8 </t>
  </si>
  <si>
    <t xml:space="preserve">SWORDFISH S.R.L.              </t>
  </si>
  <si>
    <t xml:space="preserve">JUJUY 1946 ROSARIO     </t>
  </si>
  <si>
    <t xml:space="preserve">30-71018407-7 </t>
  </si>
  <si>
    <t xml:space="preserve">T.K.M. S.A.                   </t>
  </si>
  <si>
    <t xml:space="preserve">HIPOLITO YRIGOYEN 1928   </t>
  </si>
  <si>
    <t xml:space="preserve">30-70947440-1 </t>
  </si>
  <si>
    <t xml:space="preserve">TA. IN. RE. S.A.              </t>
  </si>
  <si>
    <t xml:space="preserve">AZCUENAGA 1021 2O D     </t>
  </si>
  <si>
    <t xml:space="preserve">33-70998132-9 </t>
  </si>
  <si>
    <t xml:space="preserve">TAFITEX S.A.                  </t>
  </si>
  <si>
    <t xml:space="preserve">COCHABAMBA 741 </t>
  </si>
  <si>
    <t xml:space="preserve">30-70975423-4 </t>
  </si>
  <si>
    <t xml:space="preserve">TALCAR- NIETO OSCAR CARLOS    </t>
  </si>
  <si>
    <t xml:space="preserve">PUEYRREDON 1412  </t>
  </si>
  <si>
    <t xml:space="preserve">20-04731901-4 </t>
  </si>
  <si>
    <t xml:space="preserve">TALLER  DE DEL MOLINO JULIO   </t>
  </si>
  <si>
    <t xml:space="preserve">LAVALLE 1116     </t>
  </si>
  <si>
    <t xml:space="preserve">20-08245542-7 </t>
  </si>
  <si>
    <t xml:space="preserve">TALLER DE GIOIA PABLO WALTER  </t>
  </si>
  <si>
    <t xml:space="preserve">LAPRIDA 377      </t>
  </si>
  <si>
    <t xml:space="preserve">20-18435144-8 </t>
  </si>
  <si>
    <t xml:space="preserve">TALLER DE REPARACIONES C.G.R. </t>
  </si>
  <si>
    <t xml:space="preserve">ECHEVERRIA 762           </t>
  </si>
  <si>
    <t xml:space="preserve">30-71000206-8 </t>
  </si>
  <si>
    <t xml:space="preserve">TALLER INDUSTRIAL S.A.        </t>
  </si>
  <si>
    <t xml:space="preserve">ESPANA 1890      </t>
  </si>
  <si>
    <t xml:space="preserve">30-71080031-2 </t>
  </si>
  <si>
    <t>TALLER RODRIGUEZ - RODRIGUEZ A</t>
  </si>
  <si>
    <t xml:space="preserve">LUIS JENNER 2167         </t>
  </si>
  <si>
    <t xml:space="preserve">20-07845691-5 </t>
  </si>
  <si>
    <t xml:space="preserve">TANGO PAMPA S.R.L.            </t>
  </si>
  <si>
    <t xml:space="preserve">LIBERTADOR 5947          </t>
  </si>
  <si>
    <t xml:space="preserve">30-70833319-7 </t>
  </si>
  <si>
    <t xml:space="preserve">TAPIA MARIA ESTEFANIA         </t>
  </si>
  <si>
    <t xml:space="preserve">AVELLANEDA 195           </t>
  </si>
  <si>
    <t xml:space="preserve">27-30786483-0 </t>
  </si>
  <si>
    <t xml:space="preserve">TAPICERIA- JOSE LUIS RAMOS    </t>
  </si>
  <si>
    <t xml:space="preserve">CASTELLI 1143     </t>
  </si>
  <si>
    <t xml:space="preserve">20-22739427-8 </t>
  </si>
  <si>
    <t xml:space="preserve">TC OBRAS VIALES Y CIVILES     </t>
  </si>
  <si>
    <t xml:space="preserve">PANAMERICANA 2320        </t>
  </si>
  <si>
    <t xml:space="preserve">BOULOGNE                 </t>
  </si>
  <si>
    <t xml:space="preserve">30-60570000-0 </t>
  </si>
  <si>
    <t xml:space="preserve">TCC LEASING S.A.              </t>
  </si>
  <si>
    <t xml:space="preserve">BTME MITRE 699 P7        </t>
  </si>
  <si>
    <t xml:space="preserve">33-67775606-9 </t>
  </si>
  <si>
    <t xml:space="preserve">TECH LOGISTICA S.A.           </t>
  </si>
  <si>
    <t xml:space="preserve">MONTEAGUDO 424 2O OF 2 </t>
  </si>
  <si>
    <t xml:space="preserve">30-71062157-4 </t>
  </si>
  <si>
    <t xml:space="preserve">TECHNOS S.A.                  </t>
  </si>
  <si>
    <t>AV ANTAR ARGENTINA 2175</t>
  </si>
  <si>
    <t xml:space="preserve">TECNO GLOBAL S.R.L.           </t>
  </si>
  <si>
    <t xml:space="preserve">ITUIZANGO 1194-    </t>
  </si>
  <si>
    <t xml:space="preserve">30-70853095-2 </t>
  </si>
  <si>
    <t xml:space="preserve">TECNOAIR SA                  </t>
  </si>
  <si>
    <t xml:space="preserve">PALESTINA 65             </t>
  </si>
  <si>
    <t xml:space="preserve">30-69886964-6 </t>
  </si>
  <si>
    <t xml:space="preserve">TECNOFRIO DE GRACIELA JUAREZ  </t>
  </si>
  <si>
    <t xml:space="preserve">ISLAS MALVINAS 1510     </t>
  </si>
  <si>
    <t xml:space="preserve">27-24916133-6 </t>
  </si>
  <si>
    <t xml:space="preserve">TECNOGOMA DE DIEGO VIRKEL     </t>
  </si>
  <si>
    <t xml:space="preserve">FELIX PAGOLA 493  </t>
  </si>
  <si>
    <t xml:space="preserve">TECZINC SA                    </t>
  </si>
  <si>
    <t xml:space="preserve">PUEYRREDON 1239          </t>
  </si>
  <si>
    <t xml:space="preserve">30-71126160-1 </t>
  </si>
  <si>
    <t xml:space="preserve">TELEC SRL                     </t>
  </si>
  <si>
    <t xml:space="preserve">VIAMONTE 723 1O 3        </t>
  </si>
  <si>
    <t xml:space="preserve">CABA              </t>
  </si>
  <si>
    <t xml:space="preserve">30-65415243-4 </t>
  </si>
  <si>
    <t xml:space="preserve">TELECOM ARGENTINA S.A.        </t>
  </si>
  <si>
    <t>ALICIA MOREAU DE JUSTO 50</t>
  </si>
  <si>
    <t xml:space="preserve">30-63945373-8 </t>
  </si>
  <si>
    <t xml:space="preserve">TELEFONICA DE ARGENTINA S.A.  </t>
  </si>
  <si>
    <t>CORRIENTES 707</t>
  </si>
  <si>
    <t xml:space="preserve">30-63945397-5 </t>
  </si>
  <si>
    <t xml:space="preserve">TELEFONICA MOVILES ARG SA     </t>
  </si>
  <si>
    <t xml:space="preserve">DEFENSA 143              </t>
  </si>
  <si>
    <t xml:space="preserve">30-67881435-7 </t>
  </si>
  <si>
    <t xml:space="preserve">TERRANOR - GALAZZI MARTIN     </t>
  </si>
  <si>
    <t xml:space="preserve">RAWSON 97                </t>
  </si>
  <si>
    <t xml:space="preserve">20-13776309-6 </t>
  </si>
  <si>
    <t xml:space="preserve">TG VIAL S.A.                  </t>
  </si>
  <si>
    <t xml:space="preserve">RECONQUISTA 657 4O PISO </t>
  </si>
  <si>
    <t xml:space="preserve">30-70834482-2 </t>
  </si>
  <si>
    <t xml:space="preserve">THE CLEAN GARDEN S.R.L.       </t>
  </si>
  <si>
    <t xml:space="preserve">ADOLFO ALSINA 3683      </t>
  </si>
  <si>
    <t>VTE LOPEZ</t>
  </si>
  <si>
    <t xml:space="preserve">TIO MUSA S.A.                 </t>
  </si>
  <si>
    <t>AV SCALABRINI ORTIZ 321</t>
  </si>
  <si>
    <t xml:space="preserve">30-66168573-1 </t>
  </si>
  <si>
    <t xml:space="preserve">TOMEGUI SRL                   </t>
  </si>
  <si>
    <t xml:space="preserve">MORENO 519               </t>
  </si>
  <si>
    <t xml:space="preserve">30-71491272-7 </t>
  </si>
  <si>
    <t xml:space="preserve">TOPZAR S.A.                   </t>
  </si>
  <si>
    <t xml:space="preserve">ARENALES 3651 </t>
  </si>
  <si>
    <t xml:space="preserve">30-71128827-5 </t>
  </si>
  <si>
    <t>TORNERIA DE DUVIVIER OSCAR Y O</t>
  </si>
  <si>
    <t xml:space="preserve">ADOLFO ALSINA 365 </t>
  </si>
  <si>
    <t xml:space="preserve">33-58000120-9 </t>
  </si>
  <si>
    <t>TORONTO SANITAR- FALIVENE LUIS</t>
  </si>
  <si>
    <t xml:space="preserve">TORRANO MARIO Y OMAR          </t>
  </si>
  <si>
    <t xml:space="preserve">IS NAVARINO 478         </t>
  </si>
  <si>
    <t xml:space="preserve">FATIMA                   </t>
  </si>
  <si>
    <t xml:space="preserve">30-63714182-8 </t>
  </si>
  <si>
    <t xml:space="preserve">TORRES ALBERTO JUAN TRANSP.   </t>
  </si>
  <si>
    <t>RUISENOR 1131 MAQUINISTA</t>
  </si>
  <si>
    <t xml:space="preserve">SAVIO            </t>
  </si>
  <si>
    <t xml:space="preserve">20-22017095-1 </t>
  </si>
  <si>
    <t>TORTONESE ALEJANDRO- ACRILICOS</t>
  </si>
  <si>
    <t xml:space="preserve">DE LA TORRE 929  </t>
  </si>
  <si>
    <t xml:space="preserve">TRACKMAR S.A.C.I.             </t>
  </si>
  <si>
    <t>RUTA PANAMERICANA  KM315</t>
  </si>
  <si>
    <t xml:space="preserve">GRAL PACHECO    </t>
  </si>
  <si>
    <t xml:space="preserve">TRANS COMBUS OIL S.A.         </t>
  </si>
  <si>
    <t>MARCELO T DE ALVEAR 1361</t>
  </si>
  <si>
    <t xml:space="preserve">2O '9' CABA         </t>
  </si>
  <si>
    <t xml:space="preserve">33-71007042-9 </t>
  </si>
  <si>
    <t>TRANS METAL DE BERIO MIGUEL AN</t>
  </si>
  <si>
    <t xml:space="preserve">ZELAYA 415 </t>
  </si>
  <si>
    <t xml:space="preserve">20-10108660-8 </t>
  </si>
  <si>
    <t xml:space="preserve">TRANS. DE PASQUALE ALEJANDRO  </t>
  </si>
  <si>
    <t xml:space="preserve">CALLE 3 NO 2750  </t>
  </si>
  <si>
    <t xml:space="preserve">20-18058889-3 </t>
  </si>
  <si>
    <t>TRANS.PEPE- FRASSEREN JUAN JOS</t>
  </si>
  <si>
    <t>DEL CARMEN 1171 CANUELAS</t>
  </si>
  <si>
    <t xml:space="preserve">20-21676271-2 </t>
  </si>
  <si>
    <t xml:space="preserve">TRANSGOLD S.A.                </t>
  </si>
  <si>
    <t>HIDALGO 60 P 4 DPTO 29</t>
  </si>
  <si>
    <t xml:space="preserve">33-71065250-9 </t>
  </si>
  <si>
    <t xml:space="preserve">TRANSIR S.R.L.                </t>
  </si>
  <si>
    <t xml:space="preserve">SUIPACHA 418      </t>
  </si>
  <si>
    <t>TRANSP EL VELOZ-CABEZAS CARLOS</t>
  </si>
  <si>
    <t xml:space="preserve">SARGENTO CABRAL 1435    </t>
  </si>
  <si>
    <t xml:space="preserve">20-11626288.7 </t>
  </si>
  <si>
    <t>TRANSP. A SE DE MUSA ADRIANA S</t>
  </si>
  <si>
    <t xml:space="preserve">ASBORNO 1042 ESCOBAR    </t>
  </si>
  <si>
    <t xml:space="preserve">23-13470901-4 </t>
  </si>
  <si>
    <t xml:space="preserve">TRANSP. ALEJANDRO BENTANCOURT </t>
  </si>
  <si>
    <t xml:space="preserve">20-24478704-6 </t>
  </si>
  <si>
    <t xml:space="preserve">TRANSP. AYALE MIGUEL ANGEL    </t>
  </si>
  <si>
    <t xml:space="preserve">MATHEU 1270     </t>
  </si>
  <si>
    <t xml:space="preserve">20-29511686-3 </t>
  </si>
  <si>
    <t xml:space="preserve">TRANSP. COLOMBO LUCAS IVAN    </t>
  </si>
  <si>
    <t xml:space="preserve">PTE PERON 2092         </t>
  </si>
  <si>
    <t xml:space="preserve">20-26512915-4 </t>
  </si>
  <si>
    <t xml:space="preserve">TRANSP. DE ANGELI WALTER A.   </t>
  </si>
  <si>
    <t xml:space="preserve">CASA 422 MANZ 22      </t>
  </si>
  <si>
    <t xml:space="preserve">BARRIO GINES GARCIA     </t>
  </si>
  <si>
    <t xml:space="preserve">SAN NICOLAS. BS. AS.     </t>
  </si>
  <si>
    <t xml:space="preserve">20-26126453-7 </t>
  </si>
  <si>
    <t xml:space="preserve">TRANSP. DE ARCE BLANCA        </t>
  </si>
  <si>
    <t xml:space="preserve">SAAVEDRA 1039    </t>
  </si>
  <si>
    <t xml:space="preserve">27-16983369-4 </t>
  </si>
  <si>
    <t>TRANSP. DE CASTINEIRA SANDRA B</t>
  </si>
  <si>
    <t xml:space="preserve">CARLOS BERG 2765        </t>
  </si>
  <si>
    <t xml:space="preserve">27-18321942-7 </t>
  </si>
  <si>
    <t xml:space="preserve">TRANSP. DE HIDALGO MONICA P.  </t>
  </si>
  <si>
    <t xml:space="preserve">FALUCHO 1054     </t>
  </si>
  <si>
    <t xml:space="preserve">27-20979051-9 </t>
  </si>
  <si>
    <t xml:space="preserve">TRANSP. DE MAESTU JUAN CARLOS </t>
  </si>
  <si>
    <t>25 DE MAYO 674</t>
  </si>
  <si>
    <t xml:space="preserve">CAÑUELAS   </t>
  </si>
  <si>
    <t xml:space="preserve">23-25233297-9 </t>
  </si>
  <si>
    <t>TRANSP. DE TOLOSA SERGIO MARC.</t>
  </si>
  <si>
    <t xml:space="preserve">E DRUVICH 2695         </t>
  </si>
  <si>
    <t xml:space="preserve">20-21508707-8 </t>
  </si>
  <si>
    <t>TRANSP. DI TOMASSO RUBEN ADRIA</t>
  </si>
  <si>
    <t xml:space="preserve">LOS ROBLES 135          </t>
  </si>
  <si>
    <t xml:space="preserve">23-10230126-9 </t>
  </si>
  <si>
    <t>TRANSP. DIPRIAN DE MARTIN ROTH</t>
  </si>
  <si>
    <t xml:space="preserve">AGUSTIN ALVAREZ 1380    </t>
  </si>
  <si>
    <t xml:space="preserve">20-23343908-9 </t>
  </si>
  <si>
    <t xml:space="preserve">TRANSP. FIRPO CARLOS DOMINGO  </t>
  </si>
  <si>
    <t xml:space="preserve">CALLE 6 NO 50    </t>
  </si>
  <si>
    <t xml:space="preserve">20-11626271-2 </t>
  </si>
  <si>
    <t xml:space="preserve">TRANSP. FORMINI MARCELO       </t>
  </si>
  <si>
    <t xml:space="preserve">LAVALLE Y RUTA 12        </t>
  </si>
  <si>
    <t xml:space="preserve">23-18517325-9 </t>
  </si>
  <si>
    <t xml:space="preserve">TRANSP. GALARZA ROBERTO R.E.  </t>
  </si>
  <si>
    <t xml:space="preserve">PERRONE 196     </t>
  </si>
  <si>
    <t xml:space="preserve">23-32127264-9 </t>
  </si>
  <si>
    <t xml:space="preserve">TRANSP. GOMEZ DANIEL PATRICIO </t>
  </si>
  <si>
    <t xml:space="preserve">RIVADAVIA 1254           </t>
  </si>
  <si>
    <t xml:space="preserve">27-18568529-8 </t>
  </si>
  <si>
    <t xml:space="preserve">TRANSP. GRAL. DE FISCH JORGE  </t>
  </si>
  <si>
    <t xml:space="preserve">SAN MARTIN 2829         </t>
  </si>
  <si>
    <t xml:space="preserve">20-04744765-9 </t>
  </si>
  <si>
    <t xml:space="preserve">TRANSP. HARBAR ROBERTO FABIAN </t>
  </si>
  <si>
    <t xml:space="preserve">CONSTANCIO VIGIL 33     </t>
  </si>
  <si>
    <t xml:space="preserve">C SPEGAZZINI    </t>
  </si>
  <si>
    <t xml:space="preserve">20-17595515-2 </t>
  </si>
  <si>
    <t xml:space="preserve">TRANSP. HILD OSCAR MARTIN     </t>
  </si>
  <si>
    <t xml:space="preserve">SANTA MARIA DE ORO 561  </t>
  </si>
  <si>
    <t xml:space="preserve">20-16113029-0 </t>
  </si>
  <si>
    <t>TRANSP. LDG GONZALEZ LEANDRO D</t>
  </si>
  <si>
    <t xml:space="preserve">B DE IRIGOYEN 1785     </t>
  </si>
  <si>
    <t xml:space="preserve">24-27264764-6 </t>
  </si>
  <si>
    <t xml:space="preserve">TRANSP. MANIA PABLO FACUNDO   </t>
  </si>
  <si>
    <t xml:space="preserve">BUSTAMANTE 501          </t>
  </si>
  <si>
    <t xml:space="preserve">20-26938260-1 </t>
  </si>
  <si>
    <t xml:space="preserve">TRANSP. MARABELLI JAVIER OMAR </t>
  </si>
  <si>
    <t xml:space="preserve">20-20020028-5 </t>
  </si>
  <si>
    <t xml:space="preserve">TRANSP. MECCA CLAUDIO DANIEL  </t>
  </si>
  <si>
    <t xml:space="preserve">FERRE 3 JOSE MARMOL    </t>
  </si>
  <si>
    <t xml:space="preserve">20-14731367-6 </t>
  </si>
  <si>
    <t>TRANSP. MILTON JULIAN ILLENZER</t>
  </si>
  <si>
    <t xml:space="preserve">CALLE 8 NO 1192  </t>
  </si>
  <si>
    <t xml:space="preserve">20-92466964-1 </t>
  </si>
  <si>
    <t xml:space="preserve">TRANSP. ORLANDINI MARCELA     </t>
  </si>
  <si>
    <t xml:space="preserve">LUCIA PARAVI 536 </t>
  </si>
  <si>
    <t xml:space="preserve">27-16953051-9 </t>
  </si>
  <si>
    <t xml:space="preserve">TRANSP. RODRIGUEZ JORGE TANO  </t>
  </si>
  <si>
    <t>C VIGIL 34 C</t>
  </si>
  <si>
    <t xml:space="preserve">20-21029270-6 </t>
  </si>
  <si>
    <t>TRANSP. ROMA- MALAGOLI ENRIQUE</t>
  </si>
  <si>
    <t xml:space="preserve">BALCARCE 1062     </t>
  </si>
  <si>
    <t xml:space="preserve">20-13802088-7 </t>
  </si>
  <si>
    <t xml:space="preserve">TRANSP. SANCHEZ OSCAR DANIEL  </t>
  </si>
  <si>
    <t xml:space="preserve">3 DE FEBRERO 1640 </t>
  </si>
  <si>
    <t xml:space="preserve">20-27743038-0 </t>
  </si>
  <si>
    <t>TRANSP.AGUILERA CARLOS ALBERTO</t>
  </si>
  <si>
    <t xml:space="preserve">25 DE MAYO NO 1357      </t>
  </si>
  <si>
    <t xml:space="preserve">20-14395277-1 </t>
  </si>
  <si>
    <t>TRANSP.G Y B -VALENTINI HAYDEE</t>
  </si>
  <si>
    <t xml:space="preserve">SAN LUIS 879      </t>
  </si>
  <si>
    <t xml:space="preserve">27-02296413-0 </t>
  </si>
  <si>
    <t>TRANSP.GISE DE VILLARRUEL RAUL</t>
  </si>
  <si>
    <t xml:space="preserve">9 DE JULIO 385   </t>
  </si>
  <si>
    <t xml:space="preserve">20-11560860-7 </t>
  </si>
  <si>
    <t>TRANSP.MILAGRO-BALMACEDA SANDR</t>
  </si>
  <si>
    <t xml:space="preserve">27-23972760-9 </t>
  </si>
  <si>
    <t>TRANSP.SAN JOSE-MANIA MONICA M</t>
  </si>
  <si>
    <t xml:space="preserve">27-24007926-2 </t>
  </si>
  <si>
    <t>TRANSP.VACCAREZZA-NOGUES ANA M</t>
  </si>
  <si>
    <t xml:space="preserve">AV SANTA MARIA 2945    </t>
  </si>
  <si>
    <t xml:space="preserve">27-06670725-9 </t>
  </si>
  <si>
    <t>TRANSPDORS Y SERV.DEL NORTE SA</t>
  </si>
  <si>
    <t xml:space="preserve">IRIART 1339 Y RUTA 12   </t>
  </si>
  <si>
    <t xml:space="preserve">30-71095111-6 </t>
  </si>
  <si>
    <t xml:space="preserve">TRANSPORTE AMITRANO S.R.L.    </t>
  </si>
  <si>
    <t xml:space="preserve">BALCARCE 776     </t>
  </si>
  <si>
    <t xml:space="preserve">33-70879142-9 </t>
  </si>
  <si>
    <t xml:space="preserve">TRANSPORTE DIAZ               </t>
  </si>
  <si>
    <t xml:space="preserve">ECHEVERRIA 461-PILAR     </t>
  </si>
  <si>
    <t xml:space="preserve">20-05065632-3 </t>
  </si>
  <si>
    <t xml:space="preserve">TRANSPORTE DON GINO S.R.L.    </t>
  </si>
  <si>
    <t xml:space="preserve">DR JONAS SALK 220       </t>
  </si>
  <si>
    <t xml:space="preserve">CAMPANA,          </t>
  </si>
  <si>
    <t xml:space="preserve">30-70848290-7 </t>
  </si>
  <si>
    <t xml:space="preserve">TRANSPORTE EVELYN S.R.L.      </t>
  </si>
  <si>
    <t>ESTRADA 101</t>
  </si>
  <si>
    <t>CAP. DEL SEÑOR</t>
  </si>
  <si>
    <t xml:space="preserve">30-70980121-6 </t>
  </si>
  <si>
    <t xml:space="preserve">TRANSPORTE ITALIA S.A.        </t>
  </si>
  <si>
    <t xml:space="preserve">ANGEL MERLO 339          </t>
  </si>
  <si>
    <t xml:space="preserve">ARRECIFES                </t>
  </si>
  <si>
    <t xml:space="preserve">30-71082410-6 </t>
  </si>
  <si>
    <t xml:space="preserve">TRANSPORTE LALLANA LEONARDO   </t>
  </si>
  <si>
    <t xml:space="preserve">M BENT 859 SAN NICOLAS </t>
  </si>
  <si>
    <t xml:space="preserve">20-27978069-9 </t>
  </si>
  <si>
    <t xml:space="preserve">TRANSPORTE PAMPERITO S.A.     </t>
  </si>
  <si>
    <t xml:space="preserve">SAN LORENZO 397         </t>
  </si>
  <si>
    <t xml:space="preserve">30-70989187-8 </t>
  </si>
  <si>
    <t xml:space="preserve">TRANSPORTE PERAZZO            </t>
  </si>
  <si>
    <t xml:space="preserve">CORRIENTES 750          </t>
  </si>
  <si>
    <t xml:space="preserve">FLORENCIO VARELA         </t>
  </si>
  <si>
    <t xml:space="preserve">20-11035253-1 </t>
  </si>
  <si>
    <t xml:space="preserve">TRANSPORTE PICASSO            </t>
  </si>
  <si>
    <t>QUINTANA 471 PTE DERQUI</t>
  </si>
  <si>
    <t xml:space="preserve">20-22729538-5 </t>
  </si>
  <si>
    <t xml:space="preserve">TRANSPORTE RUTA 6 S.A.        </t>
  </si>
  <si>
    <t xml:space="preserve">BELGRANO 2240            </t>
  </si>
  <si>
    <t xml:space="preserve">BARRIO LAS ACACIAS       </t>
  </si>
  <si>
    <t xml:space="preserve">30-68681409-9 </t>
  </si>
  <si>
    <t xml:space="preserve">TRANSPORTES CASANE BUS        </t>
  </si>
  <si>
    <t xml:space="preserve">RIVADAVIA 3023    </t>
  </si>
  <si>
    <t xml:space="preserve">27-05205140-7   </t>
  </si>
  <si>
    <t xml:space="preserve">TRANSPORTES CASTRO            </t>
  </si>
  <si>
    <t xml:space="preserve">PERU 1966                </t>
  </si>
  <si>
    <t xml:space="preserve">TALAR                    </t>
  </si>
  <si>
    <t xml:space="preserve">20-26166511-6 </t>
  </si>
  <si>
    <t xml:space="preserve">TRANSPORTES GENERALES-SALERNI </t>
  </si>
  <si>
    <t>RUTA 3 KM 64</t>
  </si>
  <si>
    <t xml:space="preserve">20-04922158-5 </t>
  </si>
  <si>
    <t xml:space="preserve">TRANSPORTES RENOVA S.A.       </t>
  </si>
  <si>
    <t xml:space="preserve">RAMON L FALCON 5836    </t>
  </si>
  <si>
    <t xml:space="preserve">30-71058891-7 </t>
  </si>
  <si>
    <t xml:space="preserve">TRASLUX S.A.                  </t>
  </si>
  <si>
    <t xml:space="preserve">RUTA 9 KM 885    </t>
  </si>
  <si>
    <t xml:space="preserve">TRIANGULAR S.A.               </t>
  </si>
  <si>
    <t xml:space="preserve">AGUIRRE 1329 CAPITAL    </t>
  </si>
  <si>
    <t xml:space="preserve">30-60945338-5 </t>
  </si>
  <si>
    <t xml:space="preserve">TRIMSA SRL                    </t>
  </si>
  <si>
    <t xml:space="preserve">DORREGO 851              </t>
  </si>
  <si>
    <t xml:space="preserve">30-71084436-0   </t>
  </si>
  <si>
    <t xml:space="preserve">TRONCOSO FERNANDO DAVID       </t>
  </si>
  <si>
    <t xml:space="preserve">ESPANA 1793              </t>
  </si>
  <si>
    <t xml:space="preserve">23-24938019-9 </t>
  </si>
  <si>
    <t xml:space="preserve">TROTTA ARIEL MATIAS           </t>
  </si>
  <si>
    <t xml:space="preserve">CHARRUA 2576             </t>
  </si>
  <si>
    <t xml:space="preserve">ISIDRO CASANOVA          </t>
  </si>
  <si>
    <t xml:space="preserve">23-29543217-9 </t>
  </si>
  <si>
    <t xml:space="preserve">TTC AUTO ARGENTINA S.A.       </t>
  </si>
  <si>
    <t xml:space="preserve">COLECTORA SUR NO 1775    </t>
  </si>
  <si>
    <t xml:space="preserve">30-69724682-3 </t>
  </si>
  <si>
    <t xml:space="preserve">TUBOLOC S.A.                  </t>
  </si>
  <si>
    <t xml:space="preserve">JUAN B JUSTO 2287- TIGRE </t>
  </si>
  <si>
    <t>TULIP COLOR - BOUCHE ELIZABETH</t>
  </si>
  <si>
    <t xml:space="preserve">BROWN 430                </t>
  </si>
  <si>
    <t xml:space="preserve">27-16487705-7 </t>
  </si>
  <si>
    <t xml:space="preserve">UARAK S.A.                    </t>
  </si>
  <si>
    <t>CUBA 2982 PISO 1O LOCF</t>
  </si>
  <si>
    <t xml:space="preserve">30-71058792-9 </t>
  </si>
  <si>
    <t xml:space="preserve">UBALDO MARCELINO DIAZ         </t>
  </si>
  <si>
    <t xml:space="preserve">LARREA 2451              </t>
  </si>
  <si>
    <t xml:space="preserve">20-04739298-6 </t>
  </si>
  <si>
    <t xml:space="preserve">UBERNEG S.A.                  </t>
  </si>
  <si>
    <t>LAPRIDA 4556</t>
  </si>
  <si>
    <t>V. MARTELLI</t>
  </si>
  <si>
    <t xml:space="preserve">30-71049225-1 </t>
  </si>
  <si>
    <t>UN SENTIMIENTO ZARATENO S.R.L.</t>
  </si>
  <si>
    <t xml:space="preserve">JUSTA  DE ATUCHA 950 </t>
  </si>
  <si>
    <t xml:space="preserve">30-70884909-6 </t>
  </si>
  <si>
    <t xml:space="preserve">URBAN RIDERS- FLEITAS NESTOR  </t>
  </si>
  <si>
    <t xml:space="preserve">DE LA TORRE 1599 </t>
  </si>
  <si>
    <t xml:space="preserve">20-29556830-6 </t>
  </si>
  <si>
    <t xml:space="preserve">URGENCIA MECANICA SA          </t>
  </si>
  <si>
    <t xml:space="preserve">CONESA 710               </t>
  </si>
  <si>
    <t xml:space="preserve">30-71436621-8 </t>
  </si>
  <si>
    <t xml:space="preserve">URRELS GUILLERMO FRIGORIFICO  </t>
  </si>
  <si>
    <t xml:space="preserve">PACHECO 1086             </t>
  </si>
  <si>
    <t xml:space="preserve">20-22837665-6 </t>
  </si>
  <si>
    <t>USONIAN BANOS Y COCINAS S.R.L.</t>
  </si>
  <si>
    <t xml:space="preserve">VALENTINI FRANCO JAVIER       </t>
  </si>
  <si>
    <t xml:space="preserve">LUIS JENNER 2155         </t>
  </si>
  <si>
    <t xml:space="preserve">VALLELON DE ESPINDOLA ENZO E. </t>
  </si>
  <si>
    <t xml:space="preserve">LUIS JENNIER 2153 </t>
  </si>
  <si>
    <t xml:space="preserve">20-92494896-6 </t>
  </si>
  <si>
    <t xml:space="preserve">VAZQUEZ J. ANTONIO-HIELITO    </t>
  </si>
  <si>
    <t xml:space="preserve">CHILE 1539               </t>
  </si>
  <si>
    <t xml:space="preserve">20-93694364-1 </t>
  </si>
  <si>
    <t xml:space="preserve">VERIFICADORA COVEMA S.R.L.    </t>
  </si>
  <si>
    <t xml:space="preserve">BELGRANO 1363            </t>
  </si>
  <si>
    <t xml:space="preserve">30-66773199-9 </t>
  </si>
  <si>
    <t xml:space="preserve">VERTEX COMPUTERS S.A.         </t>
  </si>
  <si>
    <t xml:space="preserve">AV BELGRANO 970 </t>
  </si>
  <si>
    <t xml:space="preserve">30-68057440-1 </t>
  </si>
  <si>
    <t>VETERINARIO COMELLI JUAN ENRIQ</t>
  </si>
  <si>
    <t xml:space="preserve">ALTE BROWN 774  </t>
  </si>
  <si>
    <t xml:space="preserve">20-23142566-8 </t>
  </si>
  <si>
    <t>VIAJES WALTER DE WALTER VULICH</t>
  </si>
  <si>
    <t xml:space="preserve">BELISARIO ROLDAN 470    </t>
  </si>
  <si>
    <t xml:space="preserve">20-12444948-1 </t>
  </si>
  <si>
    <t xml:space="preserve">VIALCAM S.A.                  </t>
  </si>
  <si>
    <t xml:space="preserve">BARTOLOME MITRE 900      </t>
  </si>
  <si>
    <t xml:space="preserve">30-66918895-8 </t>
  </si>
  <si>
    <t xml:space="preserve">VIALROF S.R.L.                </t>
  </si>
  <si>
    <t xml:space="preserve">25 DE MAYO 997 ESCOBAR  </t>
  </si>
  <si>
    <t xml:space="preserve">33-70839434-9 </t>
  </si>
  <si>
    <t xml:space="preserve">VICENTE ZINGARO E HIJOS S.A.  </t>
  </si>
  <si>
    <t>CALLE 13 685</t>
  </si>
  <si>
    <t xml:space="preserve">30-62070690-2 </t>
  </si>
  <si>
    <t xml:space="preserve">VICTOR AGUIRRE                </t>
  </si>
  <si>
    <t xml:space="preserve">AV TRIUNVIRATO 6402      </t>
  </si>
  <si>
    <t xml:space="preserve">3 DE FEBRERO  </t>
  </si>
  <si>
    <t xml:space="preserve">20-04595402-2 </t>
  </si>
  <si>
    <t xml:space="preserve">VICTOR BALBI CONST SA         </t>
  </si>
  <si>
    <t xml:space="preserve">VICTOR H. TOLOSA              </t>
  </si>
  <si>
    <t xml:space="preserve">ACCESO NORTE KM 53       </t>
  </si>
  <si>
    <t xml:space="preserve">30-67925285-9   </t>
  </si>
  <si>
    <t xml:space="preserve">VIDAILLET DIEGO SEBASTIAN     </t>
  </si>
  <si>
    <t xml:space="preserve">CIRC 1 SECC 3 MZA P C 16 </t>
  </si>
  <si>
    <t xml:space="preserve">CIUDAD EVITA      </t>
  </si>
  <si>
    <t xml:space="preserve">20-30333124-8 </t>
  </si>
  <si>
    <t xml:space="preserve">VIDRIOS BERMA S.A.            </t>
  </si>
  <si>
    <t xml:space="preserve">9 DE JULIO 1099  </t>
  </si>
  <si>
    <t xml:space="preserve">VIENOR S.A.                   </t>
  </si>
  <si>
    <t xml:space="preserve">LARRABURE 1679  </t>
  </si>
  <si>
    <t>VILLALBA RIVEROS ISIDORO-MATER</t>
  </si>
  <si>
    <t xml:space="preserve">COLECTORA NORTE 1646    </t>
  </si>
  <si>
    <t xml:space="preserve">20-92827009-3 </t>
  </si>
  <si>
    <t xml:space="preserve">VINAS EXPRESS S.H.            </t>
  </si>
  <si>
    <t xml:space="preserve">AMEGHINO Y ALEM          </t>
  </si>
  <si>
    <t xml:space="preserve">VITREAUX COMUNICACIONES SRL   </t>
  </si>
  <si>
    <t xml:space="preserve">AV PUEYRREDON 538 PISO 3 </t>
  </si>
  <si>
    <t xml:space="preserve">CABA    </t>
  </si>
  <si>
    <t xml:space="preserve">30-71210519-0 </t>
  </si>
  <si>
    <t xml:space="preserve">VIVERO SANTA ISABEL S.A.      </t>
  </si>
  <si>
    <t>RUTA 9 KM 168</t>
  </si>
  <si>
    <t xml:space="preserve">30-64913427-4 </t>
  </si>
  <si>
    <t xml:space="preserve">VOL-CAS S.R.L.                </t>
  </si>
  <si>
    <t xml:space="preserve">RAWSON 480       </t>
  </si>
  <si>
    <t xml:space="preserve">30-66766920-7 </t>
  </si>
  <si>
    <t xml:space="preserve">VOLQUETES PILAR S.A.          </t>
  </si>
  <si>
    <t xml:space="preserve">AV TOMAS MARQUEZ 1496   </t>
  </si>
  <si>
    <t xml:space="preserve">VRIL S.R.L.                   </t>
  </si>
  <si>
    <t xml:space="preserve">MOREAU DE JUSTO 720      </t>
  </si>
  <si>
    <t xml:space="preserve">33-71009468-9 </t>
  </si>
  <si>
    <t xml:space="preserve">VTV NORTE S.A.                </t>
  </si>
  <si>
    <t>COLECTORA RUTA 12 KM 842</t>
  </si>
  <si>
    <t xml:space="preserve">30-68520007-0 </t>
  </si>
  <si>
    <t xml:space="preserve">VUL-CAN DANIEL GONZALEZ       </t>
  </si>
  <si>
    <t xml:space="preserve">20-12830830-0 </t>
  </si>
  <si>
    <t xml:space="preserve">WANG XIAOJUAN                 </t>
  </si>
  <si>
    <t xml:space="preserve">19 DE MARZO 155          </t>
  </si>
  <si>
    <t xml:space="preserve">27-94024086-2 </t>
  </si>
  <si>
    <t>WEBER FABIO- TALLER CHAPA Y PI</t>
  </si>
  <si>
    <t xml:space="preserve">JUAN B JUSTO 1002      </t>
  </si>
  <si>
    <t xml:space="preserve">20-16946695-6 </t>
  </si>
  <si>
    <t xml:space="preserve">WURTH ARGENTINA S.A.          </t>
  </si>
  <si>
    <t>LAPRIDA 4097 VILLA LYNCH</t>
  </si>
  <si>
    <t>WW OBRAS TELCO ARGENTINA S.R.L</t>
  </si>
  <si>
    <t xml:space="preserve">KM 4,5 ZARATE  </t>
  </si>
  <si>
    <t xml:space="preserve">XONA SRL                      </t>
  </si>
  <si>
    <t xml:space="preserve">ALBERDI JB 965 P2 DTO 6  </t>
  </si>
  <si>
    <t xml:space="preserve">30-71509207-3 </t>
  </si>
  <si>
    <t xml:space="preserve">YANINA ELISABET HERBER        </t>
  </si>
  <si>
    <t xml:space="preserve">COLECTORA SUR 1815       </t>
  </si>
  <si>
    <t xml:space="preserve">27-24195113-3 </t>
  </si>
  <si>
    <t>YARDIN COMISIONES-LOPEZ GLADYS</t>
  </si>
  <si>
    <t xml:space="preserve">SAAVEDRA 935 </t>
  </si>
  <si>
    <t xml:space="preserve">27-17851607-3 </t>
  </si>
  <si>
    <t>YARDIN JUAN CARLOS- COMISIONES</t>
  </si>
  <si>
    <t xml:space="preserve">GUIDO LUCOTTI 756       </t>
  </si>
  <si>
    <t xml:space="preserve">23-21858451-9 </t>
  </si>
  <si>
    <t xml:space="preserve">YARDIN PABLO COMISIONES       </t>
  </si>
  <si>
    <t xml:space="preserve">ALMAFUERTE 3320         </t>
  </si>
  <si>
    <t xml:space="preserve">20-21858452-8 </t>
  </si>
  <si>
    <t xml:space="preserve">YIES S.R.L.                   </t>
  </si>
  <si>
    <t xml:space="preserve">MANUELA PEDRAZA 5710     </t>
  </si>
  <si>
    <t xml:space="preserve">30-69123960-4 </t>
  </si>
  <si>
    <t xml:space="preserve">YOMEL SA                      </t>
  </si>
  <si>
    <t xml:space="preserve">RUTA 65 Y AV MITRE       </t>
  </si>
  <si>
    <t xml:space="preserve">9 DE JULIO               </t>
  </si>
  <si>
    <t xml:space="preserve">30-56132500-2   </t>
  </si>
  <si>
    <t>YPF DE GONZALEZ MARCOS ANTONIO</t>
  </si>
  <si>
    <t>AVDA 51 850 VILLA CANAS</t>
  </si>
  <si>
    <t xml:space="preserve">20-06143633-3 </t>
  </si>
  <si>
    <t xml:space="preserve">YPF S.A.                      </t>
  </si>
  <si>
    <t xml:space="preserve">GUEMES MACACHA 515      </t>
  </si>
  <si>
    <t xml:space="preserve">30-54668997-9 </t>
  </si>
  <si>
    <t xml:space="preserve">ZACCARDI CARLOS NAHUEL        </t>
  </si>
  <si>
    <t xml:space="preserve">SPADACCINI 1030 1OB      </t>
  </si>
  <si>
    <t xml:space="preserve">20-36413244-2 </t>
  </si>
  <si>
    <t xml:space="preserve">ZAIA HNOS.- JUAN CARLOS  ZAIA </t>
  </si>
  <si>
    <t xml:space="preserve">CARLOS PELLEGRINI 1150   </t>
  </si>
  <si>
    <t xml:space="preserve">LUJAN BUENOS AIRES      </t>
  </si>
  <si>
    <t xml:space="preserve">30-57760492-0 </t>
  </si>
  <si>
    <t xml:space="preserve">ZARANTONELLO E HIJOS S.H.     </t>
  </si>
  <si>
    <t xml:space="preserve">BERUTTI 717      </t>
  </si>
  <si>
    <t>ZARATE COMPUTACION OLIVERI GUS</t>
  </si>
  <si>
    <t xml:space="preserve">BOLIVAR 952       </t>
  </si>
  <si>
    <t>ZARATE CRISTALES- JORGE ZAGHET</t>
  </si>
  <si>
    <t xml:space="preserve">LAVALLE 1605      </t>
  </si>
  <si>
    <t xml:space="preserve">ZARATE CRISTALES S.R.L.       </t>
  </si>
  <si>
    <t xml:space="preserve">MITRE 1329       </t>
  </si>
  <si>
    <t xml:space="preserve">30-71183015-0 </t>
  </si>
  <si>
    <t xml:space="preserve">ZARATE HOGAR S.A.             </t>
  </si>
  <si>
    <t xml:space="preserve">RIVADAVIA 835            </t>
  </si>
  <si>
    <t xml:space="preserve">30-70945472-9 </t>
  </si>
  <si>
    <t xml:space="preserve">ZARATE PESCA DE PABLO ITURRIA </t>
  </si>
  <si>
    <t xml:space="preserve">ITUZAINGO 1194  </t>
  </si>
  <si>
    <t xml:space="preserve">20-28268003-4 </t>
  </si>
  <si>
    <t xml:space="preserve">ZARCAM S.A.                   </t>
  </si>
  <si>
    <t xml:space="preserve">AV GALESIO 786   </t>
  </si>
  <si>
    <t xml:space="preserve">ZEROTH S.R.L.                 </t>
  </si>
  <si>
    <t xml:space="preserve">RIOBAMBA 59 5O P 'B'   </t>
  </si>
  <si>
    <t xml:space="preserve">33-70984652-9 </t>
  </si>
  <si>
    <t xml:space="preserve">ZILLI CARLOS HUMBERTO         </t>
  </si>
  <si>
    <t xml:space="preserve">FRENCH 1073      </t>
  </si>
  <si>
    <t xml:space="preserve">20-14249281-5 </t>
  </si>
  <si>
    <t xml:space="preserve">ALEM 261         </t>
  </si>
  <si>
    <t xml:space="preserve">30-70782406-5 </t>
  </si>
  <si>
    <t>COPIPUNTOAR DE BUENO DANIEL</t>
  </si>
  <si>
    <t>BARTOLONE MITRE 1221 PISO 3</t>
  </si>
  <si>
    <t>GALVEZ</t>
  </si>
  <si>
    <t>RAMOS MEJIA</t>
  </si>
  <si>
    <t xml:space="preserve">CABA        </t>
  </si>
  <si>
    <t>PERCEP IIBB BS AS</t>
  </si>
  <si>
    <t xml:space="preserve">LUIS JENNER 2143  </t>
  </si>
  <si>
    <t xml:space="preserve">MESTRINER ROSANNA ADA (LA CASA DEL ACCESORIO)       </t>
  </si>
  <si>
    <t>LUBRICANTES Y COMBUSTIBLES DATRI</t>
  </si>
  <si>
    <t>RETIRA:</t>
  </si>
  <si>
    <t>CESAR MALNATTI 1560</t>
  </si>
  <si>
    <t>SAN MIGUEL</t>
  </si>
  <si>
    <t>30-68575366-5</t>
  </si>
  <si>
    <t>LUBRIFIANTS SRL</t>
  </si>
  <si>
    <t>ULTRACOLOR S.A.</t>
  </si>
  <si>
    <t>ZONA NORTE DIGITAL S.R.L.</t>
  </si>
  <si>
    <t>ABELSON S.A.</t>
  </si>
  <si>
    <t>ACIER ARGENTINA SA</t>
  </si>
  <si>
    <t>ADE CONSTRUCCIONES A. DUFF</t>
  </si>
  <si>
    <t>CANALETA S.R.L.</t>
  </si>
  <si>
    <t>CANOS PONTEVEDRA S.A.</t>
  </si>
  <si>
    <t>EL CORRALON DE CEBILE CLAUDIO</t>
  </si>
  <si>
    <t>ELECTRICIDAD MIGUEL S.A.</t>
  </si>
  <si>
    <t>HERRAMENTAL ZARATE S.R.L.</t>
  </si>
  <si>
    <t>FERROZINC S.A.C.I.</t>
  </si>
  <si>
    <t xml:space="preserve">JUSTA  LIMA 1185   </t>
  </si>
  <si>
    <t>30-70946580-1</t>
  </si>
  <si>
    <t>JUAN F. ARAMBURU</t>
  </si>
  <si>
    <t>NORTHVILLE SA</t>
  </si>
  <si>
    <t>PANAMERICANA PILAR KM 52</t>
  </si>
  <si>
    <t xml:space="preserve">BUENOS AIRES           </t>
  </si>
  <si>
    <t>30-64359472-9</t>
  </si>
  <si>
    <t>CORTIFER SRL</t>
  </si>
  <si>
    <t>RUTA NAC Nº 9 KM 281,5</t>
  </si>
  <si>
    <t>ALVEAR</t>
  </si>
  <si>
    <t>30-70823758-9</t>
  </si>
  <si>
    <t>CASA RESPIGGI S.R.L.</t>
  </si>
  <si>
    <t>FERRETERIAS INDUFER S.A.</t>
  </si>
  <si>
    <t>CORTES Y SISTEMAS SRL</t>
  </si>
  <si>
    <t>33-71056631-9</t>
  </si>
  <si>
    <t>ROSETTI 422 (1817)</t>
  </si>
  <si>
    <t>BORDES S.A.</t>
  </si>
  <si>
    <t>COLPAYO 3368</t>
  </si>
  <si>
    <t>LOS POLVORINES</t>
  </si>
  <si>
    <t>CAPITAL FEDERAL</t>
  </si>
  <si>
    <t xml:space="preserve">CAPITAL FEDERAL           </t>
  </si>
  <si>
    <t xml:space="preserve">SAN NICOLAS </t>
  </si>
  <si>
    <t>ENTRE RIOS</t>
  </si>
  <si>
    <t>GARIN</t>
  </si>
  <si>
    <t xml:space="preserve">LAS VARILLAS </t>
  </si>
  <si>
    <t>PRODUCCIONES ESTRUCTURALES SRL</t>
  </si>
  <si>
    <t>RUTA 9 KM 87.500 COLECT SUR</t>
  </si>
  <si>
    <t>30-71569724-2</t>
  </si>
  <si>
    <t>METAL CENTRUM S.A.</t>
  </si>
  <si>
    <t>CONCRETEX</t>
  </si>
  <si>
    <t>AV. FLEMING 4246</t>
  </si>
  <si>
    <t>30-71431612-1</t>
  </si>
  <si>
    <t>LUBRIPARK</t>
  </si>
  <si>
    <t>BOLIVAR 1165</t>
  </si>
  <si>
    <t>EL MUNDO BATERIAS</t>
  </si>
  <si>
    <t>GORIS HNOS SOCIEDAD SIMPLE DE GORIS</t>
  </si>
  <si>
    <t>30-71574834-3</t>
  </si>
  <si>
    <t>GRUPO PALMERO</t>
  </si>
  <si>
    <t>PANAMERICANA RAMAL PILAR KM 35,5</t>
  </si>
  <si>
    <t>30-53148908-6</t>
  </si>
  <si>
    <t>CABALLERO ALEJANDRA NOEMI</t>
  </si>
  <si>
    <t>CARLOS GARDEL 551</t>
  </si>
  <si>
    <t>27-29986909-7</t>
  </si>
  <si>
    <t>MONOTRIBUTISTA</t>
  </si>
  <si>
    <t>AGUILLAR FUMIGACIONES ZARATE</t>
  </si>
  <si>
    <t>SI</t>
  </si>
  <si>
    <t>CALCULAR</t>
  </si>
  <si>
    <t>IVA(%)</t>
  </si>
  <si>
    <t>IIBB(%)</t>
  </si>
  <si>
    <t>IIBB activado</t>
  </si>
  <si>
    <t>CENCOSUD SA</t>
  </si>
  <si>
    <t>PARANA 3617</t>
  </si>
  <si>
    <t>MARTINEZ</t>
  </si>
  <si>
    <t>30-59036076-3</t>
  </si>
  <si>
    <t>DOTTORI PABLO OMAR</t>
  </si>
  <si>
    <t>BV. LINIERS  653</t>
  </si>
  <si>
    <t>GENERAL ROCA</t>
  </si>
  <si>
    <t>20-10718643-4</t>
  </si>
  <si>
    <t>EMENS MARTIN EDUARDO</t>
  </si>
  <si>
    <t>BOULEVARD SARMIENTO 960 D "B"</t>
  </si>
  <si>
    <t>23-26268596-9</t>
  </si>
  <si>
    <t>FAJARDO JOSE DANIEL</t>
  </si>
  <si>
    <t>ALBERTI 1355</t>
  </si>
  <si>
    <t>20-20343396-5</t>
  </si>
  <si>
    <t>HERNANDEZ LAURA SILVINA (KRUMIN)</t>
  </si>
  <si>
    <t>GALESIO 850</t>
  </si>
  <si>
    <t>27-30516361-4</t>
  </si>
  <si>
    <t>MARCELO GONZALEZ CORRALON LOS 8 HERMANOS</t>
  </si>
  <si>
    <t>LARREA 2554</t>
  </si>
  <si>
    <t>20-25288541-3</t>
  </si>
  <si>
    <t>PALUCCI HORACIO RICARDO</t>
  </si>
  <si>
    <t>BOLIVAR 1450</t>
  </si>
  <si>
    <t>BUENOS AIRES</t>
  </si>
  <si>
    <t>20-14559722-7</t>
  </si>
  <si>
    <t xml:space="preserve">SEÑALAMIENTO Y SEGURIDAD S.A. </t>
  </si>
  <si>
    <t>STONCOR SOUTH CONE SA</t>
  </si>
  <si>
    <t>EINTEIN 1095</t>
  </si>
  <si>
    <t>30-52769357-4</t>
  </si>
  <si>
    <t>MIGUEL MANGUERA</t>
  </si>
  <si>
    <t>TRANSPORTE EL PERA de JORGE URQUIZA</t>
  </si>
  <si>
    <t>SANTA FE 1797</t>
  </si>
  <si>
    <t>20-14166046-3</t>
  </si>
  <si>
    <t>MZ PLEGADOS</t>
  </si>
  <si>
    <t>33-71568891-9</t>
  </si>
  <si>
    <t>ESPORA 299</t>
  </si>
  <si>
    <t>ADROGUE</t>
  </si>
  <si>
    <t>20-11997610-4</t>
  </si>
  <si>
    <t>LAGOMERSINO MARCELO MIGUEL</t>
  </si>
  <si>
    <t>SZYKULA AGUAS ESCOBAR SA</t>
  </si>
  <si>
    <t>AV SAN MARTIN 657</t>
  </si>
  <si>
    <t>30-71178722-0</t>
  </si>
  <si>
    <t>FECHA ENTREGA:</t>
  </si>
  <si>
    <t>JORGE LUIS COSTANTINI</t>
  </si>
  <si>
    <t>STEPHENSON 2828</t>
  </si>
  <si>
    <t>20-14680821-3</t>
  </si>
  <si>
    <t>INDUCON SUR S.A.</t>
  </si>
  <si>
    <t>CARLOS TEJEDOR 76 PISO 1 DTO B</t>
  </si>
  <si>
    <t>LANUS</t>
  </si>
  <si>
    <t>30-71093363-0</t>
  </si>
  <si>
    <t>NOR HIDRAULICA S.R.L.</t>
  </si>
  <si>
    <t>SAN FERNANDO</t>
  </si>
  <si>
    <t xml:space="preserve">COLON 1176 </t>
  </si>
  <si>
    <t>33-71415055-9</t>
  </si>
  <si>
    <t>AV. ALMA FUERTE  187</t>
  </si>
  <si>
    <t>30-64570013-5</t>
  </si>
  <si>
    <t>ESTADIAS Y SERVICIOS SOCIEDAD ANONIMA</t>
  </si>
  <si>
    <t>LIEBENER MARIANA</t>
  </si>
  <si>
    <t>PELLEGRINO 3332</t>
  </si>
  <si>
    <t>27-30460969-4</t>
  </si>
  <si>
    <t xml:space="preserve">27-10549514-0   </t>
  </si>
  <si>
    <t>MONTAJES MFJ SRL</t>
  </si>
  <si>
    <t>FRENCH 1212</t>
  </si>
  <si>
    <t>INSCRIPTP</t>
  </si>
  <si>
    <t>30-71456840-6</t>
  </si>
  <si>
    <t>RICCI CARLOS MARTIN</t>
  </si>
  <si>
    <t>AV. ANTARTIDA Y RUTA Nº 9 S/N</t>
  </si>
  <si>
    <t>20-31749513-8</t>
  </si>
  <si>
    <t>9 DE JULIO 62 Pº 2 DTO "B"</t>
  </si>
  <si>
    <t>30-71600550-6</t>
  </si>
  <si>
    <t>GRUPO TERVIZA SRL</t>
  </si>
  <si>
    <t>AMERICA VIAL GROUP SRL</t>
  </si>
  <si>
    <t>PARIS 256</t>
  </si>
  <si>
    <t>30-67662494-1</t>
  </si>
  <si>
    <t>PRADECON</t>
  </si>
  <si>
    <t>AV. PANAMERICANA 1166 (KM 39,5)</t>
  </si>
  <si>
    <t>30-70908135-3</t>
  </si>
  <si>
    <t xml:space="preserve">33-70824058-9   </t>
  </si>
  <si>
    <t>LUCHETTI IGNACIO ALBERTO</t>
  </si>
  <si>
    <t>PANAM RURAL PILAR KM55 1330</t>
  </si>
  <si>
    <t>20-20452284-8</t>
  </si>
  <si>
    <t>MATERIALES RUTA 9 S.A.</t>
  </si>
  <si>
    <t>COLECTORA NORTE 997</t>
  </si>
  <si>
    <t>30-70797197-1</t>
  </si>
  <si>
    <t xml:space="preserve">30-66300584-3   </t>
  </si>
  <si>
    <t>CONSULPER S.A.</t>
  </si>
  <si>
    <t>121 Nº  273</t>
  </si>
  <si>
    <t>30-61187485-1</t>
  </si>
  <si>
    <t>DELKO ARGENTINA</t>
  </si>
  <si>
    <t>AV. JUAN BAUTISTA ALBERDI 4457</t>
  </si>
  <si>
    <t>27-12087728-9</t>
  </si>
  <si>
    <t>DI PASQUALE JUAN JOSE</t>
  </si>
  <si>
    <t>SARMIENTO 884</t>
  </si>
  <si>
    <t>20-32780908-4</t>
  </si>
  <si>
    <t>BRUNO JULIAN RUBEN</t>
  </si>
  <si>
    <t>YATAY 865</t>
  </si>
  <si>
    <t>23-38433677-9</t>
  </si>
  <si>
    <t>SIX WORKING</t>
  </si>
  <si>
    <t>NAZCA 4411</t>
  </si>
  <si>
    <t>30-69938795-5</t>
  </si>
  <si>
    <t>MORICONI GONZALO JAVIER</t>
  </si>
  <si>
    <t>20-26201564-6</t>
  </si>
  <si>
    <t>ACKERMAN SRL</t>
  </si>
  <si>
    <t>30-70879929-3</t>
  </si>
  <si>
    <t>KAFC SRL</t>
  </si>
  <si>
    <t>30-70818279-2</t>
  </si>
  <si>
    <t>BORLENGHI SILVIA NOEMI</t>
  </si>
  <si>
    <t>27-12615581-1</t>
  </si>
  <si>
    <t>OSPAQ SRL</t>
  </si>
  <si>
    <t>30-64390660-7</t>
  </si>
  <si>
    <t>GRUPO SILAT S.A.</t>
  </si>
  <si>
    <t>30-71512389-0</t>
  </si>
  <si>
    <t>D´ATRI TECNOLOGÍA D´ATRI SRL</t>
  </si>
  <si>
    <t>DR JUAN ARANGUREN 1694</t>
  </si>
  <si>
    <t>30-71049076-3</t>
  </si>
  <si>
    <t>PANAMERICANA RAMAL PILAR K, 1629</t>
  </si>
  <si>
    <t>33-57444163-9</t>
  </si>
  <si>
    <t>DIESEL LANGE SRL</t>
  </si>
  <si>
    <t>MARKER LUIS IVAN</t>
  </si>
  <si>
    <t>27-35984237-1</t>
  </si>
  <si>
    <t>LIBERTAD 5272</t>
  </si>
  <si>
    <t>VILLA BALLESTER</t>
  </si>
  <si>
    <t>20-37361943-5</t>
  </si>
  <si>
    <t>TUCULET EDUARDO</t>
  </si>
  <si>
    <t>CONSTRUNORT JMO S.A.</t>
  </si>
  <si>
    <t>FITZ ROY 2237</t>
  </si>
  <si>
    <t>CAPITAL</t>
  </si>
  <si>
    <t>33-71053275-9</t>
  </si>
  <si>
    <t>BRICKELL TRADE &amp; BUSINESS SOCIEDAD ANONIMA</t>
  </si>
  <si>
    <t>RIVADAVIA 630</t>
  </si>
  <si>
    <t>33-71429053-9</t>
  </si>
  <si>
    <t>AGROS DOS MIL S.A.</t>
  </si>
  <si>
    <t>SARMIENTO 433</t>
  </si>
  <si>
    <t>GRAL. BALDISSERA</t>
  </si>
  <si>
    <t>30-69159589-3</t>
  </si>
  <si>
    <t>MEGAMAQ S.A.</t>
  </si>
  <si>
    <t>JUAN B JUSTO</t>
  </si>
  <si>
    <t>30-71057238-7</t>
  </si>
  <si>
    <t>LOS 8  HERMANOS DE SIEMPRE S.R.L.</t>
  </si>
  <si>
    <t>AV ANTARDIDA ARGENTINA 5950</t>
  </si>
  <si>
    <t>30-71659796-5</t>
  </si>
  <si>
    <t>ENTROCASSI PROFESIONAL S.R.L.</t>
  </si>
  <si>
    <t>EVA PERON</t>
  </si>
  <si>
    <t>VILLA CONSTITUCIÓN</t>
  </si>
  <si>
    <t>30-70721374-0</t>
  </si>
  <si>
    <t>FALPAT S.R.L</t>
  </si>
  <si>
    <t>DARWIN PASSAPONTI 5140</t>
  </si>
  <si>
    <t>30-70869511-0</t>
  </si>
  <si>
    <t>GONZALEZ MARCELO RAMON</t>
  </si>
  <si>
    <t>CENTRO SEC SRL</t>
  </si>
  <si>
    <t>30-70759893-6</t>
  </si>
  <si>
    <t>AV. CORDOBA 5625</t>
  </si>
  <si>
    <t>RAWSON 2053</t>
  </si>
  <si>
    <t>30-71580450-2</t>
  </si>
  <si>
    <t>MANGIANTINI ABERTURAS Y SERVICIOS S.A.</t>
  </si>
  <si>
    <t>GLOBAL ENERGY SOLUTIONS S.A.</t>
  </si>
  <si>
    <t>30-71252192-5</t>
  </si>
  <si>
    <t>PLANETA FRIO S.A</t>
  </si>
  <si>
    <t>30-70794393-5</t>
  </si>
  <si>
    <t>EMGOTRANS LOGISTICA Y DISTRIBUCION</t>
  </si>
  <si>
    <t>ARRIBEÑOS 1490</t>
  </si>
  <si>
    <t>30-71668622-8</t>
  </si>
  <si>
    <t>SANCHEZ HORACIO NICOLAS</t>
  </si>
  <si>
    <t>CORRIENTES 1890 PISO 1</t>
  </si>
  <si>
    <t>DON TORCUATO</t>
  </si>
  <si>
    <t>20-26844162-0</t>
  </si>
  <si>
    <t xml:space="preserve">20-17699896-3   </t>
  </si>
  <si>
    <t>Precio</t>
  </si>
  <si>
    <t>GIULIANI MOBILIARIO CORPORATIVO</t>
  </si>
  <si>
    <t>30-71282540-1</t>
  </si>
  <si>
    <t>BIELSA RUBEN AGUSTIN</t>
  </si>
  <si>
    <t>ESTRUCTURAS CIENTIFICAS S.A.</t>
  </si>
  <si>
    <t>CHILE 851</t>
  </si>
  <si>
    <t>30-71088136-3</t>
  </si>
  <si>
    <t>AUTORIZA:</t>
  </si>
  <si>
    <t>LEVY JONATHAN CLAUDIO</t>
  </si>
  <si>
    <t>20-26631615-2</t>
  </si>
  <si>
    <t>GASCON 555 Piso 6 DPTO. D</t>
  </si>
  <si>
    <t>ZIGMA CONSTRUCCIONES</t>
  </si>
  <si>
    <t>30-71692053-0</t>
  </si>
  <si>
    <t>Ley 23966</t>
  </si>
  <si>
    <t>Ley 27430</t>
  </si>
  <si>
    <t>I.D.C. LEY 27.429</t>
  </si>
  <si>
    <t>VALLE NELSON HUGO</t>
  </si>
  <si>
    <t xml:space="preserve">23-25355495-9   </t>
  </si>
  <si>
    <t>20-04741096-8</t>
  </si>
  <si>
    <t>VILLA MADERO</t>
  </si>
  <si>
    <t xml:space="preserve">CARABELAS 1022 </t>
  </si>
  <si>
    <t>INDELVAL S.A.I.Y.C.</t>
  </si>
  <si>
    <t>30-54749544-2</t>
  </si>
  <si>
    <t>PILOTES Y ENSAYOS S.R.L.</t>
  </si>
  <si>
    <t>30-71673516-4</t>
  </si>
  <si>
    <t>I.C.L. LEY 23.966</t>
  </si>
  <si>
    <t>RIVADAVIA 1001</t>
  </si>
  <si>
    <t>LOS CEIBOS CENTRO DE MATERIALES</t>
  </si>
  <si>
    <t>LARREA 4880</t>
  </si>
  <si>
    <t>30-71639603-3</t>
  </si>
  <si>
    <t>RIO NOEMI SUSANA (FERRETERÍA DAYGO)</t>
  </si>
  <si>
    <t>20-29990133-6</t>
  </si>
  <si>
    <t>RUTA 9 COLECTORA SUR KM 87.50</t>
  </si>
  <si>
    <t>IRIGOYTIA MAURO ALFREDO (GOMERIA EL 88)</t>
  </si>
  <si>
    <t>FRIAS SUSANA IRMA</t>
  </si>
  <si>
    <t>27-05971666-8</t>
  </si>
  <si>
    <t>GRAL PINTO 444</t>
  </si>
  <si>
    <t>BLANCO HERNAN JOSE</t>
  </si>
  <si>
    <t>20-23836300-5</t>
  </si>
  <si>
    <t>VILLANI ROMINA EDUARDA (RV ACCESORIOS)</t>
  </si>
  <si>
    <t>LA PAMPA 270</t>
  </si>
  <si>
    <t>27-26906221-0</t>
  </si>
  <si>
    <t>VARGA PABLO NICOLAS (VIDRIERÍA PEREZ)</t>
  </si>
  <si>
    <t>JUAN J PASO 1107</t>
  </si>
  <si>
    <t>20-31409653-4</t>
  </si>
  <si>
    <t>DATRI BARTOLOME JORGE</t>
  </si>
  <si>
    <t>ALMAFUERTE AV. 187</t>
  </si>
  <si>
    <t>23-11139078-9</t>
  </si>
  <si>
    <t>LA CASA DEL RECAMBIO DE GEYSELS JUAN MANUEL</t>
  </si>
  <si>
    <t>SAN MARTÍN 2484</t>
  </si>
  <si>
    <t>ROSARIO</t>
  </si>
  <si>
    <t>20-18435108-1</t>
  </si>
  <si>
    <t>SELLARS ALAN EDGAR (BRIKY)</t>
  </si>
  <si>
    <t>SANTOS VEGA 1154</t>
  </si>
  <si>
    <t>20-29139068-5</t>
  </si>
  <si>
    <t>PANTANO JUAN MARCELO</t>
  </si>
  <si>
    <t>ESTRADA 2037</t>
  </si>
  <si>
    <t>20-28942967-1</t>
  </si>
  <si>
    <t>NASCIMBENE ALBERTO HILARIO</t>
  </si>
  <si>
    <t>PELEGRINI 3880</t>
  </si>
  <si>
    <t>20-11923744-1</t>
  </si>
  <si>
    <t>ESPACIO MULTIAREA S.R.L.</t>
  </si>
  <si>
    <t>ROMULA NOYA 1020</t>
  </si>
  <si>
    <t>30-71542618-4</t>
  </si>
  <si>
    <t>FERRARI SERGIO ESTEBAN</t>
  </si>
  <si>
    <t>HIPOLITO IRIGOYEN 696</t>
  </si>
  <si>
    <t xml:space="preserve">CIUDADELA </t>
  </si>
  <si>
    <t>20-23138489-9</t>
  </si>
  <si>
    <t>ESTELA MONICA MILANA S.R.L.</t>
  </si>
  <si>
    <t>ALFEREZ PACHECO 545</t>
  </si>
  <si>
    <t>30-715517651</t>
  </si>
  <si>
    <t>CARUSSO JORGE FABIO (MADERAS FIORAVANTI)</t>
  </si>
  <si>
    <t>23-16983694-9</t>
  </si>
  <si>
    <t>P</t>
  </si>
  <si>
    <t>TROUSSEL BRAIAN</t>
  </si>
  <si>
    <t>PASO 323</t>
  </si>
  <si>
    <t>20-31237258-5</t>
  </si>
  <si>
    <t>FM SOLUCIONES SRL</t>
  </si>
  <si>
    <t xml:space="preserve">ALVEAR MARCELO T 437              </t>
  </si>
  <si>
    <t>30-71624771-2</t>
  </si>
  <si>
    <t>STAR DISTRIBUCIONES SA</t>
  </si>
  <si>
    <t>JHONAS SALK 2269</t>
  </si>
  <si>
    <t>30-708150645</t>
  </si>
  <si>
    <t>SEO GGROUP S.R.L.</t>
  </si>
  <si>
    <t>30-71442929-5</t>
  </si>
  <si>
    <t>ALVAREZ JULIAN 1171</t>
  </si>
  <si>
    <t>FORVIS S.R.L.</t>
  </si>
  <si>
    <t>30-50275292-4</t>
  </si>
  <si>
    <t>FAVRET AUGUSTO MARCIAL</t>
  </si>
  <si>
    <t>3DE FEBRERO 1296</t>
  </si>
  <si>
    <t>20-16983657-5</t>
  </si>
  <si>
    <t xml:space="preserve">ALMIRANTE IRIZAR S.A. </t>
  </si>
  <si>
    <t>CAMINO EL MOREJON S/N</t>
  </si>
  <si>
    <t>30-69696251-7</t>
  </si>
  <si>
    <t>COVIARSA SA</t>
  </si>
  <si>
    <t>BELGRANO 465</t>
  </si>
  <si>
    <t>30-71527117-2</t>
  </si>
  <si>
    <t>X-URBAN S.A.</t>
  </si>
  <si>
    <t xml:space="preserve">LANUS ESTE( PARQUE INDUST.)      </t>
  </si>
  <si>
    <t>30-69767913-4</t>
  </si>
  <si>
    <t>BLANCO ESCALADA 3037</t>
  </si>
  <si>
    <t>VELASQUEZ JULIAN JAVIER</t>
  </si>
  <si>
    <t>BOLIVAR 457</t>
  </si>
  <si>
    <t>GENERAL RODRIGUEZ</t>
  </si>
  <si>
    <t>20-26075446-8</t>
  </si>
  <si>
    <t>RUTA 8 KM  64,5</t>
  </si>
  <si>
    <t>30-70874315-8</t>
  </si>
  <si>
    <t>DE PECZAK ARGENTINA SRL (PDP)</t>
  </si>
  <si>
    <t xml:space="preserve">SUCESIÓN DE ANFOLISI CLAUDIA SUSANA </t>
  </si>
  <si>
    <t>SOLER 1382</t>
  </si>
  <si>
    <t>27-14849172-6</t>
  </si>
  <si>
    <t>FECHA ENT.:</t>
  </si>
  <si>
    <t>MENON PABLO ESTEBAN</t>
  </si>
  <si>
    <t>LAVALLE 26</t>
  </si>
  <si>
    <t>23-27170618-9</t>
  </si>
  <si>
    <t>HB ASISTENCIA OLEOHIDRÁULICA INTEGRAL SRL</t>
  </si>
  <si>
    <t>RUTA 8 KM 114</t>
  </si>
  <si>
    <t>SAN ANTONIO DE ARECO</t>
  </si>
  <si>
    <t>30-71561670-6</t>
  </si>
  <si>
    <t>maderasfioraventi@gmail.com</t>
  </si>
  <si>
    <t>admaderasfioraventi@gmail.com</t>
  </si>
  <si>
    <t>CEMENTERA SAN ANDRÉS SRL</t>
  </si>
  <si>
    <t>PICHETTO 645</t>
  </si>
  <si>
    <t>SAN ANDRÉS DE GILES</t>
  </si>
  <si>
    <t>30-71145429-9</t>
  </si>
  <si>
    <t>RAMALLO RUBEN H., RAMALLO PAULA L., RAMALLO MARIELA S.H.</t>
  </si>
  <si>
    <t>CALIFORNIA 2534</t>
  </si>
  <si>
    <t>33-70861174-9</t>
  </si>
  <si>
    <t>MERCOPETROL S.A.</t>
  </si>
  <si>
    <t>ROMA 1770</t>
  </si>
  <si>
    <t>VILLA MAIPÚ</t>
  </si>
  <si>
    <t>30-70821541-0</t>
  </si>
  <si>
    <t>ANTELO CARLOS SEBASTIAN</t>
  </si>
  <si>
    <t>LAVALLE 1590</t>
  </si>
  <si>
    <t>20-34162367-8</t>
  </si>
  <si>
    <t>INSUMA SUR S.A.</t>
  </si>
  <si>
    <t>AV MONTEVERDE 3325</t>
  </si>
  <si>
    <t>BURZACO</t>
  </si>
  <si>
    <t>33-68972600-9</t>
  </si>
  <si>
    <t>STACO ARGENTINA S.A.</t>
  </si>
  <si>
    <t>30-70894469-2</t>
  </si>
  <si>
    <t>Río Derey s/n e/Río Pinto y Río Potrero – B° Cina Cina – 1748</t>
  </si>
  <si>
    <t>GRUAS SAN BLAS S.A.</t>
  </si>
  <si>
    <t>COLECTORA ESTE 27333</t>
  </si>
  <si>
    <t>DON TORCUATO NORTE</t>
  </si>
  <si>
    <t>30-66092045-1</t>
  </si>
  <si>
    <t>ZENSITEC S.R.L.</t>
  </si>
  <si>
    <t>30-71468724-3</t>
  </si>
  <si>
    <t>HIPOLITO YRIGOYEN 1920 PISO 2</t>
  </si>
  <si>
    <t>9 DE JULIO 1773</t>
  </si>
  <si>
    <t>BUENAS AIRES</t>
  </si>
  <si>
    <t>27-28822326-8</t>
  </si>
  <si>
    <t>ARZANI DOMENGET VERONICA CECILIA (CROMA)</t>
  </si>
  <si>
    <t>INSUMA SRL</t>
  </si>
  <si>
    <t>AV. DIRECTORIO 5611</t>
  </si>
  <si>
    <t>33-61048586-9</t>
  </si>
  <si>
    <t>COSACOV S.A.</t>
  </si>
  <si>
    <t>BONTEMPO JUAN JOSE</t>
  </si>
  <si>
    <t>FELIX PAGOLA 380</t>
  </si>
  <si>
    <t>20-17903462-0</t>
  </si>
  <si>
    <t>NUEVA GOMERÍA PALERMO SRL</t>
  </si>
  <si>
    <t>BUENOS AIRES 728</t>
  </si>
  <si>
    <t>30-69286788-9</t>
  </si>
  <si>
    <t xml:space="preserve">PETRAMOL SAN NICOLAS SA </t>
  </si>
  <si>
    <t>URQUIZA 303</t>
  </si>
  <si>
    <t>30-71152403-3</t>
  </si>
  <si>
    <t>WORKLIFT SA</t>
  </si>
  <si>
    <t>MAURE 3410</t>
  </si>
  <si>
    <t>33-70989642-9</t>
  </si>
  <si>
    <t>YEDRO MERCEDES EDITH</t>
  </si>
  <si>
    <t>CALLE 28  25</t>
  </si>
  <si>
    <t>27-23986855-5</t>
  </si>
  <si>
    <t>GOLOSAN S.A.</t>
  </si>
  <si>
    <t>30-71058372-9</t>
  </si>
  <si>
    <t>VILLA ADELINA 1607</t>
  </si>
  <si>
    <t xml:space="preserve">AV. ADER 1481 </t>
  </si>
  <si>
    <t>PROPLASTO SRL</t>
  </si>
  <si>
    <t>JOSE BONIFACIO 1716</t>
  </si>
  <si>
    <t>30-62880338-9</t>
  </si>
  <si>
    <t>ITH INSTITUTO TECNOLOGICO DEL HORMIGÓN ANONIMA  DE SERVICIOS Y MANDATOS S.A.</t>
  </si>
  <si>
    <t>30-52060825-3</t>
  </si>
  <si>
    <t>MIRAVE 2774</t>
  </si>
  <si>
    <t xml:space="preserve">ECOSAN SA </t>
  </si>
  <si>
    <t>AV. 4353 PISO 1 DTO 1 PISO A</t>
  </si>
  <si>
    <t>30-70769684-9</t>
  </si>
  <si>
    <t>BLANGINO DE JUAN BLANGINO S.A.</t>
  </si>
  <si>
    <t xml:space="preserve">RUTA 10 KM 313 </t>
  </si>
  <si>
    <t>MONTE CRISTO</t>
  </si>
  <si>
    <t>30-71471099-7</t>
  </si>
  <si>
    <t>I.D.C. LEY 27.430</t>
  </si>
  <si>
    <t>OTERO PAULA CECILIA</t>
  </si>
  <si>
    <t>27-27517017-3</t>
  </si>
  <si>
    <t>BOULEVAR DELLEPIANE 462 (MATAFUEGOS PRECAM)</t>
  </si>
  <si>
    <t>HYDROTUB SA</t>
  </si>
  <si>
    <t>MARCONI 4082</t>
  </si>
  <si>
    <t>ISIDRO CASANOVA</t>
  </si>
  <si>
    <t>30-58606755-5</t>
  </si>
  <si>
    <t>TALLERES GAN MAR SRL</t>
  </si>
  <si>
    <t>CALLE 5 Nº 2076</t>
  </si>
  <si>
    <t>30-55749994-2</t>
  </si>
  <si>
    <t>FRONTERA</t>
  </si>
  <si>
    <t>MOROBAT DE MOROSINI RAMIRO</t>
  </si>
  <si>
    <t>AV SARMIENTO 650</t>
  </si>
  <si>
    <t>20-41998701-9</t>
  </si>
  <si>
    <t>RITRAC</t>
  </si>
  <si>
    <t xml:space="preserve">LEANDRO N ALEM 1640   </t>
  </si>
  <si>
    <t>DOCK SUD</t>
  </si>
  <si>
    <t>33-66222004-9</t>
  </si>
  <si>
    <t>Enviar FACTURA a facturascarjor@gmail.com</t>
  </si>
  <si>
    <t xml:space="preserve">LIBUS S.A. </t>
  </si>
  <si>
    <t>30-71623974-4</t>
  </si>
  <si>
    <t>AV.ALICIA MOREAUT DE JUSTO 846 PISO 4 DTO 18</t>
  </si>
  <si>
    <t>PINEDA DIEGO BERNARDO</t>
  </si>
  <si>
    <t>INDEPENDENCIA 1740</t>
  </si>
  <si>
    <t>20-14166765-4</t>
  </si>
  <si>
    <t>SOTTO MATIAS ARIEL</t>
  </si>
  <si>
    <t xml:space="preserve">CALLE 2 253 </t>
  </si>
  <si>
    <t>20-40139572-6</t>
  </si>
  <si>
    <t>EPP Y MAS S.A.</t>
  </si>
  <si>
    <t>GUALEGUAY 1290</t>
  </si>
  <si>
    <t>30-71432355-1</t>
  </si>
  <si>
    <t xml:space="preserve">CALLE 6 Nº 256    </t>
  </si>
  <si>
    <t>27-25762638-0</t>
  </si>
  <si>
    <t>GIMENEZ RAQUEL YOLANDA</t>
  </si>
  <si>
    <t>AVALOS 1398</t>
  </si>
  <si>
    <t>30-70828836-1</t>
  </si>
  <si>
    <t>C &amp; E CONSTRUCCIONES S.A.</t>
  </si>
  <si>
    <t>LAZAREZYK ANTONIO</t>
  </si>
  <si>
    <t>QUIRNO COSTA 375</t>
  </si>
  <si>
    <t>TEMPERLEY</t>
  </si>
  <si>
    <t>23-11031415-9</t>
  </si>
  <si>
    <t>J.E.C &amp; M.V.Z. CLINICA VETERINARIA PANDA Y ANEXOS S.R.L.</t>
  </si>
  <si>
    <t>ALMIRANTE BROWN 774</t>
  </si>
  <si>
    <t>30-71579841-3</t>
  </si>
  <si>
    <t>GIRAUD HORACIO MANUEL</t>
  </si>
  <si>
    <t>CABRERA 1965</t>
  </si>
  <si>
    <t>20-08403791-6</t>
  </si>
  <si>
    <t xml:space="preserve">MENDOZA 923 </t>
  </si>
  <si>
    <t>20-38519323-9</t>
  </si>
  <si>
    <t>VILLOLDO BRIAN NOCOLAS</t>
  </si>
  <si>
    <t>LEQUIZAMON MARICEL AGUSTINA</t>
  </si>
  <si>
    <t>CALLE 103 Nº 381</t>
  </si>
  <si>
    <t>27-39405424-6</t>
  </si>
  <si>
    <t>NO INSCRIPTO</t>
  </si>
  <si>
    <t>SODERIA DAVIS DE DAVID ZIER</t>
  </si>
  <si>
    <t>CALLE 15 Nº 234</t>
  </si>
  <si>
    <t>20-22401133-5</t>
  </si>
  <si>
    <t>COSTA PARANA S.C.A.</t>
  </si>
  <si>
    <t xml:space="preserve">RUTA 9 KM 142,5 </t>
  </si>
  <si>
    <t>30-56127221-9</t>
  </si>
  <si>
    <t>MACH ELECTRONICS S.A.</t>
  </si>
  <si>
    <t>CASTILLO 748</t>
  </si>
  <si>
    <t>30-68258089-1</t>
  </si>
  <si>
    <t>SARMIENTO FERNANDO DOMINGO(PINTURERÍA EMEPE)</t>
  </si>
  <si>
    <t>BOLIVAR 1239</t>
  </si>
  <si>
    <t>20-18397866-8</t>
  </si>
  <si>
    <t>LEGUIZAMON EMMANUEL ALEJANDRO</t>
  </si>
  <si>
    <t>9 DE JULIO 631</t>
  </si>
  <si>
    <t>20-38427493-6</t>
  </si>
  <si>
    <t>DORREGARAY CRISTIAN OSCAR ( MATAFUEGOS PRECAM)</t>
  </si>
  <si>
    <t>AMEGHINO 635</t>
  </si>
  <si>
    <t>20-24099698-8</t>
  </si>
  <si>
    <t>CRIADO DIEGO NAHUEL</t>
  </si>
  <si>
    <t>LIBERTAD 1652 PISO 8 DTO A</t>
  </si>
  <si>
    <t>CALLE 24 Nº 39</t>
  </si>
  <si>
    <t>20-38102557-9</t>
  </si>
  <si>
    <t>SALDAÑA BRENDA EDITH</t>
  </si>
  <si>
    <t xml:space="preserve">BELGRANO 9 </t>
  </si>
  <si>
    <t>27-44591770-8</t>
  </si>
  <si>
    <t>CRIADO MARIA LUJAN</t>
  </si>
  <si>
    <t>AVARISTO CARRIEGO 442</t>
  </si>
  <si>
    <t>27-35405550-9</t>
  </si>
  <si>
    <t xml:space="preserve">DELTA SUELOS SRL </t>
  </si>
  <si>
    <t>GANDARA 2672</t>
  </si>
  <si>
    <t>30-71465684-4</t>
  </si>
  <si>
    <t>MAQUINARIA VIAL</t>
  </si>
  <si>
    <t>AV. AMANCIO ALCORTA 1855</t>
  </si>
  <si>
    <t>30-71688335-7</t>
  </si>
  <si>
    <t>CANTERA LAS TOSCAS DE CAMPANA S.A</t>
  </si>
  <si>
    <t>FORMOSA 653, PISO 2 DEPTO 201</t>
  </si>
  <si>
    <t>CANNING</t>
  </si>
  <si>
    <t>30-71670553-8</t>
  </si>
  <si>
    <t>ARENAS LUIS EDUARDO</t>
  </si>
  <si>
    <t>RUTA 9 KM 88.5-Bª EL CASCO</t>
  </si>
  <si>
    <t>20-18633948-8</t>
  </si>
  <si>
    <t>HOLCIM S.A</t>
  </si>
  <si>
    <t>HUMBERTO PRIMO 680 PISO 4</t>
  </si>
  <si>
    <t>30-50111112-7</t>
  </si>
  <si>
    <t>PAVIFER ASFALTO EN FRIO  SRL</t>
  </si>
  <si>
    <t>PASAJE 162 4667</t>
  </si>
  <si>
    <t xml:space="preserve">BARRIO LIBERTADOR </t>
  </si>
  <si>
    <t>30-71620772-9</t>
  </si>
  <si>
    <t>KNIPP LILA INES</t>
  </si>
  <si>
    <t>O.HIGGINS 181</t>
  </si>
  <si>
    <t>27-17527864-3</t>
  </si>
  <si>
    <t>LEITEN SRL</t>
  </si>
  <si>
    <t>TRES DE FEBRERO 4456</t>
  </si>
  <si>
    <t>30-65127003-7</t>
  </si>
  <si>
    <t>MORA CRISTIAN ARIEL</t>
  </si>
  <si>
    <t>JUAN MANUEL DE ROSAS 19642</t>
  </si>
  <si>
    <t>20-25332598-5</t>
  </si>
  <si>
    <t>DISTRIBUIDORA BARBERIS SRL</t>
  </si>
  <si>
    <t>AV JORGE NEWBERY 332</t>
  </si>
  <si>
    <t>VILLA RAMALLO</t>
  </si>
  <si>
    <t>30-70872954-6</t>
  </si>
  <si>
    <t>NESTOR ALEJANDRO RENDICH</t>
  </si>
  <si>
    <t>ALBERTI 1435</t>
  </si>
  <si>
    <t>20-20774887-1</t>
  </si>
  <si>
    <t>TRANSPORTE Y SERVICIOS SAWCZUCK SOCIEDAD ANONIMA</t>
  </si>
  <si>
    <t>SAVIO 599</t>
  </si>
  <si>
    <t> 33-71629690-9</t>
  </si>
  <si>
    <t>INDHOR S.A.I.C.F.I. Y C.</t>
  </si>
  <si>
    <t>PROF.DOCTOR PEDRO CHUTRO 2418</t>
  </si>
  <si>
    <t>30-50424274-5</t>
  </si>
  <si>
    <t>LEITEN S.R.L</t>
  </si>
  <si>
    <t>3 DE FEBRERO 4456</t>
  </si>
  <si>
    <t>CACEROS</t>
  </si>
  <si>
    <t>MOLFICO SOCIEDAD ANONIMA</t>
  </si>
  <si>
    <t xml:space="preserve">LARA 351 </t>
  </si>
  <si>
    <t>30-70925305-7</t>
  </si>
  <si>
    <t xml:space="preserve">4ZE SOLUCIONES INTEGRALES S.A. </t>
  </si>
  <si>
    <t>30-71566838-2</t>
  </si>
  <si>
    <t>DOMINGO H. MARINI E HIJOS S.A.</t>
  </si>
  <si>
    <t>30-71540020-7</t>
  </si>
  <si>
    <t xml:space="preserve">SAAVEDRA 1131 </t>
  </si>
  <si>
    <t>TOTAL</t>
  </si>
  <si>
    <t>ESCORIA 0/10 (TONELADAS)</t>
  </si>
  <si>
    <t>ROBORTELLA JORGE</t>
  </si>
  <si>
    <t xml:space="preserve">DEPOSITO </t>
  </si>
  <si>
    <t>25/10/2022</t>
  </si>
  <si>
    <t>TANQUE LLENO</t>
  </si>
  <si>
    <t>TORCHIANA CARLOS</t>
  </si>
  <si>
    <t>COSCI FEDERICO</t>
  </si>
  <si>
    <t>26/10/2022</t>
  </si>
  <si>
    <t>SEGÚN  COTIZACION N°15859</t>
  </si>
  <si>
    <t>MANGIANTINI</t>
  </si>
  <si>
    <t>27/10/2022</t>
  </si>
  <si>
    <t>ROBORTELLA ESTEBAN</t>
  </si>
  <si>
    <t>TOYOTA</t>
  </si>
  <si>
    <t>LADRILLO PORTANTE 12X19X33</t>
  </si>
  <si>
    <t>FEDERICO COSCI</t>
  </si>
  <si>
    <t>KLINGSPOR LIJA  280</t>
  </si>
  <si>
    <t>KLINGSPOR LIJA 400</t>
  </si>
  <si>
    <t>CETOL SAT CEDRO * 1 L</t>
  </si>
  <si>
    <t>PETRILAC PISOS</t>
  </si>
  <si>
    <t xml:space="preserve">ALBALATEX BASE P INT </t>
  </si>
  <si>
    <t xml:space="preserve">DELFIN 264 PINCEL </t>
  </si>
  <si>
    <t>ESTEBAN ROBORTELLA</t>
  </si>
  <si>
    <t>CASA ESTEBAN ROBORTELLA</t>
  </si>
  <si>
    <t>28/10/2022</t>
  </si>
  <si>
    <t xml:space="preserve">PIEDRA PARTIDA BOLSON </t>
  </si>
  <si>
    <t>AVELLANEDA O LOMA NEGRA</t>
  </si>
  <si>
    <t>PALLET CEMENTO</t>
  </si>
  <si>
    <t>31/10/2022</t>
  </si>
  <si>
    <t>CARLOS TORCHIANA</t>
  </si>
  <si>
    <t>CEMENTO 90/10%</t>
  </si>
  <si>
    <t>HORMIGON HAB 48 HS</t>
  </si>
  <si>
    <t>PETROMINING</t>
  </si>
  <si>
    <t>SERVICIO DE VOLQUETE GRANDE</t>
  </si>
  <si>
    <t>AGOSTINA TORCHIANA</t>
  </si>
  <si>
    <t>CASA CARLOS</t>
  </si>
  <si>
    <t>INGESOIL INGENIERIA DE SUELOS S.A.</t>
  </si>
  <si>
    <t>JUNIN 968</t>
  </si>
  <si>
    <t>30-71425368-5</t>
  </si>
  <si>
    <t>SEGUN COTIZACION N°208052</t>
  </si>
  <si>
    <t>TORCHIANA CARLOS MARIO</t>
  </si>
  <si>
    <t>CAREM 25</t>
  </si>
  <si>
    <t>CALICAS</t>
  </si>
  <si>
    <t>DCP</t>
  </si>
  <si>
    <t>CBR</t>
  </si>
  <si>
    <t>BARRENOS</t>
  </si>
  <si>
    <t xml:space="preserve">MOVILIZACION </t>
  </si>
  <si>
    <t>PROTEX 1 TAMBOR X 200 KGS</t>
  </si>
  <si>
    <t xml:space="preserve">ROLLO DE MALLA DE REVOQUE </t>
  </si>
  <si>
    <t>HIERRO ALETADO 6 MM</t>
  </si>
  <si>
    <t>HIERRO ALETADO 10MM</t>
  </si>
  <si>
    <t>HIERRO ALETADO 10 MM</t>
  </si>
  <si>
    <t xml:space="preserve">TANQUE LLENO </t>
  </si>
  <si>
    <t xml:space="preserve">BOLSON DE ARENA </t>
  </si>
  <si>
    <t>TORCHIANA AGOSTINA</t>
  </si>
  <si>
    <t>BROWN 1143</t>
  </si>
  <si>
    <t>23-35836420-9</t>
  </si>
  <si>
    <t>EL.CORRALON DE CLAUDIO</t>
  </si>
  <si>
    <t>GEC 50 X 280 L</t>
  </si>
  <si>
    <t>DEPOSITO</t>
  </si>
  <si>
    <t xml:space="preserve">SEGUN PRESUPUESTO REALIZADO PARA </t>
  </si>
  <si>
    <t xml:space="preserve">CASA BROWN </t>
  </si>
  <si>
    <t xml:space="preserve">FLETES DE TOSCA DESDE CAMPANA A ATUCHA </t>
  </si>
  <si>
    <t>WALTER SALCEDO</t>
  </si>
  <si>
    <t xml:space="preserve">CAREM </t>
  </si>
  <si>
    <t>14/11/2022</t>
  </si>
  <si>
    <t>MALLA Q188 15X15X6 MM  (KGS)</t>
  </si>
  <si>
    <t>MALLA Q188 15X15X6 MM (KGS)</t>
  </si>
  <si>
    <t>ROLDAN FRANCISCO AGUSTIN (MAXI KIOSCOS)</t>
  </si>
  <si>
    <t>20-38544850-4</t>
  </si>
  <si>
    <t>PINCEL N25</t>
  </si>
  <si>
    <t>RODILLO N5</t>
  </si>
  <si>
    <t>RODILLO N2</t>
  </si>
  <si>
    <t>LIJA</t>
  </si>
  <si>
    <t>ALBA X 1 LITRO</t>
  </si>
  <si>
    <t>SATINOL BLANCO X 1 L</t>
  </si>
  <si>
    <t>BASE MATE X 900 CC</t>
  </si>
  <si>
    <t xml:space="preserve">CINTA DE PAPEL PARA OBRA </t>
  </si>
  <si>
    <t>INDEPENDENCIA 685</t>
  </si>
  <si>
    <t xml:space="preserve">CISTERNA DE COMBUSTIBLE </t>
  </si>
  <si>
    <t>15/11/2022</t>
  </si>
  <si>
    <t>CAL MILAGRO X25 KGS</t>
  </si>
  <si>
    <t xml:space="preserve">PALLET CEMENTO </t>
  </si>
  <si>
    <t>16/11/2022</t>
  </si>
  <si>
    <t xml:space="preserve">CAL CACIQUE </t>
  </si>
  <si>
    <t xml:space="preserve">CAMISAS JEAN </t>
  </si>
  <si>
    <t>PANTALONES JEAN WORKER</t>
  </si>
  <si>
    <t xml:space="preserve">BOMBACHAS </t>
  </si>
  <si>
    <t xml:space="preserve">CHOMBAS MICROPIQUE </t>
  </si>
  <si>
    <t xml:space="preserve">BORDADOS FRENTE </t>
  </si>
  <si>
    <t>CADENA N50 (METROS)</t>
  </si>
  <si>
    <t>CANDADO N50</t>
  </si>
  <si>
    <t>CARLOS MARIO TORCHIANA</t>
  </si>
  <si>
    <t>ALEM Y PINTO</t>
  </si>
  <si>
    <t>BIO PET * 20 KG</t>
  </si>
  <si>
    <t>PERFOMANCE ADULTO * 20 KG</t>
  </si>
  <si>
    <t>JORGE ROBORTELLA</t>
  </si>
  <si>
    <t>17/11/2022</t>
  </si>
  <si>
    <t>HORMIGON HAB.RAPIDA A 48 HS (M3)</t>
  </si>
  <si>
    <t>VITCO</t>
  </si>
  <si>
    <t>CEMENTO 90/10 %</t>
  </si>
  <si>
    <t xml:space="preserve">HIGIENICO * 4 </t>
  </si>
  <si>
    <t>SUSEX * 3</t>
  </si>
  <si>
    <t>DESODORANTE SWEET</t>
  </si>
  <si>
    <t>LEONARDO HOLGADO</t>
  </si>
  <si>
    <t>OFICINA 3 DE FEBRERO 59</t>
  </si>
  <si>
    <t>18/11/2022</t>
  </si>
  <si>
    <t>ZAPATOS DE SEGURIDAD TALLE 43</t>
  </si>
  <si>
    <t>22/11/2022</t>
  </si>
  <si>
    <t>DONAMARI MAXIMILIANO MIGUEL ANGEL</t>
  </si>
  <si>
    <t>ALEM 1465</t>
  </si>
  <si>
    <t>20-25335937-5</t>
  </si>
  <si>
    <t>TRASLADO TRACTOR IVECO</t>
  </si>
  <si>
    <t>NBY351</t>
  </si>
  <si>
    <t>HIERRO LISO 25 MM X PASADOR</t>
  </si>
  <si>
    <t>HIERRO LISO 20 MM X PASADOR</t>
  </si>
  <si>
    <t>HIERRO ALETADO 8 MM</t>
  </si>
  <si>
    <t>HIERRO ALETADO 12 MM</t>
  </si>
  <si>
    <t>MALLA Q524</t>
  </si>
  <si>
    <t>ATUCHA PAVIMENTOS</t>
  </si>
  <si>
    <t xml:space="preserve">FLETES TOSCA </t>
  </si>
  <si>
    <t>MARCO Y REJA NODULAR CALZADA C BISAGRA</t>
  </si>
  <si>
    <t>ALAMBRE RECOCIDO</t>
  </si>
  <si>
    <t xml:space="preserve">TORCHIANA CARLOS </t>
  </si>
  <si>
    <t xml:space="preserve">AVELLANEDA O LOMA NEGRA </t>
  </si>
  <si>
    <t>23/11/2022</t>
  </si>
  <si>
    <t>ARENA CEMENTO 150 (KG)</t>
  </si>
  <si>
    <t>HORMIGON H30 (m3)</t>
  </si>
  <si>
    <t>24/11/2022</t>
  </si>
  <si>
    <t xml:space="preserve">PORTON 7500*1900 </t>
  </si>
  <si>
    <t>BARANDAS SOFTYS</t>
  </si>
  <si>
    <t xml:space="preserve">SOFTYS </t>
  </si>
  <si>
    <t>25/11/2022</t>
  </si>
  <si>
    <t xml:space="preserve">FLETES REALIZADOS </t>
  </si>
  <si>
    <t xml:space="preserve">ROBORTELLA JORGE </t>
  </si>
  <si>
    <t>CAÑO RECTO DE 60 MM</t>
  </si>
  <si>
    <t>DEPOSITO MANTENIMIENTO</t>
  </si>
  <si>
    <t xml:space="preserve">VENTILADOR 30 PULGADAS </t>
  </si>
  <si>
    <t>JUEGOS MACHO/HEMBRA STECK MONOFASICA</t>
  </si>
  <si>
    <t>29/11/2022</t>
  </si>
  <si>
    <t xml:space="preserve">CAJA DE SELLADORES </t>
  </si>
  <si>
    <t xml:space="preserve">CARLOS MARIO TORCHIANA </t>
  </si>
  <si>
    <t>TAPAS FIAT</t>
  </si>
  <si>
    <t>ARMADO</t>
  </si>
  <si>
    <t>LIMPIEZA</t>
  </si>
  <si>
    <t>RECT DE ASIENTOS</t>
  </si>
  <si>
    <t>AJUSTES DE VALVULA</t>
  </si>
  <si>
    <t>30/11/2022</t>
  </si>
  <si>
    <t>LADRILLO HUECO 12X18X33</t>
  </si>
  <si>
    <t xml:space="preserve">COSCI FEDERICO </t>
  </si>
  <si>
    <t xml:space="preserve">HIGIENOL *4*100 MTS </t>
  </si>
  <si>
    <t xml:space="preserve">SUSEX * 3 </t>
  </si>
  <si>
    <t xml:space="preserve">CIF CREMA </t>
  </si>
  <si>
    <t xml:space="preserve">DESODORANTE * 5 LTS </t>
  </si>
  <si>
    <t>CIF VIDRIO REPUESTO</t>
  </si>
  <si>
    <t>PAÑO MICROFIBRA</t>
  </si>
  <si>
    <t>BIOPET * 20 KG</t>
  </si>
  <si>
    <t>PAPEL AFICHE</t>
  </si>
  <si>
    <t>BARRA SILICONA FINA</t>
  </si>
  <si>
    <t>GOMA EVA</t>
  </si>
  <si>
    <t>PLASTICOLA</t>
  </si>
  <si>
    <t xml:space="preserve">LEONARDO HOLGADO </t>
  </si>
  <si>
    <t>FOLIOS OFICIO</t>
  </si>
  <si>
    <t>CARPETAS CRISTAL A4</t>
  </si>
  <si>
    <t>BIBLIORATO A4 MARMOLADO</t>
  </si>
  <si>
    <t>BROCHE N° 50</t>
  </si>
  <si>
    <t>OFICINA 3 DE FEBRERO</t>
  </si>
  <si>
    <t>ARREGLOS VARIOS</t>
  </si>
  <si>
    <t>27-39285690-6</t>
  </si>
  <si>
    <t>GOMERIA CHARLI DE NEIRA JOANA MARIA SOLEDAD</t>
  </si>
  <si>
    <t>ARREGLOS VS</t>
  </si>
  <si>
    <t xml:space="preserve">FLETE TOSCA </t>
  </si>
  <si>
    <t xml:space="preserve">TOYOTA </t>
  </si>
  <si>
    <t>CEMENTO LOMA NEGRA</t>
  </si>
  <si>
    <t>ADELANTO ALAMBRADOS</t>
  </si>
  <si>
    <t xml:space="preserve">CAMBIO DE PANEL RADIADOR CAMION </t>
  </si>
  <si>
    <t>LIMPIEZA Y REPARACION DE RADIADOR</t>
  </si>
  <si>
    <t>TOSCA</t>
  </si>
  <si>
    <t xml:space="preserve">ESTEBAN ROBORTELLA </t>
  </si>
  <si>
    <t>RUTA 6 Y 8</t>
  </si>
  <si>
    <t>13/12/2022</t>
  </si>
  <si>
    <t xml:space="preserve">CERRADURA </t>
  </si>
  <si>
    <t>COPIAS LLAVES</t>
  </si>
  <si>
    <t>CASA BROWN</t>
  </si>
  <si>
    <t>ESCORIA 0/10</t>
  </si>
  <si>
    <t>14/12/2022</t>
  </si>
  <si>
    <t xml:space="preserve">FLETEO TOSCA IRIZAR </t>
  </si>
  <si>
    <t xml:space="preserve">FLETEO TOSCA LAS TOSCAS </t>
  </si>
  <si>
    <t xml:space="preserve">TOYOTA Y BARRIO RUTA 6 Y9 </t>
  </si>
  <si>
    <t>15/12/2022</t>
  </si>
  <si>
    <t xml:space="preserve">LAPICERA FABER </t>
  </si>
  <si>
    <t>CORRECTORES</t>
  </si>
  <si>
    <t>NOTAS ADHESIVAS</t>
  </si>
  <si>
    <t>RESMAS</t>
  </si>
  <si>
    <t>BIBLIORATO</t>
  </si>
  <si>
    <t xml:space="preserve">OFICINA 3 DE FEBRERO </t>
  </si>
  <si>
    <t>16/12/2022</t>
  </si>
  <si>
    <t>CINTA 48*50</t>
  </si>
  <si>
    <t xml:space="preserve">RESALTADORES </t>
  </si>
  <si>
    <t>MARCADOR PARA PIZARRA</t>
  </si>
  <si>
    <t>CUADERNO CHICO CON ESPIRAL</t>
  </si>
  <si>
    <t>3 DE FEBRERO 59</t>
  </si>
  <si>
    <t>CARPETA N° 6 CON ELASTICO</t>
  </si>
  <si>
    <t>CARPETA BASE OPACA A4</t>
  </si>
  <si>
    <t>CINTA 12*30</t>
  </si>
  <si>
    <t>BIBLIORATO A4 GRIS</t>
  </si>
  <si>
    <t xml:space="preserve">CUADERNO UNIV RAYADO </t>
  </si>
  <si>
    <t>CAREM</t>
  </si>
  <si>
    <t>BUJIA CHAMPION N9YC</t>
  </si>
  <si>
    <t>JUAN ROBORTELLA</t>
  </si>
  <si>
    <t>HUECOS 12X18X33 9 AGUJERO</t>
  </si>
  <si>
    <t>CAL COMUN CACIQUE X 20KG</t>
  </si>
  <si>
    <t>19/12/2022</t>
  </si>
  <si>
    <t>ART ALMACEN</t>
  </si>
  <si>
    <t>20/12/2022</t>
  </si>
  <si>
    <t xml:space="preserve">ART ALMACEN </t>
  </si>
  <si>
    <t>HOLGADO ATILIO</t>
  </si>
  <si>
    <t>OFICINA 3 DE FEBERO</t>
  </si>
  <si>
    <t>ALBALATEX BLANCO X 20 L</t>
  </si>
  <si>
    <t>INDEPENDIENTE</t>
  </si>
  <si>
    <t>ESCORIA 10/30 (TONELADAS)</t>
  </si>
  <si>
    <t>CAMINO RURAL</t>
  </si>
  <si>
    <t xml:space="preserve">bolson de arena </t>
  </si>
  <si>
    <t>Cosci F</t>
  </si>
  <si>
    <t>21/12/2022</t>
  </si>
  <si>
    <t>RESMAS A4</t>
  </si>
  <si>
    <t>LAPICERA BIC</t>
  </si>
  <si>
    <t>TIJERA</t>
  </si>
  <si>
    <t>CLIP N°6</t>
  </si>
  <si>
    <t>BROCHE</t>
  </si>
  <si>
    <t>MALL Q335 15X15X8MM (UNIDADES)</t>
  </si>
  <si>
    <t>BACHEO TOYOTA</t>
  </si>
  <si>
    <t>22/12/2022</t>
  </si>
  <si>
    <t xml:space="preserve">GUANTE MOTEADO </t>
  </si>
  <si>
    <t>ARNES HOMOLOGADO</t>
  </si>
  <si>
    <t xml:space="preserve">CABO D VIDA HOMOLOGADO </t>
  </si>
  <si>
    <t xml:space="preserve">NAFTA SUPER, TANQUE LLENO </t>
  </si>
  <si>
    <t>BARROS ALFREDO</t>
  </si>
  <si>
    <t>27/12/2022</t>
  </si>
  <si>
    <t>FLETEO TOSCA LAS TOCAS (TONELADAS)</t>
  </si>
  <si>
    <t>FLETEO TOSCA IRIZAR</t>
  </si>
  <si>
    <t>28/12/2022</t>
  </si>
  <si>
    <t xml:space="preserve">REPARACION CAÑERIA </t>
  </si>
  <si>
    <t>GUARDA</t>
  </si>
  <si>
    <t xml:space="preserve">GUARDA </t>
  </si>
  <si>
    <t>30/12/2022</t>
  </si>
  <si>
    <t xml:space="preserve">CUBIERTA </t>
  </si>
  <si>
    <t>CAMARA</t>
  </si>
  <si>
    <t>PROTECTOR</t>
  </si>
  <si>
    <t>HIERRO ALETADO 12mm</t>
  </si>
  <si>
    <t>PETROMONING</t>
  </si>
  <si>
    <t xml:space="preserve">PASADORES 25 MM POR 45 CM </t>
  </si>
  <si>
    <t>TAPAS FIAT 619</t>
  </si>
  <si>
    <t>LAVADO Y DESARME INICIAL</t>
  </si>
  <si>
    <t>RECTIF SUPERFICIE PLANA</t>
  </si>
  <si>
    <t>RECTIF DE ASIENTOS</t>
  </si>
  <si>
    <t xml:space="preserve">PRUEBA HIDRAULICA </t>
  </si>
  <si>
    <t>VALVULAS DE ESCAPE</t>
  </si>
  <si>
    <t>VALVULAS DE ADMISION</t>
  </si>
  <si>
    <t xml:space="preserve">CASQUILLOS DE ADMISION </t>
  </si>
  <si>
    <t>FIAT 619</t>
  </si>
  <si>
    <t>ALAMBRADO DE 2 MTS 3 PUAS MAT  Y MO</t>
  </si>
  <si>
    <t xml:space="preserve">2 PORTONES </t>
  </si>
  <si>
    <t>TERRUNYO CROFRE</t>
  </si>
  <si>
    <t xml:space="preserve">ANTONIETA </t>
  </si>
  <si>
    <t>DV CS-MB</t>
  </si>
  <si>
    <t xml:space="preserve">COLOME STATE </t>
  </si>
  <si>
    <t>ALMA 4</t>
  </si>
  <si>
    <t xml:space="preserve">TRIVENTO GOLDEN </t>
  </si>
  <si>
    <t>REGALOS EMPRESARIALES</t>
  </si>
  <si>
    <t>GAS EN CILINDRO DE 45 KG C/U</t>
  </si>
  <si>
    <t>GAS EN GARRAFA DE 15 KG C/U</t>
  </si>
  <si>
    <t>GAS EN GARRAFA DE 1O KG C/U</t>
  </si>
  <si>
    <t>MICRO GARRAFA DE 3 KG C/U</t>
  </si>
  <si>
    <t>MICRO GARRAFA DE 2 KG C/U</t>
  </si>
  <si>
    <t>ARREGFLO FIAT 619</t>
  </si>
  <si>
    <t xml:space="preserve">FLETE DE TOSCA </t>
  </si>
  <si>
    <t xml:space="preserve">CAMBIO DE VALVULA SALIDA DE AGUA </t>
  </si>
  <si>
    <t xml:space="preserve">CAMBIO DE FLOTANTE ELECTRICO </t>
  </si>
  <si>
    <t>ABRAZADERA</t>
  </si>
  <si>
    <t xml:space="preserve">TORNILLO </t>
  </si>
  <si>
    <t xml:space="preserve">TUERCA 8 MM </t>
  </si>
  <si>
    <t>DIENTE</t>
  </si>
  <si>
    <t>PERNO</t>
  </si>
  <si>
    <t>TUBO A/IMP. 11 m. ENC 1/2¨</t>
  </si>
  <si>
    <t>VOLIGOMA CHICA</t>
  </si>
  <si>
    <t>CUADERNO UNIV RAYADO</t>
  </si>
  <si>
    <t>13/1/2023</t>
  </si>
  <si>
    <t>ARENA BOLSON</t>
  </si>
  <si>
    <t>PIDRA PARTIDA BOLSON</t>
  </si>
  <si>
    <t>PROTEX X 20 KG</t>
  </si>
  <si>
    <t>16/1/2023</t>
  </si>
  <si>
    <t>TIGRE VT-TUBO 250X4,9MM 6MM</t>
  </si>
  <si>
    <t>ATUCHA</t>
  </si>
  <si>
    <t>MARCO Y REJA DUCTIL 60X60</t>
  </si>
  <si>
    <t>ESPIGA DE 3/4</t>
  </si>
  <si>
    <t>CAÑO MANGUERA NEGRA DE 3/4 (M)</t>
  </si>
  <si>
    <t>PPL METRO MANGUERA NEGRA 1¨ (METRO)</t>
  </si>
  <si>
    <t>PPL -E.E 1¨</t>
  </si>
  <si>
    <t>TIGRE VT-TUBO CLOAC 250</t>
  </si>
  <si>
    <t>TIGRE JE- CUPLA 63MM</t>
  </si>
  <si>
    <t>17/1/2023</t>
  </si>
  <si>
    <t>CURVAS DE 250 A 45°</t>
  </si>
  <si>
    <t>FAJARDO PATRICIA VERONICA</t>
  </si>
  <si>
    <t>LARREA 1510</t>
  </si>
  <si>
    <t>27-24916630-3</t>
  </si>
  <si>
    <t>VALVULA DE CAMION</t>
  </si>
  <si>
    <t>CAMARA 1100-20</t>
  </si>
  <si>
    <t>CAMARAS 1000-20</t>
  </si>
  <si>
    <t>18/1/2023</t>
  </si>
  <si>
    <t>CURVA DE 250 A 45°</t>
  </si>
  <si>
    <t>ALIMENTO PARA MASCOTAS X 20 KG</t>
  </si>
  <si>
    <t xml:space="preserve">MACHO DE AIRE </t>
  </si>
  <si>
    <t>TAPA</t>
  </si>
  <si>
    <t>BRIDA</t>
  </si>
  <si>
    <t>ALLEN</t>
  </si>
  <si>
    <t>CONECTOR</t>
  </si>
  <si>
    <t>19/1/2023</t>
  </si>
  <si>
    <t>CARTUCHO BULK RED</t>
  </si>
  <si>
    <t>REPARACION MARTILLO SERIE 258156</t>
  </si>
  <si>
    <t xml:space="preserve">REPARACION </t>
  </si>
  <si>
    <t>CUBIERTA LISA</t>
  </si>
  <si>
    <t>ZAPATILLA DE SEGURIDAD NEGRA TALLE 44</t>
  </si>
  <si>
    <t>DESODORANTE * 5 LTS</t>
  </si>
  <si>
    <t>HIGIENOL * 80 MTS * 4</t>
  </si>
  <si>
    <t>MAGISTRAL * 300ML</t>
  </si>
  <si>
    <t>RAID 45 NOCHES</t>
  </si>
  <si>
    <t>20/1/2023</t>
  </si>
  <si>
    <t>REPUESTOS VARIOS</t>
  </si>
  <si>
    <t>JUAN</t>
  </si>
  <si>
    <t>TOYOTA HILUX GVB906</t>
  </si>
  <si>
    <t>23/1/2023</t>
  </si>
  <si>
    <t xml:space="preserve">PAPEL AFICHE </t>
  </si>
  <si>
    <t>MARCADOR PIZARRA</t>
  </si>
  <si>
    <t>30-67799952-3</t>
  </si>
  <si>
    <t>NUEVA YORK Y AVDA MONTEVIDEO 0</t>
  </si>
  <si>
    <t>LA TINTEC SRL</t>
  </si>
  <si>
    <t>CONDUCTO ESTÁNDAR DIAMETRO 300 Mts</t>
  </si>
  <si>
    <t>24/1/2023</t>
  </si>
  <si>
    <t>REPARACION CAMION EUROCARGO</t>
  </si>
  <si>
    <t>SEGUN COTIZACION N° 17732</t>
  </si>
  <si>
    <t>VITRACO</t>
  </si>
  <si>
    <t>25/1/2023</t>
  </si>
  <si>
    <t>SEGÚN COTIZACION N° 17732</t>
  </si>
  <si>
    <t>RODADOS</t>
  </si>
  <si>
    <t>ESCORIA 30/50 (TONELADA)</t>
  </si>
  <si>
    <t>ESCORIA 0/10 (TONELADA)</t>
  </si>
  <si>
    <t>CARTELES DE DESVIO</t>
  </si>
  <si>
    <t>26/1/2023</t>
  </si>
  <si>
    <t>TALONARIO CARGA COMBUSTIBLE</t>
  </si>
  <si>
    <t>TALONARIOS VALES</t>
  </si>
  <si>
    <t xml:space="preserve">REMITOS </t>
  </si>
  <si>
    <t>27/1/2023</t>
  </si>
  <si>
    <t>RUBIA 7400 15W40 * 208</t>
  </si>
  <si>
    <t>RUBIA FLEET 500 15W40 * 208 LTS</t>
  </si>
  <si>
    <t>MULTIS EP 2 * 18 KGS</t>
  </si>
  <si>
    <t>TRANSTEC 5 80W90 * 20 LTS</t>
  </si>
  <si>
    <t>TRANSTEC 5 85W140 * 20 LTS</t>
  </si>
  <si>
    <t>28/1/2023</t>
  </si>
  <si>
    <t>CINTA 12 * 30</t>
  </si>
  <si>
    <t>CINTA 48 * 50</t>
  </si>
  <si>
    <t xml:space="preserve">LAPICERA T/G BIC </t>
  </si>
  <si>
    <t>PERFORADORA CHICA 6/8</t>
  </si>
  <si>
    <t>30/1/2023</t>
  </si>
  <si>
    <t>HIERRO ALETADO 6MM</t>
  </si>
  <si>
    <t>HIERRO ALETADO 12MM</t>
  </si>
  <si>
    <t>OBRA CHILE</t>
  </si>
  <si>
    <t>31/1/2023</t>
  </si>
  <si>
    <t xml:space="preserve">RODAMIENTOS </t>
  </si>
  <si>
    <t>PLACA DE RED</t>
  </si>
  <si>
    <t>ALAMBRE PARA ATADORA ( CAJA)</t>
  </si>
  <si>
    <t>TIGRE TUBO CLOAC 200X0,4MM</t>
  </si>
  <si>
    <t>TIGRE TUBO CLOAC 250X4,9MM</t>
  </si>
  <si>
    <t>FEDERICO COCSI</t>
  </si>
  <si>
    <t>BUJARDA TE-YX BT 4X4</t>
  </si>
  <si>
    <t>SEGÚN COTIZACION N°926698064</t>
  </si>
  <si>
    <t>FABRICACION PIEZA DE TRANSICION</t>
  </si>
  <si>
    <t>HONORARIOS, ESTUDIOS , INTERNACION</t>
  </si>
  <si>
    <t xml:space="preserve">FICHERO PARA CARPETA COLGANTE </t>
  </si>
  <si>
    <t>13/2/2023</t>
  </si>
  <si>
    <t>SERVICIO DE VIGIA</t>
  </si>
  <si>
    <t>IPN 240 BARRAS X 12 METROS</t>
  </si>
  <si>
    <t>14/2/2023</t>
  </si>
  <si>
    <t>SEGÚN COTIZACION N° 77012</t>
  </si>
  <si>
    <t xml:space="preserve">CARPETAS COLGANTES </t>
  </si>
  <si>
    <t>LAPICERAS FABER TRILUX</t>
  </si>
  <si>
    <t>15/2/2023</t>
  </si>
  <si>
    <t>BIDON X 20 L</t>
  </si>
  <si>
    <t>CONTROL DE PLAGAS ENERO</t>
  </si>
  <si>
    <t>SERVICIO VOLQUETE CHILE ENERO</t>
  </si>
  <si>
    <t>SERVICIO DE VOLQUETE PREDIO PARQUE INDUS</t>
  </si>
  <si>
    <t>CHILE/DEPOSITO</t>
  </si>
  <si>
    <t>BIDONES DE 20 L</t>
  </si>
  <si>
    <t>HIELOS 4 KGS</t>
  </si>
  <si>
    <t>HIELOS 14 KGS</t>
  </si>
  <si>
    <t>BIDONES ROTOS</t>
  </si>
  <si>
    <t>vacunacion sextuple</t>
  </si>
  <si>
    <t>vacunacion triple</t>
  </si>
  <si>
    <t>16/2/2023</t>
  </si>
  <si>
    <t>BLANCO/ 1,5 mm (m2)</t>
  </si>
  <si>
    <t>AMARILLO/1,5mm (m2)</t>
  </si>
  <si>
    <t>PERF PILOTES DIAMETRO 800 MM (METROS)</t>
  </si>
  <si>
    <t>MOVILIZACION DE EQUIPO</t>
  </si>
  <si>
    <t>PEF PILOTE 800 MM</t>
  </si>
  <si>
    <t>MOVILIZACION EQUIPO</t>
  </si>
  <si>
    <t>17/2/2023</t>
  </si>
  <si>
    <t>REPARACION DESMALEZEDORA</t>
  </si>
  <si>
    <t>CARBURADOR</t>
  </si>
  <si>
    <t>FILTRO DE AIRE</t>
  </si>
  <si>
    <t>CONJUNTO MANGUERA</t>
  </si>
  <si>
    <t>TANZA FIRST</t>
  </si>
  <si>
    <t>MANO DE OBRA VARIOS</t>
  </si>
  <si>
    <t>CUCHILLA MOTO</t>
  </si>
  <si>
    <t>BULON DE CUCHILLA</t>
  </si>
  <si>
    <t>TUERCA DE CUCHILLA</t>
  </si>
  <si>
    <t xml:space="preserve">PIEDRA PARTIDA </t>
  </si>
  <si>
    <t>ARENA BOLSON X MT3</t>
  </si>
  <si>
    <t>MANGIANTINI CALLE CHILE</t>
  </si>
  <si>
    <t xml:space="preserve">CARTEL  6*4 METALICO CON CAÑO EST </t>
  </si>
  <si>
    <t xml:space="preserve">CARLOS TORCHIANA </t>
  </si>
  <si>
    <t>NUEVO ACCESO</t>
  </si>
  <si>
    <t>18/2/2023</t>
  </si>
  <si>
    <t>DESOLDAR , LIMPIAR Y VOLVER A SOLDAR</t>
  </si>
  <si>
    <t>ISENBECK</t>
  </si>
  <si>
    <t>22/2/2023</t>
  </si>
  <si>
    <t>FILM POL NEGRO 4 MT*100</t>
  </si>
  <si>
    <t xml:space="preserve">SILICONA TRANSPARENTE </t>
  </si>
  <si>
    <t>ESPUMA POLIURETANO DE 500</t>
  </si>
  <si>
    <t>ESPUMA POLIURETANO DE 750</t>
  </si>
  <si>
    <t>23/2/2023</t>
  </si>
  <si>
    <t>PROTEX X 20 L</t>
  </si>
  <si>
    <t>24/2/2023</t>
  </si>
  <si>
    <t>MALLA Q 131</t>
  </si>
  <si>
    <t>PANTALONES CARGO REFORZADO</t>
  </si>
  <si>
    <t>JEAN DE TRABAJO</t>
  </si>
  <si>
    <t>CAMISAS DE JEAN</t>
  </si>
  <si>
    <t>HORMIGON ELABORADO H21</t>
  </si>
  <si>
    <t>HORMIGON ELABORADO H30</t>
  </si>
  <si>
    <t>ARAUCO</t>
  </si>
  <si>
    <t>KPJ615</t>
  </si>
  <si>
    <t>27/2/2023</t>
  </si>
  <si>
    <t>GIMEVA SRL</t>
  </si>
  <si>
    <t>FELIX BALLESTER 2634</t>
  </si>
  <si>
    <t>30-71654818-6</t>
  </si>
  <si>
    <t>EXTREMO DE DIRECCION LADO DERECHO</t>
  </si>
  <si>
    <t>EXTREMO DE DIRECCION LADO IZQUIERDO</t>
  </si>
  <si>
    <t>TOYOTA PODESTA PEDRO</t>
  </si>
  <si>
    <t>CEMENTO 90/10 (TONELADAS)</t>
  </si>
  <si>
    <t>MALLA Q335 8MM</t>
  </si>
  <si>
    <t>MALLA Q188 6MM</t>
  </si>
  <si>
    <t xml:space="preserve">SUELO SELECCIONADO </t>
  </si>
  <si>
    <t>TOYOTA PEDRO PODESTA</t>
  </si>
  <si>
    <t>TIGRE PVC CAÑO 160 X 4 METROS</t>
  </si>
  <si>
    <t>CHILE 1634</t>
  </si>
  <si>
    <t>CAÑO 160 X 4 METROS</t>
  </si>
  <si>
    <t>TUBO CLOACAL 6 M</t>
  </si>
  <si>
    <t>TELAS X METRO SRL</t>
  </si>
  <si>
    <t>24 DE NOVIEMBRE 1971</t>
  </si>
  <si>
    <t>30-71232621-9</t>
  </si>
  <si>
    <t>TELA DE ARPILLERA X METRO</t>
  </si>
  <si>
    <t>28/2/2023</t>
  </si>
  <si>
    <t>MANO DE OBRA BOMBAS Y MOTORES</t>
  </si>
  <si>
    <t>MANO DE OBRA CILINDROS</t>
  </si>
  <si>
    <t>CONDUCTO DIAMETRO 1200 MM</t>
  </si>
  <si>
    <t>ACC COSTANERA SUR</t>
  </si>
  <si>
    <t>HORMIGON ELABORADO H13</t>
  </si>
  <si>
    <t>SEGÚN PRESUPUESTO N°5907</t>
  </si>
  <si>
    <t>PIEDRA PARTIDA BOLSON X METRO3</t>
  </si>
  <si>
    <t>TIGRE JE-CAÑO CLOACAL 110X4 M</t>
  </si>
  <si>
    <t>COLA DE AMARRE HOMOLOGADO</t>
  </si>
  <si>
    <t xml:space="preserve">GTS COMB </t>
  </si>
  <si>
    <t>GTE MOTEADO</t>
  </si>
  <si>
    <t>PINTURA (LITROS)</t>
  </si>
  <si>
    <t>LIJAS 240</t>
  </si>
  <si>
    <t>LIJAS 150</t>
  </si>
  <si>
    <t>MASILLA CEOCAR (KG)</t>
  </si>
  <si>
    <t>COLALUCE EDUARDO</t>
  </si>
  <si>
    <t>NIVEL OPTICO PENTAX AL-M32</t>
  </si>
  <si>
    <t>MIRA DE ALUMINIO KOLIDA MODELO AGR5</t>
  </si>
  <si>
    <t>MIRA DE ALUMINIO KOLIDA MODELO AGR7</t>
  </si>
  <si>
    <t>BOTON DE REPUESTO PARA TRABA DE MIRA</t>
  </si>
  <si>
    <t>GUIA DE VERTEDERA</t>
  </si>
  <si>
    <t>JORGE ROBORTELLA (h)</t>
  </si>
  <si>
    <t>MANTENIMIENTO AIRES POR DOS 8000MIL</t>
  </si>
  <si>
    <t>INSTALACION EQUIPO AIRRE ACONDICIONADO</t>
  </si>
  <si>
    <t xml:space="preserve">JORGE ROBORTELLA </t>
  </si>
  <si>
    <t xml:space="preserve">INSTALACION EQUIPÓ AIRE ACONDICIONADO </t>
  </si>
  <si>
    <t>JORGE ROBORTELL</t>
  </si>
  <si>
    <t xml:space="preserve">HELADERA CON FREESZER CAMBIO </t>
  </si>
  <si>
    <t>Según presupuesto N°215133</t>
  </si>
  <si>
    <t>CINTA METRICA 10 METROS</t>
  </si>
  <si>
    <t>OFICINA</t>
  </si>
  <si>
    <t>MANO DE OBRA PARA EL SERVICIO DE</t>
  </si>
  <si>
    <t>13/3/2023</t>
  </si>
  <si>
    <t>DOCUMENTACION DE PATENTAMIENTO</t>
  </si>
  <si>
    <t xml:space="preserve">PINCEL CERDA </t>
  </si>
  <si>
    <t>PINCEL OLEO</t>
  </si>
  <si>
    <t>CASA JORGITO</t>
  </si>
  <si>
    <t>BOQUILLA 63 IMPORTADA FUSION</t>
  </si>
  <si>
    <t>14/3/2023</t>
  </si>
  <si>
    <t>TIGRE TF-CUPLA N FUSION 50 MM</t>
  </si>
  <si>
    <t>15/3/2023</t>
  </si>
  <si>
    <t>BIO PET 20 KG</t>
  </si>
  <si>
    <t>PERFOMANCE CACHORRO 15 KG</t>
  </si>
  <si>
    <t xml:space="preserve">ALBALATEX BLANCO X 10 LTS </t>
  </si>
  <si>
    <t>TOYOTA TSUSHO</t>
  </si>
  <si>
    <t>MTS.CAÑO 400X1200mm COMERCIAL</t>
  </si>
  <si>
    <t>CARDALES CHICO</t>
  </si>
  <si>
    <t>FLETE</t>
  </si>
  <si>
    <t>21/3/2023</t>
  </si>
  <si>
    <t>CAÑOS RIGIDOS DIAMETRO 25</t>
  </si>
  <si>
    <t>VACUNACION SEXTUPLE</t>
  </si>
  <si>
    <t>VACUNA RABIA</t>
  </si>
  <si>
    <t>22/3/2023</t>
  </si>
  <si>
    <t>SEGÚN COTIZACION N°7678-03</t>
  </si>
  <si>
    <t xml:space="preserve">PALOS DE 30 </t>
  </si>
  <si>
    <t>PALOS DE 45</t>
  </si>
  <si>
    <t>SERVICIOS DE CANALES</t>
  </si>
  <si>
    <t xml:space="preserve">ARAUCO </t>
  </si>
  <si>
    <t xml:space="preserve">ANTICIPO POR PROVISION Y EJECUCION </t>
  </si>
  <si>
    <t>ARAUCO TOCCHIO</t>
  </si>
  <si>
    <t>PANEL LED 40 W, 6000K FRIO MACROLED</t>
  </si>
  <si>
    <t xml:space="preserve">SEGÚN PRESUPUESTO N°7678-03 </t>
  </si>
  <si>
    <t>MOTOR IP 55 4 POLOS 0,75CV 0,55KW</t>
  </si>
  <si>
    <t>23/3/2023</t>
  </si>
  <si>
    <t>SOLENOIDE LW600KN</t>
  </si>
  <si>
    <t>SEGÚN PROFORMA N°927024168</t>
  </si>
  <si>
    <t>TSL TRANSPORTES S.R.L.</t>
  </si>
  <si>
    <t>OTERO 3460</t>
  </si>
  <si>
    <t>PONTEVEDRA</t>
  </si>
  <si>
    <t>30-71748293-6</t>
  </si>
  <si>
    <t>FLETES REALIZADOS A CARDALES CHICO</t>
  </si>
  <si>
    <t>MATAFUEGOS 10 KG ABC</t>
  </si>
  <si>
    <t>MTS.CAÑO400X1200mm COMERCIAL</t>
  </si>
  <si>
    <t>CARDALES</t>
  </si>
  <si>
    <t>28/3/2023</t>
  </si>
  <si>
    <t>ADOQUIN HOLANDA 8 CM (M2)</t>
  </si>
  <si>
    <t>ADOQUIN HOLANDA 8 CM COLOR (M2)</t>
  </si>
  <si>
    <t>30/3/2023</t>
  </si>
  <si>
    <t>FARO</t>
  </si>
  <si>
    <t>LENTE RR1800</t>
  </si>
  <si>
    <t>LAMPARA 24V</t>
  </si>
  <si>
    <t>CABLE COLOR 1X2,50</t>
  </si>
  <si>
    <t>TERMICA</t>
  </si>
  <si>
    <t>BIOPET PERRO ADULTO 20 KG</t>
  </si>
  <si>
    <t>COLOC CERRADURA COMUN EN PUERTAS</t>
  </si>
  <si>
    <t>COLOC MANIJAS CILINDRICAS</t>
  </si>
  <si>
    <t>COLOCACION LIBRE-OCUP</t>
  </si>
  <si>
    <t>COLOC CERRADURA MUEBLE DORMITORIO</t>
  </si>
  <si>
    <t>COLOC PASADOR DORMITORIO</t>
  </si>
  <si>
    <t>COLOC TIRADORES VENTANA</t>
  </si>
  <si>
    <t>CATEMA</t>
  </si>
  <si>
    <t>17/4/2023</t>
  </si>
  <si>
    <t>EXT 40 mm</t>
  </si>
  <si>
    <t xml:space="preserve"> ZAPATOS DE SEGURIDAD TALLE 43</t>
  </si>
  <si>
    <t>TIRADORES DE CADENAS</t>
  </si>
  <si>
    <t>CADENAS</t>
  </si>
  <si>
    <t>MINICENTRAL</t>
  </si>
  <si>
    <t>18/4/2023</t>
  </si>
  <si>
    <t>SEGÚN PROFORMA N° 927189296</t>
  </si>
  <si>
    <t>HOJA SIERRA</t>
  </si>
  <si>
    <t>BIDON 20 L</t>
  </si>
  <si>
    <t>SERVICIO DE VOLQUETE OBRA CHILE</t>
  </si>
  <si>
    <t>CALLE CHILE</t>
  </si>
  <si>
    <t>ALAMBRE PARA ATADORA</t>
  </si>
  <si>
    <t>ALAMBRA PARA ATADORA</t>
  </si>
  <si>
    <t>CEMENTO 85/15</t>
  </si>
  <si>
    <t>19/4/2023</t>
  </si>
  <si>
    <t>ANTEOJOS DE SEGURIDAD LIBUS ECOLINE</t>
  </si>
  <si>
    <t>EPP DEPOSITO</t>
  </si>
  <si>
    <t>HORMIGON H30</t>
  </si>
  <si>
    <t>RDC-120</t>
  </si>
  <si>
    <t>HORMIGON H21</t>
  </si>
  <si>
    <t xml:space="preserve">CATEMA </t>
  </si>
  <si>
    <t>20/4/2023</t>
  </si>
  <si>
    <t>HORMIGON H13</t>
  </si>
  <si>
    <t>SERVICIO LABORATORIO</t>
  </si>
  <si>
    <t>INFORME LABORATORIO</t>
  </si>
  <si>
    <t>SERVICIO DE LABORATORIO</t>
  </si>
  <si>
    <t>INFORME DE LABORATORIO</t>
  </si>
  <si>
    <t>ACC COSTANERA SUE</t>
  </si>
  <si>
    <t xml:space="preserve">ATADORA DE ALAMBRE </t>
  </si>
  <si>
    <t>21/4/2023</t>
  </si>
  <si>
    <t>RECTIFICAR MOTOR MBENZ 1114</t>
  </si>
  <si>
    <t>RECTIFICAR MOTOR DONGFENG SHANGHAI</t>
  </si>
  <si>
    <t xml:space="preserve">MANTENIMIENTO EXTINTORES 10 KG </t>
  </si>
  <si>
    <t>SEGÚN PRESUPUESTO LEITEN</t>
  </si>
  <si>
    <t>CAREM25</t>
  </si>
  <si>
    <t>24/4/2023</t>
  </si>
  <si>
    <t>25/4/2023</t>
  </si>
  <si>
    <t>HORNUNG JOSE CARLOS</t>
  </si>
  <si>
    <t xml:space="preserve">joly 1213 </t>
  </si>
  <si>
    <t>20-14516187-9</t>
  </si>
  <si>
    <t>VIAJE DESDE GRAL RODRIGUEZ A CAMPANA</t>
  </si>
  <si>
    <t>RODILLO N22</t>
  </si>
  <si>
    <t>ALBALATEX BLANCO X 4 LITROS</t>
  </si>
  <si>
    <t>ALBALATEX BLANCO X 1 LITRO</t>
  </si>
  <si>
    <t>TALADRO PERCUTOR 13MM. 800W (KONAN)</t>
  </si>
  <si>
    <t>26/4/2023</t>
  </si>
  <si>
    <t>TALADRO/PERCUTOR 13MM 800W (KONAN)</t>
  </si>
  <si>
    <t>GTE VAQUETA 1/2 PASEO AMARILLA</t>
  </si>
  <si>
    <t>GTE DESCARNE COMBINADO JEAN</t>
  </si>
  <si>
    <t>275*80*22*5 DR400</t>
  </si>
  <si>
    <t>275*80*22*5 SR60</t>
  </si>
  <si>
    <t>MARTILLO COMBINADO TE-30-AVR 220V</t>
  </si>
  <si>
    <t>PROTECTORES FACIALES CON ANCLAJE</t>
  </si>
  <si>
    <t>27/4/2023</t>
  </si>
  <si>
    <t>HORMIGON ELABORADO H30 LLANEAR</t>
  </si>
  <si>
    <t>MANTENIMIENTO EXTINTORES</t>
  </si>
  <si>
    <t>KILOGRAMOS DE POLVO AGREGADOS</t>
  </si>
  <si>
    <t>PUNTAS PARA PERCUTORA ANCLAJE SDS PLUS</t>
  </si>
  <si>
    <t>MO ARRANQUE 12 V AN115 YALE</t>
  </si>
  <si>
    <t xml:space="preserve">BOBINA </t>
  </si>
  <si>
    <t>SOLENOIDE R</t>
  </si>
  <si>
    <t>TAPA PORTACARBONES</t>
  </si>
  <si>
    <t>JUEGO DE CARBONES</t>
  </si>
  <si>
    <t>JUEGO DE BUJES</t>
  </si>
  <si>
    <t>MO ALTERNADOR</t>
  </si>
  <si>
    <t>ROTOR R</t>
  </si>
  <si>
    <t xml:space="preserve">PLAQUETA </t>
  </si>
  <si>
    <t>RODAMIENTO DELANTERO</t>
  </si>
  <si>
    <t>RODAMIENTO TRASERO</t>
  </si>
  <si>
    <t>JUEGO DE ESCOBILLAS</t>
  </si>
  <si>
    <t xml:space="preserve">ROBORTELLA ESTEBAN </t>
  </si>
  <si>
    <t>REPUESTOS VARIOS PARA YALE</t>
  </si>
  <si>
    <t>PROTEX 5 KG</t>
  </si>
  <si>
    <t>PIEDRA PARTIDA BOLSON</t>
  </si>
  <si>
    <t>PROTEX 20 KG</t>
  </si>
  <si>
    <t>CHILE</t>
  </si>
  <si>
    <t>PROTEX 1KG</t>
  </si>
  <si>
    <t>ESCORIA 30/50 (TONELADAS)</t>
  </si>
  <si>
    <t xml:space="preserve">VENTILADOR / EXTRACTOR </t>
  </si>
  <si>
    <t>CONDUCTO ESTÁNDAR</t>
  </si>
  <si>
    <t>BRIDA 300 MM</t>
  </si>
  <si>
    <t>TUBO. EST RECTANG 30*60-1,60mm</t>
  </si>
  <si>
    <t>TOSCA-CANTERA SANTA ROSA</t>
  </si>
  <si>
    <t>SEGÚN PRESUPUESTO N 79786</t>
  </si>
  <si>
    <t>PROTEX FIX  X 1KG</t>
  </si>
  <si>
    <t>FRATACHO C/ GOMA ESPUMA</t>
  </si>
  <si>
    <t>FILTRO VC 20/40/150-X UNIV</t>
  </si>
  <si>
    <t>SEGÚN PROFORMA 927365907</t>
  </si>
  <si>
    <t>15/5/2023</t>
  </si>
  <si>
    <t>ROLLOS DE PAPEL HIGIENICO X 4</t>
  </si>
  <si>
    <t>ROLLOS DE COCINA X 3 UN</t>
  </si>
  <si>
    <t xml:space="preserve">BOLSAS DE RESIDUO GRANDES </t>
  </si>
  <si>
    <t>REPUESTO FUSHI PARA MOSQUITOS</t>
  </si>
  <si>
    <t>ESCOMBRO BOLSON X MTRO3</t>
  </si>
  <si>
    <t>ARENA BOLSON X MTRO3</t>
  </si>
  <si>
    <t>CAL ANDINA X 20L</t>
  </si>
  <si>
    <t>PROTEX X 1 KG</t>
  </si>
  <si>
    <t>16/5/2023</t>
  </si>
  <si>
    <t>REVESTA SAIC</t>
  </si>
  <si>
    <t>AV MITRE 1249 PISO 2</t>
  </si>
  <si>
    <t>FLORIDA</t>
  </si>
  <si>
    <t>30-51971786-3</t>
  </si>
  <si>
    <t>REVESTA 927 DILUYENTE (LITROS)</t>
  </si>
  <si>
    <t>REVESTA 204 GRIS (KG)</t>
  </si>
  <si>
    <t>REVESTA 400 GRIS PERLA (LITROS)</t>
  </si>
  <si>
    <t>REVESTA 112 (LITROS)</t>
  </si>
  <si>
    <t>SEGÚN COTIZACION N 31307</t>
  </si>
  <si>
    <t>MTS CAÑO H°A° DIAMETRO 400X1200MM</t>
  </si>
  <si>
    <t>17/5/2023</t>
  </si>
  <si>
    <t>BASE COAT</t>
  </si>
  <si>
    <t>CINTA TRAMADA X 20M</t>
  </si>
  <si>
    <t>TARUGO 8 CON TOPE Y TORNILLO</t>
  </si>
  <si>
    <t>PLACA SUPERBOARD</t>
  </si>
  <si>
    <t>PERFIL PGU</t>
  </si>
  <si>
    <t xml:space="preserve">PERFIL PGC </t>
  </si>
  <si>
    <t>TORNILLO ALETADO CORTO</t>
  </si>
  <si>
    <t>TORNILLO T1 MECHA 8X9/16 100U</t>
  </si>
  <si>
    <t>ZAPATILLA ELECTRICA 4 TOMAS</t>
  </si>
  <si>
    <t>18/5/2023</t>
  </si>
  <si>
    <t>ALQUILER DE MODULO</t>
  </si>
  <si>
    <t>ALQUILER DE AIRE</t>
  </si>
  <si>
    <t>RETIRO DE MODULOS</t>
  </si>
  <si>
    <t>ENTREGA DE MODULOS</t>
  </si>
  <si>
    <t>ALBALATEX BASE P/INTERIOR MATE</t>
  </si>
  <si>
    <t>ELG RODILLO</t>
  </si>
  <si>
    <t>DELFIN 260 PINCEL</t>
  </si>
  <si>
    <t>RAPIFIX PAPEL OBRA 48MM</t>
  </si>
  <si>
    <t>30-68917487-2</t>
  </si>
  <si>
    <t>JUAN J PASO 7025</t>
  </si>
  <si>
    <t>CASA MAGNANI SRL</t>
  </si>
  <si>
    <t>ARTEFACTO ALUM.PUB.ROAD.FORCE</t>
  </si>
  <si>
    <t>FOTOCONTROL 10 A 220V</t>
  </si>
  <si>
    <t>22/5/2023</t>
  </si>
  <si>
    <t>HOJA SIERRA CIRC-</t>
  </si>
  <si>
    <t>SEGÚN PROFORMA 927424992</t>
  </si>
  <si>
    <t>24/5/2023</t>
  </si>
  <si>
    <t>30/5/2023</t>
  </si>
  <si>
    <t>SEGÚN PRESUPUESTO 219710</t>
  </si>
  <si>
    <t xml:space="preserve">OMEGA ACERO INOXIDABLE </t>
  </si>
  <si>
    <t>31/5/2023</t>
  </si>
  <si>
    <t>PERFIL SOLERA 35 MM X 2,60 M</t>
  </si>
  <si>
    <t>PERFIL MONTANTE 34 MM X 2.60 M</t>
  </si>
  <si>
    <t>TORNILLO T1</t>
  </si>
  <si>
    <t>PLACA DURLOCK STD 12,5MM 1,20X2,40M</t>
  </si>
  <si>
    <t>TORNILLO T2</t>
  </si>
  <si>
    <t>CINTA PAPEL X 20M</t>
  </si>
  <si>
    <t>MASILLA DURLOCK</t>
  </si>
  <si>
    <t xml:space="preserve">BUÑA </t>
  </si>
  <si>
    <t>JUNTA BASE GOMA PARA INODORO</t>
  </si>
  <si>
    <t>MOZART PRESMATIC MINGITORIO CROMO GR</t>
  </si>
  <si>
    <t>FLEXIBLE FUELLE YOLLI CROMO</t>
  </si>
  <si>
    <t>TIGRE TF-CODO A 90 FUSION 25MM</t>
  </si>
  <si>
    <t xml:space="preserve">TIGRE TF-CODO A 90 R.HEMBRA FUSION </t>
  </si>
  <si>
    <t>FLEXIBLE MALLADO 1/2X30CM</t>
  </si>
  <si>
    <t>HIERRO DEL 8</t>
  </si>
  <si>
    <t>HIERRO DEL 6</t>
  </si>
  <si>
    <t>PELLEGRINI  AL 400</t>
  </si>
  <si>
    <t>TIGRE TF-TUBO MACHO FUSION 25MMX3/4</t>
  </si>
  <si>
    <t>TIGRE TF-CAÑO PPR3-PN20-IRAM 13470- 25MM</t>
  </si>
  <si>
    <t>TIGRE TF-UNION DOBLE MIXTA 25 MM X3/4</t>
  </si>
  <si>
    <t>TIGRE TF-TUBO HEMBRA FUSION 25 MM X1/2</t>
  </si>
  <si>
    <t>PPL-E.R.M 1/2</t>
  </si>
  <si>
    <t>FONDO PLANO DIAMETRO 1200X585 MM</t>
  </si>
  <si>
    <t>LISTON TUBO SIMPLE</t>
  </si>
  <si>
    <t>TUBOS LED DE 16W DE 1,2 MTS</t>
  </si>
  <si>
    <t>TABLERO BORNERA BECA</t>
  </si>
  <si>
    <t xml:space="preserve">CABLE SUBTERRANEO 3X6 COBRE </t>
  </si>
  <si>
    <t>TERMINAL PREAISLADO AMARILLO C3</t>
  </si>
  <si>
    <t>INT. DIFERENCIAL EASY9</t>
  </si>
  <si>
    <t>INT. TERMOMAGNETICO E9 2X25A</t>
  </si>
  <si>
    <t>INT TERMOMAGNETICO E9 2X6A</t>
  </si>
  <si>
    <t>CAJA P/VESTIDOR 3/4 S/TAPA INT</t>
  </si>
  <si>
    <t>BASTIDOR LUJO DE POLICARBONATO</t>
  </si>
  <si>
    <t>TOMA C/ POLO A TIERRA CAMBRE</t>
  </si>
  <si>
    <t>TAPA LUJO TOMA C/ POLO TIERRA CAMBRE</t>
  </si>
  <si>
    <t>CONECTOR MULTIPLE 3/4 INTERIOR</t>
  </si>
  <si>
    <t>CODO C/ REGISTRO 3/4</t>
  </si>
  <si>
    <t>INT. TERMOMAGNETICO E9 2X16A</t>
  </si>
  <si>
    <t>KAUSSER BUREAU SRL</t>
  </si>
  <si>
    <t xml:space="preserve">VICENTE LOPEZ 3272 PISO PB </t>
  </si>
  <si>
    <t>INSCRIO</t>
  </si>
  <si>
    <t>30-71192666-2</t>
  </si>
  <si>
    <t>SEGÚN PRESUPUESTO KBPI-8567-23</t>
  </si>
  <si>
    <t>CHAPA ACAN CINCALUM CAL 25 4X3,5</t>
  </si>
  <si>
    <t xml:space="preserve">PERFIL C GALV </t>
  </si>
  <si>
    <t>TORNILLOS AUTOPOERF. 2" METAL</t>
  </si>
  <si>
    <t>13/6/2023</t>
  </si>
  <si>
    <t>DESAGUES PLUVIALES</t>
  </si>
  <si>
    <t>PRESUPUESTO ESTIMADO</t>
  </si>
  <si>
    <t>15/6/2023</t>
  </si>
  <si>
    <t>SEGÚN PRESUPUESTO 220880</t>
  </si>
  <si>
    <t>CABLE SUBTERRANEO 4X6 COBRE</t>
  </si>
  <si>
    <t>21/6/2023</t>
  </si>
  <si>
    <t>BUJIAS INCANDECENTES</t>
  </si>
  <si>
    <t>LSG546 RANGER</t>
  </si>
  <si>
    <t>SEGÚN PRESUPUESTO N 220953</t>
  </si>
  <si>
    <t>22/6/2023</t>
  </si>
  <si>
    <t>CASA BLANCA MASILLA P/DURLOCKX6K</t>
  </si>
  <si>
    <t>LEDEZMA PEDRO RUBEN</t>
  </si>
  <si>
    <t>20-12611841-5</t>
  </si>
  <si>
    <t>PRESUPUESTO</t>
  </si>
  <si>
    <t xml:space="preserve">CINTA 50 METROS X 40 MM DE ANCHO </t>
  </si>
  <si>
    <t>TIGRE JE-CAÑO CLOACAL 160X4 M</t>
  </si>
  <si>
    <t>TIGRE VT-TUBO CLOAC 250X4,9MM 6M</t>
  </si>
  <si>
    <t>DESAGUES PUVIALES</t>
  </si>
  <si>
    <t>SEGÚN COTIZACION N 7939-02</t>
  </si>
  <si>
    <t>SEGUN PRESUPUESTO N 087/23</t>
  </si>
  <si>
    <t>KRAH AMERICA LATINA SA</t>
  </si>
  <si>
    <t>25 DE MAYO 596</t>
  </si>
  <si>
    <t>30-70883882-5</t>
  </si>
  <si>
    <t>TUBO K-PROFIL DN600 PR-34-000,84/JA</t>
  </si>
  <si>
    <t>PLUVIALES</t>
  </si>
  <si>
    <t>23/6/2023</t>
  </si>
  <si>
    <t>28/6/2023</t>
  </si>
  <si>
    <t>HORMIGON H25</t>
  </si>
  <si>
    <t>CALLE CHILE 1364</t>
  </si>
  <si>
    <t>COSTANERA</t>
  </si>
  <si>
    <t>SEÑALES DE 1200X600MM</t>
  </si>
  <si>
    <t>SEÑALES DE 600X600MM</t>
  </si>
  <si>
    <t>ACCESO COSTANERA SUR</t>
  </si>
  <si>
    <t>SEGÚN PRESUPUESTO N°22542</t>
  </si>
  <si>
    <t>CAMBACARA S.A. (PAMPERO)</t>
  </si>
  <si>
    <t>19 DE MARZO 168</t>
  </si>
  <si>
    <t>30-71810669-5</t>
  </si>
  <si>
    <t>SOPORTE LUMINARIA BRAZO CURVO 2X2 m</t>
  </si>
  <si>
    <t>GRAMPA G</t>
  </si>
  <si>
    <t>RIEL DIN PERFORADO 1 MT</t>
  </si>
  <si>
    <t>SERVICIOS MANTENIMIENTO EPP</t>
  </si>
  <si>
    <t xml:space="preserve">INSERTOS Y FABRICACION DE ESTRUCTURAS </t>
  </si>
  <si>
    <t>COLOCACION DE CORREAS CHAPEADO</t>
  </si>
  <si>
    <t>HIDRALIT X 40GR</t>
  </si>
  <si>
    <t>BARRAL AGARRADERA BLANCO 45 CM RECTO</t>
  </si>
  <si>
    <t>CASA ADELMA</t>
  </si>
  <si>
    <t xml:space="preserve">PEISA RADIADOR T/500 3 ELEMENTOS </t>
  </si>
  <si>
    <t xml:space="preserve">PEISA UNION RADIADOR ROSCA </t>
  </si>
  <si>
    <t xml:space="preserve">LATYNPERT JUNTA FIBRA RADIADOR </t>
  </si>
  <si>
    <t>CASA ESTEBAN</t>
  </si>
  <si>
    <t>14/7/2023</t>
  </si>
  <si>
    <t>REPARACION ATADORA A BATERIA SERIE</t>
  </si>
  <si>
    <t xml:space="preserve">KILOGRAMOS DE POLVO AGREGADOS </t>
  </si>
  <si>
    <t>17/7/2023</t>
  </si>
  <si>
    <t>MANTENIMIENTO EXT 10 KG ABC</t>
  </si>
  <si>
    <t>MANTENIMIENTO EXT 1 KG ABC</t>
  </si>
  <si>
    <t xml:space="preserve">JUAN R </t>
  </si>
  <si>
    <t>COLOCACION CERRADURA ACYTRA</t>
  </si>
  <si>
    <t>BIPOET * 20 KG</t>
  </si>
  <si>
    <t>ARTEFACTO ALUM.PUB. ROAD FORCE</t>
  </si>
  <si>
    <t>ESTACIONAMIENTO PPO</t>
  </si>
  <si>
    <t>18/7/2023</t>
  </si>
  <si>
    <t>CEMENTO 90/10</t>
  </si>
  <si>
    <t>CALLE NUEVA</t>
  </si>
  <si>
    <t>21/7/2023</t>
  </si>
  <si>
    <t>HORMIGON HAB RAP A 48 HS</t>
  </si>
  <si>
    <t>MUNICIPALIDAD BACHEO</t>
  </si>
  <si>
    <t>ARPILLERA</t>
  </si>
  <si>
    <t>28/7/2023</t>
  </si>
  <si>
    <t>MTS CAÑOH°A°Ø600*1200mm</t>
  </si>
  <si>
    <t>ESTEBAN RROBORTELLA</t>
  </si>
  <si>
    <t>MARIO DEL DO</t>
  </si>
  <si>
    <t>31/7/2023</t>
  </si>
  <si>
    <t>ACOPIO TOYOTA</t>
  </si>
  <si>
    <t>ARTEFACTO ALUM.PUB. XCEED G2 20660LM</t>
  </si>
  <si>
    <t>CALLE PPO</t>
  </si>
  <si>
    <t>MTS CAÑO H°S° ø 800*1200 mm</t>
  </si>
  <si>
    <t>PPO</t>
  </si>
  <si>
    <t>TOYOTA PPO</t>
  </si>
  <si>
    <t>BUJES REDUCCION</t>
  </si>
  <si>
    <t>DIAFRAGMA 30</t>
  </si>
  <si>
    <t>REPARACION DE PULMON</t>
  </si>
  <si>
    <t>VALMALA MARIO</t>
  </si>
  <si>
    <t xml:space="preserve">BELISARIO ROLDAN N94  </t>
  </si>
  <si>
    <t>BS AS</t>
  </si>
  <si>
    <t>20-07656564-4</t>
  </si>
  <si>
    <t xml:space="preserve">CONTROL PERIODICO DE 1 APARATOS </t>
  </si>
  <si>
    <t>ALAMBRE PARA ATADORA X CAJA</t>
  </si>
  <si>
    <t>ALAMBRE PARA ATADORA  (UNIDADES)</t>
  </si>
  <si>
    <t>PROYECTOR LED 500W</t>
  </si>
  <si>
    <t xml:space="preserve">CAÑO GALVANIZADO </t>
  </si>
  <si>
    <t>CABLE SUBTERRNEO</t>
  </si>
  <si>
    <t>ESCORIA 30-50 (TONELADAS)</t>
  </si>
  <si>
    <t>BULONERA MITRE SA</t>
  </si>
  <si>
    <t>AV RICARDO BALBIN 479</t>
  </si>
  <si>
    <t>30-71054868-0</t>
  </si>
  <si>
    <t>DISCO HUSQVARNA TACTI-CUT /QH5 14" USO</t>
  </si>
  <si>
    <t xml:space="preserve">CAJAS EXT HEXAGONAL </t>
  </si>
  <si>
    <t>TOMAS</t>
  </si>
  <si>
    <t xml:space="preserve">ENCHUFES PLANOS </t>
  </si>
  <si>
    <t>CABLE 1,5 mm AZUL (mts)</t>
  </si>
  <si>
    <t>CABLE 1,5 mm MARRON  (mts)</t>
  </si>
  <si>
    <t>MARCO Y REJA DUCTIL CALZADA CON BISAGRA</t>
  </si>
  <si>
    <t>QUILMES DEPOSITO</t>
  </si>
  <si>
    <t>PUNTA SDS PLUS 14*250 mm</t>
  </si>
  <si>
    <t xml:space="preserve">BUJIAS </t>
  </si>
  <si>
    <t>OROCH AC373WZ</t>
  </si>
  <si>
    <t>VASO DIAMANTADO  PARA AMOLADORA</t>
  </si>
  <si>
    <t>TUBO EST.RECTANG 60*80-1,6MM</t>
  </si>
  <si>
    <t>TUBO EST RECT 40*80*1,6 MM</t>
  </si>
  <si>
    <t>TUBO EST CUAD 40*40*1,6MM X 2 UN</t>
  </si>
  <si>
    <t>PLANCH 5/8 X 3 UN</t>
  </si>
  <si>
    <t xml:space="preserve">PLANCH 1 </t>
  </si>
  <si>
    <t>ANG 1 1/4 *1/8 X 6 UN</t>
  </si>
  <si>
    <t>PLANCH 1 * 3/16 X 32 UN</t>
  </si>
  <si>
    <t>SEGÚN PRESUPUESTO 223326</t>
  </si>
  <si>
    <t>SEGÚN PRESUPUESTO 223319</t>
  </si>
  <si>
    <t>SEGÚN PRESUPUESTO 22331</t>
  </si>
  <si>
    <t>SOPORTE LUMINARIA  BRAZO CURVO 2M FIJO</t>
  </si>
  <si>
    <t xml:space="preserve">FEDERICO COSCI </t>
  </si>
  <si>
    <t>TOYOTA/DEPOSITO</t>
  </si>
  <si>
    <t>TOYOTA DEPOSITO</t>
  </si>
  <si>
    <t>TIGRE PCV-CAÑO 160*4 METROS</t>
  </si>
  <si>
    <t xml:space="preserve">FLETE </t>
  </si>
  <si>
    <t>FILTRO DE ACEITE</t>
  </si>
  <si>
    <t xml:space="preserve">AGUA REFRIGERANTE </t>
  </si>
  <si>
    <t>PASTILLAS FRENOS PIZ537</t>
  </si>
  <si>
    <t xml:space="preserve">JORGE R FACUNDO T </t>
  </si>
  <si>
    <t>AGILE PIZ 537</t>
  </si>
  <si>
    <t>TERMOSTATO AGILE</t>
  </si>
  <si>
    <t xml:space="preserve">AGILE </t>
  </si>
  <si>
    <t>16/8/2023</t>
  </si>
  <si>
    <t>BOMBA SUMERGIBLE</t>
  </si>
  <si>
    <t xml:space="preserve">PAPEL HIGIENICO X 4 </t>
  </si>
  <si>
    <t xml:space="preserve">SERVILLETAS X 3 </t>
  </si>
  <si>
    <t xml:space="preserve">BOLSA DE CONSORCIO X 10 </t>
  </si>
  <si>
    <t>BOLSA DE RESIDUOS X 10</t>
  </si>
  <si>
    <t>DESODORANTE DE PISO (BIDON)</t>
  </si>
  <si>
    <t>BLEM</t>
  </si>
  <si>
    <t>CERA PARA PISO LIQUIDX LITRO</t>
  </si>
  <si>
    <t>18/8/2023</t>
  </si>
  <si>
    <t>COLOCACION CERRADURA COMPUTADA</t>
  </si>
  <si>
    <t>DEPOSTO</t>
  </si>
  <si>
    <t>19/8/2023</t>
  </si>
  <si>
    <t>CHAPA ACAN NEGRA CAL 25</t>
  </si>
  <si>
    <t>CASA ESTEBAN R</t>
  </si>
  <si>
    <t>22/8/2023</t>
  </si>
  <si>
    <t>H COSNT ALETADO 8</t>
  </si>
  <si>
    <t>H CONST ALETADO 12</t>
  </si>
  <si>
    <t>PLAYA PPO</t>
  </si>
  <si>
    <t>23/8/2023</t>
  </si>
  <si>
    <t>CAÑOS 4 ML DE 50 MM DE PVC</t>
  </si>
  <si>
    <t>CURVA A 90 DE 50 MM DE PVC</t>
  </si>
  <si>
    <t>CAPUCHON DE 50 MM DE PVC</t>
  </si>
  <si>
    <t>TAPAS DE FUNDICIÓN 40X40 CIEGAS</t>
  </si>
  <si>
    <t>FILM POL NEGRO 4 MTS X 100 MIC X 100 MT</t>
  </si>
  <si>
    <t>24/8/2023</t>
  </si>
  <si>
    <t>MENSULA CAÑOS PLUVIALES</t>
  </si>
  <si>
    <t>TAPA DE CAMARA</t>
  </si>
  <si>
    <t>CANASTO PARA BOMBA CENTRIFUGA EN ACERO</t>
  </si>
  <si>
    <t xml:space="preserve">CEMENTO 90/10 </t>
  </si>
  <si>
    <t xml:space="preserve">OBRA MIRGOR </t>
  </si>
  <si>
    <t>BIDON DE POET PARA PISO 5L</t>
  </si>
  <si>
    <t xml:space="preserve">BLEM </t>
  </si>
  <si>
    <t>DESODORANTE DE AMBIENTE</t>
  </si>
  <si>
    <t>TRAPO DE PISO</t>
  </si>
  <si>
    <t>FRANELA</t>
  </si>
  <si>
    <t>BOLSAS GRANDES PARA TACHO PAQUETE</t>
  </si>
  <si>
    <t>28/8/2023</t>
  </si>
  <si>
    <t>AMOLADORA ANGULAR  AG 115</t>
  </si>
  <si>
    <t>AMOLADORA ANGULAR AG230</t>
  </si>
  <si>
    <t>SEGÚN PRESUPUESTO N 928079916</t>
  </si>
  <si>
    <t>29/8/2023</t>
  </si>
  <si>
    <t>BATERIA B 22/2.G li-ion</t>
  </si>
  <si>
    <t>según presupuesto N 928078674</t>
  </si>
  <si>
    <t>según presupuesto N 48089574</t>
  </si>
  <si>
    <t>30/8/2023</t>
  </si>
  <si>
    <t xml:space="preserve">TRITUBO PEAD 40*3*3 </t>
  </si>
  <si>
    <t>VENTA COMPLEMENTARIA</t>
  </si>
  <si>
    <t>VENTA TUBOS DISTANCIADORES PVC D 22MM</t>
  </si>
  <si>
    <t>VENTA CONOS DE TERMINACION PVC D 22MM</t>
  </si>
  <si>
    <t>ANDAMIO 1,50X3X3 M ALQUILER (M2)</t>
  </si>
  <si>
    <t>ALQUILER MENSUAL POR ENCOFRADO  (M2)</t>
  </si>
  <si>
    <t>BLOQUES INTERTRABADO 20X10X8 CM (M2)</t>
  </si>
  <si>
    <t>PAVIMENTO INTERTRABADO MUNICIPALIDAD</t>
  </si>
  <si>
    <t>SOLENOIDE</t>
  </si>
  <si>
    <t>ALARGUE FLEXIBLE 120</t>
  </si>
  <si>
    <t>SOPORTE PARA FLEXIBLE DE LLANTA</t>
  </si>
  <si>
    <t>ALBAPLAST ENDUIDO PARA INTERIOR X 10L</t>
  </si>
  <si>
    <t>ELG RODILLO ANTIGOTA N 22</t>
  </si>
  <si>
    <t>RAPIFIT PAPEL OBRA 48MM</t>
  </si>
  <si>
    <t>LIJA NO PLAST  PS33C 120</t>
  </si>
  <si>
    <t>DELFIN 264 PINCEL CHINA N20</t>
  </si>
  <si>
    <t>AA LIJA AL AGUA 80</t>
  </si>
  <si>
    <t>AMEGHINO 710 10D</t>
  </si>
  <si>
    <t>HORMIGON HAB.RAPIDA A 48 HS</t>
  </si>
  <si>
    <t>CALLES INTERNAS</t>
  </si>
  <si>
    <t>HORMIGON ELABORADO H8</t>
  </si>
  <si>
    <t>SEGÚN PRESUPUESTO N 225134</t>
  </si>
  <si>
    <t>ESTACIONAMIENTO DE JEFES</t>
  </si>
  <si>
    <t>14/9/2023</t>
  </si>
  <si>
    <t>MO MOTOR ARRANQUE INDIEL</t>
  </si>
  <si>
    <t>PORTACARBONES</t>
  </si>
  <si>
    <t>JGO ENGRANAJE REDUCTORA</t>
  </si>
  <si>
    <t>R REDUCTORA</t>
  </si>
  <si>
    <t>LAMPARA 12V H4</t>
  </si>
  <si>
    <t>LAMPARA 12V H7</t>
  </si>
  <si>
    <t>FUSIBLE FICHA 76 0100</t>
  </si>
  <si>
    <t>ENCHUFE MACHO 5V</t>
  </si>
  <si>
    <t>LAMPARA 12V</t>
  </si>
  <si>
    <t>CORTACORRIENTE</t>
  </si>
  <si>
    <t>MO MOTOR DE ARRANQUE FORD 4000</t>
  </si>
  <si>
    <t>BOBINA R</t>
  </si>
  <si>
    <t>JUEGO DE CAMPOS R</t>
  </si>
  <si>
    <t>IMPULSOR</t>
  </si>
  <si>
    <t>MO MOTOR ARRANQUE BOSCH TOYOTA</t>
  </si>
  <si>
    <t>BUJE BIMETALICO</t>
  </si>
  <si>
    <t>IMPULSOR G</t>
  </si>
  <si>
    <t>ANG 1 1/2* 3/16  6 MTS</t>
  </si>
  <si>
    <t>PLANCH 1 1/4*1/4</t>
  </si>
  <si>
    <t>HIERRO ALETADO 6MM  12 MTS</t>
  </si>
  <si>
    <t xml:space="preserve">ALQUILER MENSUAL PAÑOL </t>
  </si>
  <si>
    <t>PAPELERA DEL PLATA</t>
  </si>
  <si>
    <t>15/9/2023</t>
  </si>
  <si>
    <t>CAJA ALAMBRE PARA ATADORA</t>
  </si>
  <si>
    <t>21/9/2023</t>
  </si>
  <si>
    <t>AMOLADORA ANGULAR AG115-8S</t>
  </si>
  <si>
    <t>22/9/2023</t>
  </si>
  <si>
    <t xml:space="preserve">CONTRATO MATENCION CSA CF </t>
  </si>
  <si>
    <t>26/9/2023</t>
  </si>
  <si>
    <t xml:space="preserve">PANTALONES CARGO </t>
  </si>
  <si>
    <t xml:space="preserve">PANTALONES FIT </t>
  </si>
  <si>
    <t xml:space="preserve">BREA EN PAN * KG </t>
  </si>
  <si>
    <t>28/9/2023</t>
  </si>
  <si>
    <t>HORMIGON ELAB RAPIDA A 48 HS</t>
  </si>
  <si>
    <t>CASEROS Y LAPRIDA</t>
  </si>
  <si>
    <t>COLECTORA R12</t>
  </si>
  <si>
    <t>BIDONES 20 LITROS</t>
  </si>
  <si>
    <t>BIDONES ROTOS O EXTRAVIADOS</t>
  </si>
  <si>
    <t>GTE MEDIO PASEO VAQUETA</t>
  </si>
  <si>
    <t>GTE MOTEADO BCO</t>
  </si>
  <si>
    <t>PLANCH 2 * 1/2</t>
  </si>
  <si>
    <t>PLANCH 1*1/4</t>
  </si>
  <si>
    <t>CUAD 3/8"</t>
  </si>
  <si>
    <t>ANG 2/1/2*5/16</t>
  </si>
  <si>
    <t>HORNO TOCHIO</t>
  </si>
  <si>
    <t>PLANCH 1 1/2*3/16</t>
  </si>
  <si>
    <t>OBRA TOCHIO</t>
  </si>
  <si>
    <t xml:space="preserve">MANO DE OBRA FABRICACION CORTE Y </t>
  </si>
  <si>
    <t>LLAVE COMBINADA 19 MM</t>
  </si>
  <si>
    <t>LLAVE COMBINADA 22 MM</t>
  </si>
  <si>
    <t>DEFENSA DE ACERO GALVANIZADO DE LARGO</t>
  </si>
  <si>
    <t xml:space="preserve">POSTES DE A°G TIPO PESADOS </t>
  </si>
  <si>
    <t>ALAS TERMINAL ESTANDAR INCLUYE FIJACIONES</t>
  </si>
  <si>
    <t>SEGÚN PRESUPUESTO N° 226454</t>
  </si>
  <si>
    <t>ESTACIONAMIENTO JEFES</t>
  </si>
  <si>
    <t>SEGUN PRESUPUESTO N° 226459</t>
  </si>
  <si>
    <t>ESTACIONAMIENTOS  JEFES</t>
  </si>
  <si>
    <t>SEGUN PRESUPUESTO N° 226458</t>
  </si>
  <si>
    <t>SEGÚN PROFORMA N°928398866</t>
  </si>
  <si>
    <t>VASO DIAMANTADO DG-CW</t>
  </si>
  <si>
    <t>20/10/2023</t>
  </si>
  <si>
    <t>CAMPANA ANTIPOLVO</t>
  </si>
  <si>
    <t>SEGÚN COTIZACION N°928430056</t>
  </si>
  <si>
    <t>TORCHIANA ANTONELLA</t>
  </si>
  <si>
    <t>AMOLADORA ANGULAR AG 115-85</t>
  </si>
  <si>
    <t>23/10/2023</t>
  </si>
  <si>
    <t>MALLAS Q131</t>
  </si>
  <si>
    <t>24/10/2023</t>
  </si>
  <si>
    <t>MALLA Q131</t>
  </si>
  <si>
    <t>REPARACION DE CALLES INTERNAS</t>
  </si>
  <si>
    <t>F.B.A OBRAS Y SERVICIOS S.A</t>
  </si>
  <si>
    <t>BALBIN RICARDO 2336 2C</t>
  </si>
  <si>
    <t>30-71495024-6</t>
  </si>
  <si>
    <t>SERVICIO PROYECTO EJECUTIVO</t>
  </si>
  <si>
    <t>COLECTORA SUR</t>
  </si>
  <si>
    <t>25/10/2023</t>
  </si>
  <si>
    <t>ALAMBRE TW1061T</t>
  </si>
  <si>
    <t>BARRIO SANTA TERESITA</t>
  </si>
  <si>
    <t>26/10/2023</t>
  </si>
  <si>
    <t>TOPE ALTO IMPACTO</t>
  </si>
  <si>
    <t>HIACE</t>
  </si>
  <si>
    <t>SEGÚN PRESUPUESTO N 226782</t>
  </si>
  <si>
    <t>CALLE EXTERNA</t>
  </si>
  <si>
    <t>PIESA VASO EXPANSION 8 LTS</t>
  </si>
  <si>
    <t>27/10/2023</t>
  </si>
  <si>
    <t>REMITOS  * 500 un</t>
  </si>
  <si>
    <t>SOBRES  * 500 un</t>
  </si>
  <si>
    <t xml:space="preserve">CORRECTORES </t>
  </si>
  <si>
    <t>BOLIGRAFO FABER AZUL</t>
  </si>
  <si>
    <t>BOLIGRAFO FABER NEGRO</t>
  </si>
  <si>
    <t>LAPICES NEGROS</t>
  </si>
  <si>
    <t>SEPARADOR A4</t>
  </si>
  <si>
    <t>RESMA A4</t>
  </si>
  <si>
    <t>31/10/2023</t>
  </si>
  <si>
    <t>SOBREPUNTERA 140H/K</t>
  </si>
  <si>
    <t>TREMIX SAS</t>
  </si>
  <si>
    <t>Av. Gral. Roca 1720</t>
  </si>
  <si>
    <t>30-71594335-9</t>
  </si>
  <si>
    <t>CONCRETO DIAMETRO 14"-SECTOR 10 MM</t>
  </si>
  <si>
    <t>CONCRETO ABRASIVO DIAMETRO 14"- SEC</t>
  </si>
  <si>
    <t>ASESORAMIENTO Y RESETEO DEL SISTEMA</t>
  </si>
  <si>
    <t>REGALERIA EMPRESARIAL GREEN LABEL</t>
  </si>
  <si>
    <t>REGALERIA EMPRESARIAL GLEN MORAY</t>
  </si>
  <si>
    <t>REGALERIA EMPRESARIAL ZAPATA ALTA MALBEC</t>
  </si>
  <si>
    <t>REGALO EMPRESARIAL</t>
  </si>
  <si>
    <t>SEGÚN PROFORMA N°928579367</t>
  </si>
  <si>
    <t>BOLSA DE RESIDUOS 90*120</t>
  </si>
  <si>
    <t>ESCOCAR 0/10</t>
  </si>
  <si>
    <t>ESCORIA 0/10 mm</t>
  </si>
  <si>
    <t>COLOCACION 200 mts ALAMBRADO RECTO</t>
  </si>
  <si>
    <t>MADEFER X 200 LITROS</t>
  </si>
  <si>
    <t>REPUESTO LIQUIDO RAID</t>
  </si>
  <si>
    <t>BOLSA 50*70*30</t>
  </si>
  <si>
    <t>BOLSA 45*60*30</t>
  </si>
  <si>
    <t>ROLLO *3 DE COCINA</t>
  </si>
  <si>
    <t>PAPEL HIGIENICO * 80 MTS</t>
  </si>
  <si>
    <t>PASTILLA GLADE</t>
  </si>
  <si>
    <t>SOBRES BOLSA 350 UN</t>
  </si>
  <si>
    <t>CABLE SUBTERRANEO 2X2,5 SUB UPE4</t>
  </si>
  <si>
    <t>13/11/2023</t>
  </si>
  <si>
    <t>DIAS</t>
  </si>
  <si>
    <t>PORCENTAJE</t>
  </si>
  <si>
    <t>TOTAL PARCIAL</t>
  </si>
  <si>
    <t>FECHA 1</t>
  </si>
  <si>
    <t>Obras</t>
  </si>
  <si>
    <t>TERMINAL COBRE 4</t>
  </si>
  <si>
    <t>TERMINAL COBRE 6</t>
  </si>
  <si>
    <t xml:space="preserve">TERMINAL PREAISLADO AZUL </t>
  </si>
  <si>
    <t>PUNTERA TUBULAR PREAISLADA DE 1X25 MM</t>
  </si>
  <si>
    <t xml:space="preserve">TURCA 1 1/2 HIERRO ZINC </t>
  </si>
  <si>
    <t>CABLE COLOR 1X4 VERDE AMARILLO</t>
  </si>
  <si>
    <t>CABLE COLOR 1X2,5 CELESTE</t>
  </si>
  <si>
    <t>15/11/2023</t>
  </si>
  <si>
    <t>CUCHILLA OSC  IZQ FORJADA</t>
  </si>
  <si>
    <t>CUCHILLA OSC  DER FORJADA</t>
  </si>
  <si>
    <t>CUCHILLAS CORTADORA PASTO</t>
  </si>
  <si>
    <t>16/11/2023</t>
  </si>
  <si>
    <t>MARCHETTI JUAN JORGE</t>
  </si>
  <si>
    <t xml:space="preserve">RUTA N° 31 0 </t>
  </si>
  <si>
    <t>20-31772504-4</t>
  </si>
  <si>
    <t>AUTO COLALUCE</t>
  </si>
  <si>
    <t>SALCEDO WALTER</t>
  </si>
  <si>
    <t xml:space="preserve">GIRARDI BRUNO    </t>
  </si>
  <si>
    <t>SUIPACHA 1595</t>
  </si>
  <si>
    <t>20-41262024-1</t>
  </si>
  <si>
    <t>CABOS PALA</t>
  </si>
  <si>
    <t xml:space="preserve">JUAN ROBORTELLA </t>
  </si>
  <si>
    <t>17/11/2023</t>
  </si>
  <si>
    <t>FABRICAR BUJES DE ACERO 25*27*11mm</t>
  </si>
  <si>
    <t>FABRICAR TUERCA CASTILLO Y ROSCAR ENGAN</t>
  </si>
  <si>
    <t>FABRICAR BASE P/COMPRESOR</t>
  </si>
  <si>
    <t>MECANIZ Y ENCAMIZ COMP DIFERENCIAL</t>
  </si>
  <si>
    <t>21/11/2023</t>
  </si>
  <si>
    <t>REPUESTO COMPRESOR MOTONIVELADORA</t>
  </si>
  <si>
    <t>22/11/2023</t>
  </si>
  <si>
    <t>PROFORMA 48682755</t>
  </si>
  <si>
    <t>DIESEL X10 AXION</t>
  </si>
  <si>
    <t>29/11/2023</t>
  </si>
  <si>
    <t xml:space="preserve">CERRITO 1114 </t>
  </si>
  <si>
    <t>20-22652780-0</t>
  </si>
  <si>
    <t>NOCELLI ARIEL JESUS (COMARB)</t>
  </si>
  <si>
    <t>ASFALTO SOLIDO MOD EMBOLSADO * 30 KG</t>
  </si>
  <si>
    <t>FLETE PUERTA A PUERTA</t>
  </si>
  <si>
    <t>30/11/2023</t>
  </si>
  <si>
    <t>RUSSIGNAN SANDRA CARINA</t>
  </si>
  <si>
    <t>JUSTA LIMA 512</t>
  </si>
  <si>
    <t>27-22425956-0</t>
  </si>
  <si>
    <t>ROPA BORDADO</t>
  </si>
  <si>
    <t>DUYOS MARIANO ROBERTO</t>
  </si>
  <si>
    <t>ALBERDI 1247</t>
  </si>
  <si>
    <t xml:space="preserve">ZARATE </t>
  </si>
  <si>
    <t xml:space="preserve">BUENOS AIRES </t>
  </si>
  <si>
    <t>20-18538461-7</t>
  </si>
  <si>
    <t>SERVICIO DE HIDROGRUAS PLANTA TOYOTA</t>
  </si>
  <si>
    <t>SERVICIOS DE MANTENIMIENTO DE EPP</t>
  </si>
  <si>
    <t>GUANTE VAQUETA 1/2 PASEO</t>
  </si>
  <si>
    <t xml:space="preserve">GTE MOTEADO </t>
  </si>
  <si>
    <t>FLETES REALIZADOS TOSCA</t>
  </si>
  <si>
    <t>SIASA</t>
  </si>
  <si>
    <t>LURBET-BLANCO SERVICIOS</t>
  </si>
  <si>
    <t>AV EVA PERON 3978</t>
  </si>
  <si>
    <t>33-71815391-9</t>
  </si>
  <si>
    <t xml:space="preserve">MANO DE OBRA </t>
  </si>
  <si>
    <t>MANO DE OBRA Y REPUESTOS</t>
  </si>
  <si>
    <t>KIT DE SELLOS REPARAC CILINDRO 310J</t>
  </si>
  <si>
    <t>DESMONTAR Y MONTAR RADIADOR CAMBIAR</t>
  </si>
  <si>
    <t>14/12/2023</t>
  </si>
  <si>
    <t xml:space="preserve">REPARACION ALAMBRADO TOYOTA </t>
  </si>
  <si>
    <t>EL CANARIO TRANSPORTES Y MONT IND SACIFyA</t>
  </si>
  <si>
    <t>PERDRIEL 477</t>
  </si>
  <si>
    <t>30-51998567-1</t>
  </si>
  <si>
    <t xml:space="preserve">CINTA PELIGRO </t>
  </si>
  <si>
    <t>15/12/2023</t>
  </si>
  <si>
    <t xml:space="preserve">CUPLA RED </t>
  </si>
  <si>
    <t xml:space="preserve">ESPIGA PPL </t>
  </si>
  <si>
    <t xml:space="preserve">TEFLON ROLLO </t>
  </si>
  <si>
    <t>MEDICAMENTO (DOXI DE 300mg)</t>
  </si>
  <si>
    <t xml:space="preserve"> FLOWBOX.S.A</t>
  </si>
  <si>
    <t>30-68268660-6</t>
  </si>
  <si>
    <t>Manuel Ugarte 1667, 4° piso, Of 410</t>
  </si>
  <si>
    <t xml:space="preserve"> ALQUILER DE CONTENEDORES</t>
  </si>
  <si>
    <t>20/12/2023</t>
  </si>
  <si>
    <t>CONTRATACION Y SERVICIO DE LOGISTICA</t>
  </si>
  <si>
    <t>MALLA Q335</t>
  </si>
  <si>
    <t>H° CONST ALET 8</t>
  </si>
  <si>
    <t>H° CONST ALET 10</t>
  </si>
  <si>
    <t>H° CONST ALET 6</t>
  </si>
  <si>
    <t>REPARACION DE PLAYA DE CONTENEDORES</t>
  </si>
  <si>
    <t>21/12/2023</t>
  </si>
  <si>
    <t>TRANSPORTE ENTREGA</t>
  </si>
  <si>
    <t>HANDLING (2 CONTENEDORES)</t>
  </si>
  <si>
    <t>ALQUILER OF 20 ALQUILER ENERO</t>
  </si>
  <si>
    <t>ALQUILER OF 40 ALQUILER FEBRERO</t>
  </si>
  <si>
    <t>ALQUILER OF 40 ALQUILER ENERO</t>
  </si>
  <si>
    <t>ALQUILER OF 20 ALQUILER FEBERO</t>
  </si>
  <si>
    <t>H°CONST. ALET 8</t>
  </si>
  <si>
    <t>H°CONST. ALET 10</t>
  </si>
  <si>
    <t>H°CONST. ALET 6</t>
  </si>
  <si>
    <t>TOYOTA- REP DE PLAYA DE CONTENEDORES</t>
  </si>
  <si>
    <t>FORMA DE PAGO</t>
  </si>
  <si>
    <t>F. DE PAGO:</t>
  </si>
  <si>
    <t>TOYOTA-ESTACIONAMIENTOS EXTERNOS</t>
  </si>
  <si>
    <t>CONTADO ANTICIPADO</t>
  </si>
  <si>
    <t>26/12/2023</t>
  </si>
  <si>
    <t>CLASIFICACION DE SUELOS HB Y SUCS</t>
  </si>
  <si>
    <t>ENSAYO DCP</t>
  </si>
  <si>
    <t>COSTANERA SUR</t>
  </si>
  <si>
    <t>CONTRA ENTREGA DE INFORME</t>
  </si>
  <si>
    <t>BATERIA PARA CAMIONETA AMAROK</t>
  </si>
  <si>
    <t>27/12/2023</t>
  </si>
  <si>
    <t>LIQUIDO MAXIMA COMPRESION</t>
  </si>
  <si>
    <t>28/12/2023</t>
  </si>
  <si>
    <t>PRODUOBRA S.R.L.</t>
  </si>
  <si>
    <t>INSCRIPTO</t>
  </si>
  <si>
    <t>33-71700600-9</t>
  </si>
  <si>
    <t xml:space="preserve">CURING BTX200 LTS </t>
  </si>
  <si>
    <t>PAPELERA DEL PLATA- ACC CALLE 3</t>
  </si>
  <si>
    <t>CHEQUE 21 DIAS FF</t>
  </si>
  <si>
    <t>DIESEL QUANTIUM  (LITRO)</t>
  </si>
  <si>
    <t>DIESEL X10 (LITRO)</t>
  </si>
  <si>
    <t>DEPOSITO COMBUSTIBLE</t>
  </si>
  <si>
    <t>CHEQUE 15 DIAS FF</t>
  </si>
  <si>
    <t>DIESEL QUANTUM (LITRO)</t>
  </si>
  <si>
    <t>JORGE ROBOTELLA</t>
  </si>
  <si>
    <t>DESPOSITO</t>
  </si>
  <si>
    <t>ECHEQ 15 DIAS FF</t>
  </si>
  <si>
    <t>CHA ANT S/M 1/8¨ 1245*3000 (KG)</t>
  </si>
  <si>
    <t>ANG 2*3/16 (50,8*4,8)  6MTS</t>
  </si>
  <si>
    <t>ARAUCO- HORNO TOCCHIO</t>
  </si>
  <si>
    <t>A CONVENIR</t>
  </si>
  <si>
    <t>ECHEQ 30 DIAS FF</t>
  </si>
  <si>
    <t xml:space="preserve">MALL Q-131 15X15X5 MM 6X 2.40 </t>
  </si>
  <si>
    <t>PAPEL HIGIENICO X 4 UNIDADES 80 METROS</t>
  </si>
  <si>
    <t>ROLLOS DE COCINA X 3 UNIDADES</t>
  </si>
  <si>
    <t>DETERGENTE MAGISTRAL</t>
  </si>
  <si>
    <t xml:space="preserve">LAVANDINA EN GEL </t>
  </si>
  <si>
    <t>REPUESTO RAID LIQUIDO</t>
  </si>
  <si>
    <t>DESODORANTE PARA PISO BIDON</t>
  </si>
  <si>
    <t xml:space="preserve">BOLSA DE CONSORCIO GRANDE </t>
  </si>
  <si>
    <t>REPUESTO DE CIF ULTRA BRILLO PARA MUEBLES</t>
  </si>
  <si>
    <t>BOLSAS DE CONSORCIO CHICA</t>
  </si>
  <si>
    <t>UN TACHO DE BASURA CHICO</t>
  </si>
  <si>
    <t>PISTOLA P/SACHET</t>
  </si>
  <si>
    <t>ROBORTELLA JUAN</t>
  </si>
  <si>
    <t>TRANSFERENCIA</t>
  </si>
  <si>
    <t>TOYOTA-PLAYA EXTERIOR</t>
  </si>
  <si>
    <t>CARTEL 1200X400</t>
  </si>
  <si>
    <t>CALCO 1500X900</t>
  </si>
  <si>
    <t>CALCO 1800X1000</t>
  </si>
  <si>
    <t>VIALIDAD PROVINCIAL RUTA N 31</t>
  </si>
  <si>
    <t>50% ANTICIPADO Y 50% CONTRA ENTREGA</t>
  </si>
  <si>
    <t>HORMIGON HAB RAPIDA A 48 HS</t>
  </si>
  <si>
    <t>PAPELERA DEL PLATA-ACC 3</t>
  </si>
  <si>
    <t>ECHEQ 10-20-30 DIAS FF</t>
  </si>
  <si>
    <t>1 HOJA DE PORTON DE 6 MTS TEJIDO 2"</t>
  </si>
  <si>
    <t>1 HOJA DE PORTON DE 4 MTS. TEJIDO 2"</t>
  </si>
  <si>
    <t>COLOCACION DE SOPOTES EN PISO AMURADO</t>
  </si>
  <si>
    <t>50% ANTICIPADO 50% CONTRA CERTIFICACION</t>
  </si>
  <si>
    <t>TOYOTA- ESTACIONAMIENTOS EXTERNOS</t>
  </si>
  <si>
    <t>SELLADORES PU 50X600CC</t>
  </si>
  <si>
    <t>TOYOTA-TOMADO DE JUNTAS</t>
  </si>
  <si>
    <t>E-CHEQ 21 DIAS FF</t>
  </si>
  <si>
    <t>HORMIGON HABILITACION RAPIDA 48 HS</t>
  </si>
  <si>
    <t>PAPELERA DEL PLATA - ACC 3</t>
  </si>
  <si>
    <t>17/1/2024</t>
  </si>
  <si>
    <t>DESARME Y ARME NFQ041</t>
  </si>
  <si>
    <t>REJILLA</t>
  </si>
  <si>
    <t>50% ANTICIPADO -50 % CHEQUE 30 DIAS FF</t>
  </si>
  <si>
    <t>PAPELERA DEL PLATA- ACCESO 3</t>
  </si>
  <si>
    <t>19/1/2024</t>
  </si>
  <si>
    <t>SERV NEUMATICO</t>
  </si>
  <si>
    <t>JUAN ROBRTELLA</t>
  </si>
  <si>
    <t>PLACA DE COJINETE</t>
  </si>
  <si>
    <t>MANO DE OBRA OTROS</t>
  </si>
  <si>
    <t>MANO DE OBRA RADIALES</t>
  </si>
  <si>
    <t>SEGÚN PROFORMA 49894405</t>
  </si>
  <si>
    <t>PAGO TARJETA CREDITO</t>
  </si>
  <si>
    <t>22/1/2024</t>
  </si>
  <si>
    <t>JUEGO DE JUNTAS</t>
  </si>
  <si>
    <t xml:space="preserve">PANTALLA GUARDAPOLVO </t>
  </si>
  <si>
    <t>MANDRIL</t>
  </si>
  <si>
    <t>SEGÚN PROFORMA N 49894332</t>
  </si>
  <si>
    <t>PAGO CON TARJETA CREDITO</t>
  </si>
  <si>
    <t>LAMPARAS LED 100W</t>
  </si>
  <si>
    <t>FOTOCELULA</t>
  </si>
  <si>
    <t>REFLECTOR 20W</t>
  </si>
  <si>
    <t>ESTEBAN Y JORGE ROBORTELLA</t>
  </si>
  <si>
    <t xml:space="preserve">CASA ESTEBAN Y JORGE R </t>
  </si>
  <si>
    <t>25/1/2024</t>
  </si>
  <si>
    <t>CAMBIO ACEITE Y FILTROS TORO</t>
  </si>
  <si>
    <t>REPARACION NFQ041</t>
  </si>
  <si>
    <t>NFQ041</t>
  </si>
  <si>
    <t>BATERIA PARA TORO WILLARD</t>
  </si>
  <si>
    <t>REPARACION DE CAMIONETA</t>
  </si>
  <si>
    <t>KIT FILTROS CHEVROLET AGILE</t>
  </si>
  <si>
    <t>AGILE IMM009</t>
  </si>
  <si>
    <t>14/2/2024</t>
  </si>
  <si>
    <t>BATERIA PARA CAMIONETA VOLKSWAGEN</t>
  </si>
  <si>
    <t>CAMIONETA PIZ537</t>
  </si>
  <si>
    <t>CAÑO DE 20 AGUA</t>
  </si>
  <si>
    <t>LLAVE DE PASO DE 20 CON CAMP</t>
  </si>
  <si>
    <t>TEE DE 20</t>
  </si>
  <si>
    <t>TEE DE 20 X 1/2</t>
  </si>
  <si>
    <t>CODO DE 20 A90</t>
  </si>
  <si>
    <t>CODO DE 20 A45</t>
  </si>
  <si>
    <t>CUPLAS DE 20</t>
  </si>
  <si>
    <t>CODO DE 20 X 1/2</t>
  </si>
  <si>
    <t>BUJE DE 3/4 A 1/2 BRONCE</t>
  </si>
  <si>
    <t>TUBO MACHO DE 20 X 1/2</t>
  </si>
  <si>
    <t xml:space="preserve">TEFLON DE ALTA X40 </t>
  </si>
  <si>
    <t>SELLADOR MEDIANO</t>
  </si>
  <si>
    <t>FLEXIBLE DE 1/2 X25</t>
  </si>
  <si>
    <t>FLEXIBLE DE 1/2 X 30</t>
  </si>
  <si>
    <t>GRAMPAS OMEGA 3/4</t>
  </si>
  <si>
    <t xml:space="preserve">SEGÚN PROVEEDOR </t>
  </si>
  <si>
    <t>16/2/2024</t>
  </si>
  <si>
    <t>SEGÚN PROVEEDOR</t>
  </si>
  <si>
    <t>FLEX DESCARGA JOLLY DE 40</t>
  </si>
  <si>
    <t>ADIPOXI INYECCION - JUEGOS PREDOSIFICADOS</t>
  </si>
  <si>
    <t>TRANSFERENCIA ANTICIPADO</t>
  </si>
  <si>
    <t>20/2/2024</t>
  </si>
  <si>
    <t>CUADERNO A4 TAPA DURA</t>
  </si>
  <si>
    <t>CUADERNO A4 ANILLADO RALLADO</t>
  </si>
  <si>
    <t>LAPICERAS AZULES</t>
  </si>
  <si>
    <t>LAPICERAS NEGRAS</t>
  </si>
  <si>
    <t>DEPOSITO OFICINA</t>
  </si>
  <si>
    <t>22/2/2024</t>
  </si>
  <si>
    <t>LLAVES JUEGOS</t>
  </si>
  <si>
    <t>26/2/2024</t>
  </si>
  <si>
    <t>SERVO EMBRAGUE TACHO VERDE</t>
  </si>
  <si>
    <t xml:space="preserve">10 DS FF </t>
  </si>
  <si>
    <t>10 DS FF</t>
  </si>
  <si>
    <t>BOMBIN EMBRAGUE 619</t>
  </si>
  <si>
    <t>LIQUIDO FRENO</t>
  </si>
  <si>
    <t>DEPOSITO3</t>
  </si>
  <si>
    <t>ACTUALIZACION CAPACIDAD EN PROV 2024</t>
  </si>
  <si>
    <t>14/3/2024</t>
  </si>
  <si>
    <t>EXTINTORES NUEVOS 1 KG ABC POLVO</t>
  </si>
  <si>
    <t>MANTENIMIENTOS EXT 2,5 KG ABC POLVO</t>
  </si>
  <si>
    <t>MANTENIMIENTOS EXT 5 KG ABC POLVO</t>
  </si>
  <si>
    <t>MANTENIMIENTOS EXT 1 KG ABC POLVO</t>
  </si>
  <si>
    <t>26/3/2024</t>
  </si>
  <si>
    <t>SUCESION DE CUERTIS JUAN DE DIOS CEFERIN</t>
  </si>
  <si>
    <t>PERU 40</t>
  </si>
  <si>
    <t>20-11305994-0</t>
  </si>
  <si>
    <t>PANTALONES</t>
  </si>
  <si>
    <t xml:space="preserve">CHOMBAS </t>
  </si>
  <si>
    <t>CINTO</t>
  </si>
  <si>
    <t xml:space="preserve">PARAGUAS </t>
  </si>
  <si>
    <t>PRESUPUESTO N 232063</t>
  </si>
  <si>
    <t>CHEQUE 30 DIAS FF</t>
  </si>
  <si>
    <t>LUMINARIA PHILIPS  BRP 483 LED216/CW</t>
  </si>
  <si>
    <t>SEGÚN PRESUPUESTO N°232288</t>
  </si>
  <si>
    <t>CAMISAS MG</t>
  </si>
  <si>
    <t>PANTALON CARGO</t>
  </si>
  <si>
    <t>JORGE R (h)</t>
  </si>
  <si>
    <t>13/4/2024</t>
  </si>
  <si>
    <t>AMAROK KJK767</t>
  </si>
  <si>
    <t>BATERIA</t>
  </si>
  <si>
    <t>16/4/2024</t>
  </si>
  <si>
    <t>PLANCHA DE TELGOPOR ALTA DENSIDAD</t>
  </si>
  <si>
    <t>FILTROS MANFILTER P 917</t>
  </si>
  <si>
    <t>13/5/2024</t>
  </si>
  <si>
    <t>LLAVE TUBO</t>
  </si>
  <si>
    <t>FEDE COSCI</t>
  </si>
  <si>
    <t>CALEFACTOR OFICINA</t>
  </si>
  <si>
    <t>BOQUILLA BULON CZA HEXG VMCA 25 1/4</t>
  </si>
  <si>
    <t xml:space="preserve">LLAVE FRANCESA </t>
  </si>
  <si>
    <t>CALEFACTORES</t>
  </si>
  <si>
    <t>JORGE ROBORTELLA ( h)</t>
  </si>
  <si>
    <t>REPARACION AUTO PERSONAL</t>
  </si>
  <si>
    <t>JUEGO DE PASTILLAS FRENO P.2008</t>
  </si>
  <si>
    <t>JORGE ROBORTELLA (h )</t>
  </si>
  <si>
    <t>AUTO PARTICULAR</t>
  </si>
  <si>
    <t>FUELLE DE CAJA P.2008</t>
  </si>
  <si>
    <t xml:space="preserve"> PINTURA CIELO RASO 10 LTS</t>
  </si>
  <si>
    <t>14/5/2024</t>
  </si>
  <si>
    <t>FRATACHOS  DE 45</t>
  </si>
  <si>
    <t>ROBORTELLA JORGE ( h )</t>
  </si>
  <si>
    <t>SEGÚN PROVEDOR</t>
  </si>
  <si>
    <t>AMORTIGUADOR DE CABINA</t>
  </si>
  <si>
    <t>JORGE ROBORTELLA ( h )</t>
  </si>
  <si>
    <t>CAMION</t>
  </si>
  <si>
    <t>CTA CTE 20 DIAS FECHA FACT</t>
  </si>
  <si>
    <t>FILTROS W 962</t>
  </si>
  <si>
    <t>JORGE ROBORTELLA ( H )</t>
  </si>
  <si>
    <t>MAQUINAS</t>
  </si>
  <si>
    <t>15/5/2024</t>
  </si>
  <si>
    <t>TONER D 111 S</t>
  </si>
  <si>
    <t>FERNANDA MONTIVEROS</t>
  </si>
  <si>
    <t>FILM POL NEGRO 5 X 100 MC X 100</t>
  </si>
  <si>
    <t xml:space="preserve">FILM POL NEGRO 5X 200 MC X50 </t>
  </si>
  <si>
    <t xml:space="preserve">AGOSTINA </t>
  </si>
  <si>
    <t>ARAUCO OBRA CIVIL HORNO TOCCHIO</t>
  </si>
  <si>
    <t>17/5/2024</t>
  </si>
  <si>
    <t>W962 FILTRO</t>
  </si>
  <si>
    <t>FAP 7007</t>
  </si>
  <si>
    <t>ALEX 35163</t>
  </si>
  <si>
    <t>W712/52</t>
  </si>
  <si>
    <t>W/C613/3</t>
  </si>
  <si>
    <t>GALPON</t>
  </si>
  <si>
    <t>21/5/2024</t>
  </si>
  <si>
    <t>REPUESTOS PROTECTORES FACIALES</t>
  </si>
  <si>
    <t>AGOSTNA TORCHIANA</t>
  </si>
  <si>
    <t>BOLSAS DE TRAPOS</t>
  </si>
  <si>
    <t xml:space="preserve">CAJAS DE DISCOS </t>
  </si>
  <si>
    <t>OBRA CAREM</t>
  </si>
  <si>
    <t>CUCHARA DE ALBAÑIL</t>
  </si>
  <si>
    <t>NIVEL DE BURBUJA 60CM</t>
  </si>
  <si>
    <t xml:space="preserve">FRATACHO DE PINO </t>
  </si>
  <si>
    <t>MAZA DE ALBAÑIL</t>
  </si>
  <si>
    <t>PROTECTOR AUDITIVO</t>
  </si>
  <si>
    <t>CINTA DE PAPEL</t>
  </si>
  <si>
    <t>MARTILLO SACACLAVOS</t>
  </si>
  <si>
    <t>PLANCHA DE TELGOPOR</t>
  </si>
  <si>
    <t>BOLSA DE TRAPOS</t>
  </si>
  <si>
    <t>MARTILLOS</t>
  </si>
  <si>
    <t>aa</t>
  </si>
  <si>
    <t>cc</t>
  </si>
  <si>
    <t>22/5/2024</t>
  </si>
  <si>
    <t>CERTI ONE S.R.L.</t>
  </si>
  <si>
    <t>PUJOL 1031</t>
  </si>
  <si>
    <t>30-71756314-6</t>
  </si>
  <si>
    <t>FLOWBOX.S.A</t>
  </si>
  <si>
    <t>MTS.CAÑOHA 600X1200MM</t>
  </si>
  <si>
    <t>MTS.CAÑOHA500*1200MM</t>
  </si>
  <si>
    <t>MTS.CAÑOHA400*1200MM</t>
  </si>
  <si>
    <t>JOGE ROBORTELLA</t>
  </si>
  <si>
    <t>0-15-30-45-60</t>
  </si>
  <si>
    <t>23/5/2024</t>
  </si>
  <si>
    <t>ZINGUERIA</t>
  </si>
  <si>
    <t>CABLE</t>
  </si>
  <si>
    <t>24/5/2024</t>
  </si>
  <si>
    <t>bb</t>
  </si>
  <si>
    <t>CONTACTO AUXILIAR SCHNEIDER LAND 31C</t>
  </si>
  <si>
    <t>CONTACTO AUXILIAR SCHNEIDER LAND 22C2</t>
  </si>
  <si>
    <t>SEGÚN PROFORMA N 929903211</t>
  </si>
  <si>
    <t>DX CARTUCHO 6,8/11 M10 ROJO</t>
  </si>
  <si>
    <t>CLAVO PARA HORMIGON X-C62 P8</t>
  </si>
  <si>
    <t>29/5/2024</t>
  </si>
  <si>
    <t>ZAPATOS DE SEGURIDAD TALLE 45/46</t>
  </si>
  <si>
    <t>HIERRO ALETADO  6MM 12MTS</t>
  </si>
  <si>
    <t>BARRIO CATEMA ( ESTEBAN ROBORTELLA )</t>
  </si>
  <si>
    <t>30/5/2024</t>
  </si>
  <si>
    <t>DESARME  ARME DE DIFERENCIAL</t>
  </si>
  <si>
    <t>CAMBIO DE PALIER</t>
  </si>
  <si>
    <t>OBRA CARDALES</t>
  </si>
  <si>
    <t>15 Y 30 DIAS FECHA FACTURA</t>
  </si>
  <si>
    <t>0-30-60-90 FF</t>
  </si>
  <si>
    <t>2 CUIERTAS FATE 11LX16</t>
  </si>
  <si>
    <t>2 CUBIERTAS FATE  12X16X5</t>
  </si>
  <si>
    <t xml:space="preserve"> 2 CUBIERTAS FATE  750X16</t>
  </si>
  <si>
    <t xml:space="preserve">GUANTE VAQUETA  1/2 PASEO </t>
  </si>
  <si>
    <t>20-40-60 FF</t>
  </si>
  <si>
    <t>CUBIERTAS FATE 750X16</t>
  </si>
  <si>
    <t>CUBIERTAS FATE 12X16X5</t>
  </si>
  <si>
    <t>CUBIERTAS FATE 11LX16</t>
  </si>
  <si>
    <t>BROCAS P/HORMIGON DEL 12 C/TORNILLO</t>
  </si>
  <si>
    <t>31/5/2024</t>
  </si>
  <si>
    <t xml:space="preserve"> ANGULOS DE 1 1/2 "X 3X16"X 6000 AISI 304</t>
  </si>
  <si>
    <t>E-CHEQ 15 DIAS</t>
  </si>
  <si>
    <t>COLECTORA SUR RUC NAC 9 1775</t>
  </si>
  <si>
    <t>30-69724682-3</t>
  </si>
  <si>
    <t>TOYOTA PANAMERICANA</t>
  </si>
  <si>
    <t>IJ TAPA DEPOSITO RAD</t>
  </si>
  <si>
    <t>JORGE ROOBORTELLA ( h )</t>
  </si>
  <si>
    <t>CAMIONETA JORGE HIJO</t>
  </si>
  <si>
    <t>30 mts de cable sintenac 2x4 mm2</t>
  </si>
  <si>
    <t>PARTICULAR</t>
  </si>
  <si>
    <t>HORMIGON 11,5 M3 DE HR A 48 HS</t>
  </si>
  <si>
    <t>PARAGOLPE ANTERIOR</t>
  </si>
  <si>
    <t>E-CHEQ 30 DIAS FF</t>
  </si>
  <si>
    <t>IVECO CURSOS LXJ 488</t>
  </si>
  <si>
    <t>IVECO CURSOR LXJ 488</t>
  </si>
  <si>
    <t>E-CHEQ 30 DIAS</t>
  </si>
  <si>
    <t xml:space="preserve">VALVULA BRONCE ESFERICA ASIENTO PTFE </t>
  </si>
  <si>
    <t>COMPENSACION ALQ.JUNIO 2024</t>
  </si>
  <si>
    <t>ROBERTO ZARDO SERVICIOS INDUSTRIALES S.A.</t>
  </si>
  <si>
    <t>AMEGHINO 220</t>
  </si>
  <si>
    <t>30-71662390-0</t>
  </si>
  <si>
    <t>H30</t>
  </si>
  <si>
    <t>H21</t>
  </si>
  <si>
    <t>30-60 DIAS FF</t>
  </si>
  <si>
    <t>H30/15 PP6/20</t>
  </si>
  <si>
    <t>H21 CN 6/20</t>
  </si>
  <si>
    <t>30 Y 60 DIAS FF</t>
  </si>
  <si>
    <t>PACK BOBINA ORIGINAL X 4 UNIDADES</t>
  </si>
  <si>
    <t>BATERIA MATEO</t>
  </si>
  <si>
    <t>CATEMA VILLAGE</t>
  </si>
  <si>
    <t>30-45 FF</t>
  </si>
  <si>
    <t>HIERRO ALETADO 6MM 12MTS</t>
  </si>
  <si>
    <t>ANG 1 1/2 * 1/8</t>
  </si>
  <si>
    <t>PLANCHA 1 1/4 *1/4</t>
  </si>
  <si>
    <t>13/6/2024</t>
  </si>
  <si>
    <t>CHEQUE 30-45 FF</t>
  </si>
  <si>
    <t>ANG 1 1/2 * 1/8 6MTS ( 9 UNIDADES )</t>
  </si>
  <si>
    <t>PLANCH 1 1/4 *1/4 ( 40 unidades )</t>
  </si>
  <si>
    <t>HIERRO ALETADO 6MM 12MTS ( 2 unidades )</t>
  </si>
  <si>
    <t>14/6/2024</t>
  </si>
  <si>
    <t>INFORMES LABORATORIO</t>
  </si>
  <si>
    <t xml:space="preserve">HORMIGON HR  M3 </t>
  </si>
  <si>
    <t>RECAPADO  CUBIERTAS</t>
  </si>
  <si>
    <t>RADIADOR DE AGUA</t>
  </si>
  <si>
    <t>19/6/2024</t>
  </si>
  <si>
    <t>SELLADOR MULTIUSO PERBOND</t>
  </si>
  <si>
    <t>BULONES</t>
  </si>
  <si>
    <t>CARLOS GONZALEZ</t>
  </si>
  <si>
    <t>HORMIGON HAB RAPIDA a 48HS.</t>
  </si>
  <si>
    <t>24/6/2024</t>
  </si>
  <si>
    <t>HORMIGON HAB. RAPIDA A 48 HS.</t>
  </si>
  <si>
    <t>CERRADURA DE DOBLE PALETA</t>
  </si>
  <si>
    <t>26/6/2024</t>
  </si>
  <si>
    <t>PICAPORTE</t>
  </si>
  <si>
    <t xml:space="preserve">DIESEL X10 AXION AGRO </t>
  </si>
  <si>
    <t>TECLADO</t>
  </si>
  <si>
    <t>ANTONELLA TORCHIANA</t>
  </si>
  <si>
    <t>SEGÚN RPOVEEDOR</t>
  </si>
  <si>
    <t>PLAVICON FIBRADO BLANCO X 20K</t>
  </si>
  <si>
    <t>ELG RODILLO CUBREMAS N22</t>
  </si>
  <si>
    <t xml:space="preserve">VENIER VENDA 20 CM X 25MT </t>
  </si>
  <si>
    <t>CASA CARLOS ( ADELMA )</t>
  </si>
  <si>
    <t>28/6/2024</t>
  </si>
  <si>
    <t xml:space="preserve">BALANCEO DE CAMION </t>
  </si>
  <si>
    <t>CAMION NBY 350</t>
  </si>
  <si>
    <t>INGENIERIA GH VIAL S.R.L</t>
  </si>
  <si>
    <t>30-71546876-6</t>
  </si>
  <si>
    <t>DE LA AMISTAD 4188</t>
  </si>
  <si>
    <t>SUELO TOSCA  MTS3</t>
  </si>
  <si>
    <t>AGCO GRAL RODRIGUEZ</t>
  </si>
  <si>
    <t>30 DIAS FF</t>
  </si>
  <si>
    <t>H30/15 PP6/20 M3</t>
  </si>
  <si>
    <t>HORMIGON H21 CON 6/20 M3</t>
  </si>
  <si>
    <t>SUELO CEMENTO 70/30</t>
  </si>
  <si>
    <t>SUELO CEMENTO 80/20</t>
  </si>
  <si>
    <t>PAGO A CONVENIR</t>
  </si>
  <si>
    <t>FILM-CAR</t>
  </si>
  <si>
    <t>FELIX PAGOLA Y GRAL PAZ</t>
  </si>
  <si>
    <t>POLARIZADO FIAT TORO AA689VW</t>
  </si>
  <si>
    <t>FIAT TORO AA689VW</t>
  </si>
  <si>
    <t>SORENTO  MAQUINARIAS S.R.L.</t>
  </si>
  <si>
    <t xml:space="preserve">RUTA 21 KM7 </t>
  </si>
  <si>
    <t>ALVERAR</t>
  </si>
  <si>
    <t>30-50606135-7</t>
  </si>
  <si>
    <t>30 MOLDES</t>
  </si>
  <si>
    <t>0-30-60 FF</t>
  </si>
  <si>
    <t>DIAS RUBEN DARIO</t>
  </si>
  <si>
    <t>ENRIQUE SANTAMARINA 1068</t>
  </si>
  <si>
    <t>MONTE GRANDE</t>
  </si>
  <si>
    <t>20-28308255-9</t>
  </si>
  <si>
    <t>TN PIEDRA 10-30</t>
  </si>
  <si>
    <t>AGCO ARGENTINA</t>
  </si>
  <si>
    <t>CERTIFICACION DE EQUIPO</t>
  </si>
  <si>
    <t>CERTIFICACION DE OPERADOR</t>
  </si>
  <si>
    <t>DEPOSITO.</t>
  </si>
  <si>
    <t xml:space="preserve">MOLDES </t>
  </si>
  <si>
    <t xml:space="preserve">0-30-60 FF </t>
  </si>
  <si>
    <t>X10</t>
  </si>
  <si>
    <t>JORGE ROBORTELLA (H )</t>
  </si>
  <si>
    <t>UREA CONTENEDOR</t>
  </si>
  <si>
    <t>E-CHEQ 15 DIAS FF ( 10/07/2024)</t>
  </si>
  <si>
    <t>15/7/2024</t>
  </si>
  <si>
    <t>REPARACION RUEDA MINIPALA</t>
  </si>
  <si>
    <t>MINIPALA</t>
  </si>
  <si>
    <t>17/7/2024</t>
  </si>
  <si>
    <t xml:space="preserve">fotocelula univ. c/sensor fototrans int </t>
  </si>
  <si>
    <t>CASA AGOSTINA</t>
  </si>
  <si>
    <t>22/7/2024</t>
  </si>
  <si>
    <t>sensor de movimiento parede/techo AC220</t>
  </si>
  <si>
    <t>CASA DE AGOSTINA</t>
  </si>
  <si>
    <t xml:space="preserve">fotocelula univ.c/sensor fototrans </t>
  </si>
  <si>
    <t>PORTERO INALAMBRICO</t>
  </si>
  <si>
    <t>ARTEFACTO DE VIDRIO PARA EXTERIOR</t>
  </si>
  <si>
    <t>PLACA SUPERBOARD B. RECTO 6MM</t>
  </si>
  <si>
    <t>PERFIL OMEGA X 2,60</t>
  </si>
  <si>
    <t>MASILLA/ENDUIDO MAROPOR</t>
  </si>
  <si>
    <t>MASILLA EXTERIOR MAROPOR 1,5 KG</t>
  </si>
  <si>
    <t>TORNILLO T2 AGUJA</t>
  </si>
  <si>
    <t>TARUGO 8 CON TOPE Y TORNILLO X U</t>
  </si>
  <si>
    <t xml:space="preserve">CINTA TRAMADA X 20 M </t>
  </si>
  <si>
    <t>23/7/2024</t>
  </si>
  <si>
    <t>JDC SEGURIDAD INDUSTRIAL</t>
  </si>
  <si>
    <t>ALSINA 10</t>
  </si>
  <si>
    <t>30-71826198-4</t>
  </si>
  <si>
    <t>BOMBACHA DE CAMPO LISA VERDE T 40</t>
  </si>
  <si>
    <t>PANTALON CARGO CAZADOR AZUL T 46</t>
  </si>
  <si>
    <t>PANTALON CARGO CAZADOR AZUL T 48</t>
  </si>
  <si>
    <t>PANTALON CARGO CAZADOR BEIGE T46</t>
  </si>
  <si>
    <t>ZAPATO PRUSIANO OMBU T 44</t>
  </si>
  <si>
    <t>BOMBACHA DE CAMPO  LISA BEIGE T 40</t>
  </si>
  <si>
    <t>EFECTIVO C/DESCUENTO</t>
  </si>
  <si>
    <t>TRANSFERENCIA BANCARIA</t>
  </si>
  <si>
    <t xml:space="preserve">CERTIFICADO DE LEY 10490  </t>
  </si>
  <si>
    <t>A CONFIRMAR</t>
  </si>
  <si>
    <t>QUANTIUM</t>
  </si>
  <si>
    <t>X10 DIESEL</t>
  </si>
  <si>
    <t>DON GINO- ENZO VALLE</t>
  </si>
  <si>
    <t xml:space="preserve">DR JONAS SALK 220 </t>
  </si>
  <si>
    <t>20-25691088-9</t>
  </si>
  <si>
    <t>TAZAS COMPLETAS C/JUNTAS Y TAPAS</t>
  </si>
  <si>
    <t>25/7/2024</t>
  </si>
  <si>
    <t>JEAN AMERICA TALLE 46</t>
  </si>
  <si>
    <t>PANTALON CORDOBA TALLE 48</t>
  </si>
  <si>
    <t>ROPA TRABAJO</t>
  </si>
  <si>
    <t>26/7/2024</t>
  </si>
  <si>
    <t>LAMPARA CAMPANA T FORCE HB 50W PHILIPS</t>
  </si>
  <si>
    <t>BATERIAS MATEO BM825</t>
  </si>
  <si>
    <t xml:space="preserve">JORGE ROBORTELLA ( h ) </t>
  </si>
  <si>
    <t xml:space="preserve">DURALBA BLANCO X 4L </t>
  </si>
  <si>
    <t>SEGÚN PROVEEEDOR</t>
  </si>
  <si>
    <t>DESIGN GRIS CINCEL X 1L</t>
  </si>
  <si>
    <t>DELFIN 264 PINCEL N15</t>
  </si>
  <si>
    <t>ELG RODILLO CUBREMAS N17</t>
  </si>
  <si>
    <t>RELUCE NATURAL X 4 LTS</t>
  </si>
  <si>
    <t>0-15-30 FF</t>
  </si>
  <si>
    <t xml:space="preserve">POSTE H INTERMEDIO HORMIGON ( 133 MTS )  </t>
  </si>
  <si>
    <t>PANEL HUECO HORMIGON  ( 249MTS2)</t>
  </si>
  <si>
    <t>REDONDEO</t>
  </si>
  <si>
    <t>TONER D111 S</t>
  </si>
  <si>
    <t>ADAPTADOR VGA A HDMI</t>
  </si>
  <si>
    <t xml:space="preserve">TUBO EST CUAD 50 X50 X 1,6MM ( KG ) </t>
  </si>
  <si>
    <t xml:space="preserve">RED HERRERO 9/16- 14,3 / ( KG ) </t>
  </si>
  <si>
    <t>PLANCH 1 1/4 * 3/16 ( KG )</t>
  </si>
  <si>
    <t>TUBO EST RECT 20 X 50 X 1,6MM ( KG )</t>
  </si>
  <si>
    <t>TUBO EST CUAD 50 X 50 ( KG )</t>
  </si>
  <si>
    <t>RED .HERRERO 9/16 - 14.3 MM ( KG )</t>
  </si>
  <si>
    <t xml:space="preserve">PLANCH 1 1/4 *3/16 ( KG ) </t>
  </si>
  <si>
    <t>TUBO EST RECT 20 X 50 X 1,6 MM ( KG )</t>
  </si>
  <si>
    <t>30-60 FF</t>
  </si>
  <si>
    <t xml:space="preserve">PLUVIUS BOMBA PRESURIZADORA 100W </t>
  </si>
  <si>
    <t>CHEQUE FISICO</t>
  </si>
  <si>
    <t>13/8/2024</t>
  </si>
  <si>
    <t>CAMARA 600-9</t>
  </si>
  <si>
    <t xml:space="preserve">JORGE ROBORTELLA HIJO </t>
  </si>
  <si>
    <t>22/8/2024</t>
  </si>
  <si>
    <t>JORGE ROBORTELLA ( HIJO )</t>
  </si>
  <si>
    <t>SELLADORES POLIURETANICOS</t>
  </si>
  <si>
    <t>SEGÚN PROVEEDOR.</t>
  </si>
  <si>
    <t>ANG 1 * 1/8 ( 25,4 * 3,2 ) 6 MTS</t>
  </si>
  <si>
    <t>26/8/2024</t>
  </si>
  <si>
    <t>ADIPOXI INYECCION X 1KG</t>
  </si>
  <si>
    <t>TRF 100%</t>
  </si>
  <si>
    <t>27/8/2024</t>
  </si>
  <si>
    <t>COPIA DE LLAVE</t>
  </si>
  <si>
    <t>30/8/2024</t>
  </si>
  <si>
    <t>CAMPERA TRK</t>
  </si>
  <si>
    <t>SEGÚN PROVEEDORR</t>
  </si>
  <si>
    <t>LAMPARA DE ESCRITORIO</t>
  </si>
  <si>
    <t>CASA JORGE R (h)</t>
  </si>
  <si>
    <t xml:space="preserve">LAMPARA LED </t>
  </si>
  <si>
    <t xml:space="preserve">REPARAR, SOLDAR Y COLOCAR REFUERZOS DE </t>
  </si>
  <si>
    <t>PUMA DIESEL X LT</t>
  </si>
  <si>
    <t>15 DIAS FF</t>
  </si>
  <si>
    <t>MEMORIA CALCULOS CAMARAS HORMIGON</t>
  </si>
  <si>
    <t>PLANOS ARMADOS</t>
  </si>
  <si>
    <t>COMPUTO DE MATERIALES</t>
  </si>
  <si>
    <t>CENTRY ATUCHA</t>
  </si>
  <si>
    <t>CAJA DE ROLLOS DE ALAMBRE</t>
  </si>
  <si>
    <t>TRANSFERENCIA ANTES DEL 13/09</t>
  </si>
  <si>
    <t>PUMA DIESEL</t>
  </si>
  <si>
    <t xml:space="preserve">PUMA DIESEL </t>
  </si>
  <si>
    <t>ECHEQ 0-15-30 FF</t>
  </si>
  <si>
    <t>E-CHEQ 30 DIAS.</t>
  </si>
  <si>
    <t>REJILLAS PARA PLUVIALES EN BARRIO CATEMA</t>
  </si>
  <si>
    <t>13/9/2024</t>
  </si>
  <si>
    <t xml:space="preserve">MARCOS PARA TAPA HORMIGON CON </t>
  </si>
  <si>
    <t xml:space="preserve">MANOJAS PARA TAPAS DE HORMIGON DE </t>
  </si>
  <si>
    <t>TAPA PARA FOSA EN ARAUCO DE CHAPA</t>
  </si>
  <si>
    <t>ATUCHA - ARAUCO</t>
  </si>
  <si>
    <t>JUEGO DE LLAVES OFICINA</t>
  </si>
  <si>
    <t>16/9/2024</t>
  </si>
  <si>
    <t>CLAVO PARA HORMIGON XC 62 P8</t>
  </si>
  <si>
    <t>DX CARTUCHO 6.8 /11 M10 ROJO</t>
  </si>
  <si>
    <t>GRUPO SERIN</t>
  </si>
  <si>
    <t>30-67871647-1</t>
  </si>
  <si>
    <t xml:space="preserve">CNO JESUS MARÍA KM 8 1/2 </t>
  </si>
  <si>
    <t>GUIÑAZÚ 5145</t>
  </si>
  <si>
    <t>ACERO 100004 ( KG )</t>
  </si>
  <si>
    <t>ACERO 100000 ( KG )</t>
  </si>
  <si>
    <t>ACERO 100009 ( KG )</t>
  </si>
  <si>
    <t xml:space="preserve">ACERO 100013 ( KG ) </t>
  </si>
  <si>
    <t xml:space="preserve">ACERO 100504 ( UNIDAD ) </t>
  </si>
  <si>
    <t>DOBLE CERCO ATUCHA</t>
  </si>
  <si>
    <t xml:space="preserve">SERVICIO DE ENTREGA </t>
  </si>
  <si>
    <t>17/9/2024</t>
  </si>
  <si>
    <t>MARCHAN LOGISTICA Y DISTRIBUCION SOCIEDAD ANONIMA</t>
  </si>
  <si>
    <t>PORTUGAL 1610</t>
  </si>
  <si>
    <t>ITUZANGO</t>
  </si>
  <si>
    <t>30-71549382-5</t>
  </si>
  <si>
    <t>ANGULO 2*3/16</t>
  </si>
  <si>
    <t>HORNO TOCCHIO</t>
  </si>
  <si>
    <t>19/9/2024</t>
  </si>
  <si>
    <t xml:space="preserve">VIAJES DE TOSCA DESDE CANTERA LAS TOSCAS </t>
  </si>
  <si>
    <t>AMALFI</t>
  </si>
  <si>
    <t>RUBIA FLEET 500 15W4</t>
  </si>
  <si>
    <t>AZOLLA ZS 68X 208L</t>
  </si>
  <si>
    <t>GEC 50 X 208L</t>
  </si>
  <si>
    <t>TRANSTEC 5 85W140 X</t>
  </si>
  <si>
    <t>MULTIS EP 2 X 18 KGS</t>
  </si>
  <si>
    <t>30/60 DIAS FF-ECHEQ</t>
  </si>
  <si>
    <t>BARRIO OLIVERA</t>
  </si>
  <si>
    <t>0-15-30-45-60 DIAS FF</t>
  </si>
  <si>
    <t xml:space="preserve"> MTS CAÑOH A 400X 1200MM COMERCIAL</t>
  </si>
  <si>
    <t>MTS CAÑOH 600X 1200 MM COMERCIAL</t>
  </si>
  <si>
    <t>RIVERO ANDRES EDUARDO</t>
  </si>
  <si>
    <t>LOPEZ Y PLANES805</t>
  </si>
  <si>
    <t>20-18150115-5</t>
  </si>
  <si>
    <t>BIELETA IZQUIERDA</t>
  </si>
  <si>
    <t>MERCADO PAGO</t>
  </si>
  <si>
    <t>23/9/2024</t>
  </si>
  <si>
    <t>TUB ESTRUCT. DE 4" ESP 3,2MM</t>
  </si>
  <si>
    <t>TUBO ESCT REDONDO 3" X 3,2MM X 6 MTS</t>
  </si>
  <si>
    <t>TUBO EST.REDONDO 2" * 3,2MM 6 MTS C/U</t>
  </si>
  <si>
    <t>TUBO EST REDONDO 11/2 " 2 MM 6 MTS C/U</t>
  </si>
  <si>
    <t>TUBO EST DE 1" X 2.00MM</t>
  </si>
  <si>
    <t>PLANCH 1 * 3/16 25.4*4.8</t>
  </si>
  <si>
    <t>PLANCH 3 *3/16 76.2*4.8.</t>
  </si>
  <si>
    <t xml:space="preserve">HIERRO TE 1 1/2 X 3/16 6 MTS </t>
  </si>
  <si>
    <t>30-40-50</t>
  </si>
  <si>
    <t>TUBO ESTRUC DE 4" ESP 3.2MM</t>
  </si>
  <si>
    <t>TUBO EST REDONDO 2" * 3,2 MM 6 MTS C/U</t>
  </si>
  <si>
    <t>TUBO ESCT REDONDO 3" X 3.2 MM 6 MTS</t>
  </si>
  <si>
    <t>TUB EST.REDONDO 11/2 "2MM 6 MTS C/U</t>
  </si>
  <si>
    <t>TUBO EST. DE 1"X2.00 MM</t>
  </si>
  <si>
    <t>PLANCH 1 *3/16 25.4*4.8</t>
  </si>
  <si>
    <t>PLANCH 3 *3 3/16 76.2*4.8.</t>
  </si>
  <si>
    <t>HIERRO TE 1 1/2 X 3/16</t>
  </si>
  <si>
    <t>CARDALES HILLS</t>
  </si>
  <si>
    <t>25/9/2024</t>
  </si>
  <si>
    <t>E-CHEQ 15 DIAS FF</t>
  </si>
  <si>
    <t>QUANTIUM X10 AXION AGRO B 8.1</t>
  </si>
  <si>
    <t>CAMION SKC 060</t>
  </si>
  <si>
    <t>EXAGONAL 3/8 X 1 1/2 CON TUERCAS</t>
  </si>
  <si>
    <t>ALEN CILINDRICO  7.16 X 1 1/2 CON TUERCAS</t>
  </si>
  <si>
    <t>26/9/2024</t>
  </si>
  <si>
    <t>TEJIDO MUSIMUNDO</t>
  </si>
  <si>
    <t>MATERIALES Y MANO DE OBRA.</t>
  </si>
  <si>
    <t>ANTICIPO 50 % , SALDO CERTF.30DFF</t>
  </si>
  <si>
    <t>SUELO CEMENTO M3</t>
  </si>
  <si>
    <t>RUTA 4</t>
  </si>
  <si>
    <t>30 Y 60 DIAS FF.</t>
  </si>
  <si>
    <t>27/9/2024</t>
  </si>
  <si>
    <t>METALURGICA PERTICARO SRL</t>
  </si>
  <si>
    <t>LUIS PIEDRA BUENA 4810</t>
  </si>
  <si>
    <t>RECAMBIO 5 SECTORES DENTADOS MOTONIV.</t>
  </si>
  <si>
    <t>MOTONIVELADORA</t>
  </si>
  <si>
    <t>E-CHEQ 50 % Y 50 % A 30 DFF</t>
  </si>
  <si>
    <t>30/9/2024</t>
  </si>
  <si>
    <t>PEREYRA JUAN ENRIQUE-QUALITY COMPUTACION</t>
  </si>
  <si>
    <t>BROWN 181</t>
  </si>
  <si>
    <t>REPARACION Y REPUESTOS PC</t>
  </si>
  <si>
    <t>MONITOR LG 24 "</t>
  </si>
  <si>
    <t>EFECTIVO</t>
  </si>
  <si>
    <t xml:space="preserve">PC </t>
  </si>
  <si>
    <t>HORMIGON  HR A 48 HS</t>
  </si>
  <si>
    <t>14/10/2024</t>
  </si>
  <si>
    <t>ACEITE MOTOR CAT DEO 15W- 200L</t>
  </si>
  <si>
    <t>NOTA : PRECIOS EN DOLARES , MAS PERCEPCION DE IVA POR USD$36,97</t>
  </si>
  <si>
    <t>MAQUINA DEPOSITO</t>
  </si>
  <si>
    <t>E-CHEQ</t>
  </si>
  <si>
    <t>16/10/2024</t>
  </si>
  <si>
    <t>FILTRO ACEITE DEL MOTOR</t>
  </si>
  <si>
    <t>BONIFICACION</t>
  </si>
  <si>
    <t>JORGE ROBORTELLA ( HIJO ).</t>
  </si>
  <si>
    <t>PANTALONES DE JEAN WORKER</t>
  </si>
  <si>
    <t>PANTALON DE JEAN CAPITAL DAMA</t>
  </si>
  <si>
    <t>CAMISAS OXFORD 70/30 HOMBRE</t>
  </si>
  <si>
    <t>CAMISA OXFORD DAMA</t>
  </si>
  <si>
    <t>BORDADOS</t>
  </si>
  <si>
    <t>E-CHEQ 60 DIAS</t>
  </si>
  <si>
    <t>17/10/2024</t>
  </si>
  <si>
    <t>DESMONTAR Y MONTAR CAJA DE CAMBIOS</t>
  </si>
  <si>
    <t>CHEQUE 20 DIAS FF</t>
  </si>
  <si>
    <t>CAMION WBB696</t>
  </si>
  <si>
    <t>LADRILLO HUECO 12X18X33 6 TUBOS</t>
  </si>
  <si>
    <t>CASA LUCIO MONZON</t>
  </si>
  <si>
    <t xml:space="preserve">E-CHEQ </t>
  </si>
  <si>
    <t>18/10/2024</t>
  </si>
  <si>
    <t>21/10/2024</t>
  </si>
  <si>
    <t>HUNTER PSU-04-15A NEGRO 10 CM</t>
  </si>
  <si>
    <t>HORMIGON H21 CON 6/20 176 M3</t>
  </si>
  <si>
    <t>RUTA 4 CARDALES</t>
  </si>
  <si>
    <t>22/10/2024</t>
  </si>
  <si>
    <t>HONORARIOS Y MEDICACION PERRA COLO</t>
  </si>
  <si>
    <t>INTERNACION X 6 DIAS ( $35000 X 6 )</t>
  </si>
  <si>
    <t>PERRITA COLO</t>
  </si>
  <si>
    <t>CONSULTAS , MEDICACION E INYECTABLES</t>
  </si>
  <si>
    <t>PERRA PATITA</t>
  </si>
  <si>
    <t>MANO DE OBRA MOTONIVELADORA CAT 140</t>
  </si>
  <si>
    <t xml:space="preserve">MANO DE OBRA COMPACTADORA XCMG </t>
  </si>
  <si>
    <t>MOVILIDAD/TRASLADO</t>
  </si>
  <si>
    <t>MAQUINAS DEPOSITO</t>
  </si>
  <si>
    <t>50 % A 15 DIAS FF Y 50 % A 30 DIAS FF</t>
  </si>
  <si>
    <t>CAMPERA BASICA AZUL</t>
  </si>
  <si>
    <t>JEAN WORKER</t>
  </si>
  <si>
    <t>CHOMBA PIQUE BLANCA</t>
  </si>
  <si>
    <t>CHOMBA PIQUE NEGRA</t>
  </si>
  <si>
    <t>CHOMBA PIQUE AZUL</t>
  </si>
  <si>
    <t>PANTALON JUNIN</t>
  </si>
  <si>
    <t>REMERA POLO</t>
  </si>
  <si>
    <t>ROPA PERSONAL</t>
  </si>
  <si>
    <t>23/10/2024</t>
  </si>
  <si>
    <t>ZAPATILLA ELECTRICA</t>
  </si>
  <si>
    <t>HUNTER 15-A NEGRO BOQUILLA PARA TOBERA</t>
  </si>
  <si>
    <t>28/10/2024</t>
  </si>
  <si>
    <t>caño de pvc 63</t>
  </si>
  <si>
    <t>tapa de caño pvc 63</t>
  </si>
  <si>
    <t>juan</t>
  </si>
  <si>
    <t>deposito</t>
  </si>
  <si>
    <t>29/10/2024</t>
  </si>
  <si>
    <t>14/1/2025</t>
  </si>
  <si>
    <t>filtro de aceite W 950/26</t>
  </si>
  <si>
    <t>filtro de aire primario y secundario WAP 384K</t>
  </si>
  <si>
    <t>aceite 5W40 YPF F50</t>
  </si>
  <si>
    <t>IIBB activ.</t>
  </si>
  <si>
    <t>Localidad</t>
  </si>
  <si>
    <t>Provincia</t>
  </si>
  <si>
    <t>EJEMPLO</t>
  </si>
  <si>
    <t>Domicilio: Independencia 685</t>
  </si>
  <si>
    <t>Teléfono: (3487) 65-9270</t>
  </si>
  <si>
    <t xml:space="preserve">HIDRO ZARATE- DA CRUZ ABREU JOSE </t>
  </si>
  <si>
    <t>SUB TOTAL</t>
  </si>
  <si>
    <t>KIT de filtro amarok (aire , ceite , gasoil y habit )</t>
  </si>
  <si>
    <t>FILTRO DE ACEITE W 950/26</t>
  </si>
  <si>
    <t>ACEITE 5W40 YPF F50</t>
  </si>
  <si>
    <t>KIT DE FILT AMAROK (AIRE , ACEITE , GASOIL )</t>
  </si>
  <si>
    <t>FILTRO DE AIRE PRIM Y SECUND WAP 384K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</si>
</sst>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0000##0_ ;_ &quot;$&quot;\ * \-#,##0_ ;_ &quot;$&quot;\ * &quot;-&quot;_ ;_ @_ "/>
    <numFmt numFmtId="167" formatCode="#"/>
    <numFmt numFmtId="168" formatCode="&quot;$&quot;#,##0.00"/>
    <numFmt numFmtId="169" formatCode="dd/mm/yy;@"/>
    <numFmt numFmtId="170" formatCode="&quot;$&quot;\ #,##0.00"/>
    <numFmt numFmtId="171" formatCode="0.0000000"/>
    <numFmt numFmtId="172" formatCode="#,##0.00&quot; &quot;;&quot;-&quot;#,##0.00&quot; &quot;;&quot; -&quot;#&quot; &quot;;@&quot; &quot;"/>
    <numFmt numFmtId="173" formatCode="0.0"/>
  </numFmts>
  <fonts count="43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.050000000000001"/>
      <color theme="1"/>
      <name val="Calibri"/>
      <family val="2"/>
      <scheme val="minor"/>
    </font>
    <font>
      <sz val="10.050000000000001"/>
      <color theme="1"/>
      <name val="Courier New"/>
      <family val="3"/>
    </font>
    <font>
      <sz val="10.050000000000001"/>
      <name val="Courier New"/>
      <family val="3"/>
    </font>
    <font>
      <sz val="10"/>
      <name val="Arial"/>
      <family val="2"/>
    </font>
    <font>
      <b/>
      <sz val="10"/>
      <name val="Arial"/>
      <family val="2"/>
    </font>
    <font>
      <sz val="10"/>
      <name val="Courier New"/>
      <family val="3"/>
    </font>
    <font>
      <sz val="10"/>
      <color theme="1"/>
      <name val="Courier New"/>
      <family val="3"/>
    </font>
    <font>
      <b/>
      <sz val="10.050000000000001"/>
      <color theme="1"/>
      <name val="Courier New"/>
      <family val="3"/>
    </font>
    <font>
      <sz val="10"/>
      <color rgb="FF222222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theme="8" tint="-0.249977111117893"/>
      <name val="Courier New"/>
      <family val="3"/>
    </font>
    <font>
      <b/>
      <sz val="12"/>
      <color theme="1"/>
      <name val="Courier New"/>
      <family val="3"/>
    </font>
    <font>
      <sz val="9"/>
      <name val="Courier New"/>
      <family val="3"/>
    </font>
    <font>
      <sz val="8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indexed="8"/>
      <name val="Arial1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0.050000000000001"/>
      <color theme="1"/>
      <name val="Segoe UI"/>
      <family val="2"/>
    </font>
    <font>
      <b/>
      <sz val="12"/>
      <color theme="1"/>
      <name val="Segoe UI"/>
      <family val="2"/>
    </font>
    <font>
      <b/>
      <sz val="20"/>
      <color theme="8" tint="-0.249977111117893"/>
      <name val="Segoe UI"/>
      <family val="2"/>
    </font>
    <font>
      <b/>
      <sz val="11"/>
      <color theme="1"/>
      <name val="Segoe UI"/>
      <family val="2"/>
    </font>
    <font>
      <b/>
      <sz val="10.050000000000001"/>
      <color theme="1"/>
      <name val="Segoe UI"/>
      <family val="2"/>
    </font>
    <font>
      <sz val="11"/>
      <color rgb="FFFF0000"/>
      <name val="Segoe UI"/>
      <family val="2"/>
    </font>
    <font>
      <sz val="10.050000000000001"/>
      <name val="Segoe UI"/>
      <family val="2"/>
    </font>
    <font>
      <sz val="10.050000000000001"/>
      <color rgb="FFFF0000"/>
      <name val="Segoe UI"/>
      <family val="2"/>
    </font>
    <font>
      <sz val="10"/>
      <color rgb="FF222222"/>
      <name val="Segoe UI"/>
      <family val="2"/>
    </font>
    <font>
      <sz val="10"/>
      <color theme="1"/>
      <name val="Segoe UI"/>
      <family val="2"/>
    </font>
    <font>
      <sz val="10"/>
      <color indexed="63"/>
      <name val="Segoe UI"/>
      <family val="2"/>
    </font>
    <font>
      <sz val="10"/>
      <color indexed="8"/>
      <name val="Segoe UI"/>
      <family val="2"/>
    </font>
    <font>
      <sz val="10"/>
      <name val="Segoe UI"/>
      <family val="2"/>
    </font>
    <font>
      <sz val="10"/>
      <color rgb="FF000000"/>
      <name val="Segoe UI"/>
      <family val="2"/>
    </font>
    <font>
      <sz val="10"/>
      <color theme="2" tint="-0.749992370372631"/>
      <name val="Segoe UI"/>
      <family val="2"/>
    </font>
    <font>
      <sz val="10"/>
      <color theme="1" tint="0.249977111117893"/>
      <name val="Segoe UI"/>
      <family val="2"/>
    </font>
    <font>
      <b/>
      <sz val="10.050000000000001"/>
      <name val="Segoe UI"/>
      <family val="2"/>
    </font>
    <font>
      <sz val="11"/>
      <color rgb="FF000000"/>
      <name val="Segoe UI"/>
      <family val="2"/>
    </font>
    <font>
      <sz val="11"/>
      <color theme="0"/>
      <name val="Segoe UI"/>
      <family val="2"/>
    </font>
    <font>
      <sz val="10"/>
      <color theme="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medium">
        <color rgb="FF0070C0"/>
      </right>
      <top style="dashed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70C0"/>
      </left>
      <right/>
      <top style="thin">
        <color auto="1"/>
      </top>
      <bottom style="thin">
        <color theme="0" tint="0.84997100741599785"/>
      </bottom>
      <diagonal/>
    </border>
    <border>
      <left/>
      <right/>
      <top style="thin">
        <color auto="1"/>
      </top>
      <bottom style="thin">
        <color theme="0" tint="0.84997100741599785"/>
      </bottom>
      <diagonal/>
    </border>
    <border>
      <left/>
      <right style="medium">
        <color rgb="FF0070C0"/>
      </right>
      <top style="thin">
        <color auto="1"/>
      </top>
      <bottom style="thin">
        <color theme="0" tint="0.84997100741599785"/>
      </bottom>
      <diagonal/>
    </border>
    <border>
      <left style="medium">
        <color rgb="FF0070C0"/>
      </left>
      <right/>
      <top style="thin">
        <color theme="0" tint="0.84997100741599785"/>
      </top>
      <bottom style="thin">
        <color theme="0" tint="0.84997100741599785"/>
      </bottom>
      <diagonal/>
    </border>
    <border>
      <left/>
      <right/>
      <top style="thin">
        <color theme="0" tint="0.84997100741599785"/>
      </top>
      <bottom style="thin">
        <color theme="0" tint="0.84997100741599785"/>
      </bottom>
      <diagonal/>
    </border>
    <border>
      <left/>
      <right style="medium">
        <color rgb="FF0070C0"/>
      </right>
      <top style="thin">
        <color theme="0" tint="0.84997100741599785"/>
      </top>
      <bottom style="thin">
        <color theme="0" tint="0.84997100741599785"/>
      </bottom>
      <diagonal/>
    </border>
    <border>
      <left style="medium">
        <color rgb="FF0070C0"/>
      </left>
      <right/>
      <top style="thin">
        <color theme="0" tint="0.84997100741599785"/>
      </top>
      <bottom/>
      <diagonal/>
    </border>
    <border>
      <left/>
      <right/>
      <top style="thin">
        <color theme="0" tint="0.84997100741599785"/>
      </top>
      <bottom style="dashed">
        <color auto="1"/>
      </bottom>
      <diagonal/>
    </border>
    <border>
      <left/>
      <right style="medium">
        <color rgb="FF0070C0"/>
      </right>
      <top style="thin">
        <color theme="0" tint="0.84997100741599785"/>
      </top>
      <bottom/>
      <diagonal/>
    </border>
  </borders>
  <cellStyleXfs count="4">
    <xf numFmtId="0" fontId="0" fillId="0" borderId="0"/>
    <xf numFmtId="0" fontId="19" fillId="0" borderId="0" applyNumberFormat="0" applyFill="0" applyBorder="0" applyAlignment="0" applyProtection="0"/>
    <xf numFmtId="172" fontId="20" fillId="0" borderId="0" applyFont="0" applyBorder="0" applyProtection="0"/>
    <xf numFmtId="165" fontId="21" fillId="0" borderId="0" applyFont="0" applyFill="0" applyBorder="0" applyAlignment="0" applyProtection="0"/>
  </cellStyleXfs>
  <cellXfs count="313">
    <xf numFmtId="0" fontId="0" fillId="0" borderId="0" xfId="0"/>
    <xf numFmtId="0" fontId="2" fillId="0" borderId="0" xfId="0" applyFont="1"/>
    <xf numFmtId="0" fontId="2" fillId="0" borderId="1" xfId="0" applyFont="1" applyBorder="1"/>
    <xf numFmtId="49" fontId="2" fillId="0" borderId="1" xfId="0" applyNumberFormat="1" applyFont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0" fillId="0" borderId="5" xfId="0" applyBorder="1"/>
    <xf numFmtId="0" fontId="0" fillId="0" borderId="8" xfId="0" applyBorder="1"/>
    <xf numFmtId="0" fontId="0" fillId="0" borderId="10" xfId="0" applyBorder="1"/>
    <xf numFmtId="0" fontId="4" fillId="0" borderId="0" xfId="0" applyFont="1"/>
    <xf numFmtId="0" fontId="3" fillId="0" borderId="0" xfId="0" applyFont="1"/>
    <xf numFmtId="0" fontId="5" fillId="0" borderId="9" xfId="0" applyFont="1" applyBorder="1"/>
    <xf numFmtId="0" fontId="5" fillId="0" borderId="12" xfId="0" applyFont="1" applyBorder="1"/>
    <xf numFmtId="0" fontId="6" fillId="0" borderId="0" xfId="0" applyFont="1"/>
    <xf numFmtId="49" fontId="0" fillId="0" borderId="0" xfId="0" applyNumberFormat="1"/>
    <xf numFmtId="0" fontId="0" fillId="0" borderId="0" xfId="0" applyAlignment="1">
      <alignment horizontal="left"/>
    </xf>
    <xf numFmtId="0" fontId="8" fillId="0" borderId="0" xfId="0" applyFont="1"/>
    <xf numFmtId="0" fontId="11" fillId="0" borderId="0" xfId="0" applyFont="1"/>
    <xf numFmtId="0" fontId="11" fillId="0" borderId="0" xfId="0" applyFont="1" applyAlignment="1">
      <alignment vertical="center" wrapText="1"/>
    </xf>
    <xf numFmtId="2" fontId="0" fillId="0" borderId="0" xfId="0" applyNumberFormat="1" applyAlignment="1">
      <alignment horizontal="left"/>
    </xf>
    <xf numFmtId="0" fontId="12" fillId="0" borderId="0" xfId="0" applyFont="1"/>
    <xf numFmtId="0" fontId="2" fillId="0" borderId="0" xfId="0" applyFont="1" applyProtection="1">
      <protection locked="0"/>
    </xf>
    <xf numFmtId="14" fontId="2" fillId="0" borderId="0" xfId="0" applyNumberFormat="1" applyFont="1" applyProtection="1">
      <protection locked="0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70" fontId="0" fillId="0" borderId="0" xfId="0" applyNumberFormat="1"/>
    <xf numFmtId="0" fontId="5" fillId="0" borderId="9" xfId="0" applyFont="1" applyBorder="1" applyProtection="1">
      <protection locked="0"/>
    </xf>
    <xf numFmtId="0" fontId="4" fillId="0" borderId="6" xfId="0" applyFont="1" applyBorder="1"/>
    <xf numFmtId="0" fontId="4" fillId="0" borderId="9" xfId="0" applyFont="1" applyBorder="1"/>
    <xf numFmtId="0" fontId="4" fillId="0" borderId="0" xfId="0" applyFont="1" applyAlignment="1">
      <alignment vertical="center"/>
    </xf>
    <xf numFmtId="0" fontId="4" fillId="0" borderId="11" xfId="0" applyFont="1" applyBorder="1"/>
    <xf numFmtId="0" fontId="4" fillId="0" borderId="12" xfId="0" applyFont="1" applyBorder="1"/>
    <xf numFmtId="0" fontId="5" fillId="0" borderId="6" xfId="0" applyFont="1" applyBorder="1"/>
    <xf numFmtId="0" fontId="5" fillId="0" borderId="13" xfId="0" applyFont="1" applyBorder="1"/>
    <xf numFmtId="0" fontId="5" fillId="0" borderId="0" xfId="0" applyFont="1"/>
    <xf numFmtId="168" fontId="9" fillId="0" borderId="0" xfId="0" applyNumberFormat="1" applyFont="1" applyAlignment="1" applyProtection="1">
      <alignment horizontal="center"/>
      <protection locked="0"/>
    </xf>
    <xf numFmtId="2" fontId="8" fillId="0" borderId="15" xfId="0" applyNumberFormat="1" applyFont="1" applyBorder="1" applyProtection="1">
      <protection locked="0"/>
    </xf>
    <xf numFmtId="0" fontId="0" fillId="4" borderId="0" xfId="0" applyFill="1"/>
    <xf numFmtId="168" fontId="9" fillId="0" borderId="13" xfId="0" applyNumberFormat="1" applyFont="1" applyBorder="1" applyAlignment="1" applyProtection="1">
      <alignment horizontal="center"/>
      <protection locked="0"/>
    </xf>
    <xf numFmtId="0" fontId="0" fillId="4" borderId="1" xfId="0" applyFill="1" applyBorder="1"/>
    <xf numFmtId="171" fontId="0" fillId="0" borderId="0" xfId="0" applyNumberFormat="1"/>
    <xf numFmtId="0" fontId="5" fillId="0" borderId="14" xfId="0" applyFont="1" applyBorder="1" applyAlignment="1" applyProtection="1">
      <alignment horizontal="center"/>
      <protection locked="0"/>
    </xf>
    <xf numFmtId="170" fontId="9" fillId="0" borderId="0" xfId="0" applyNumberFormat="1" applyFont="1" applyAlignment="1" applyProtection="1">
      <alignment horizontal="right"/>
      <protection locked="0"/>
    </xf>
    <xf numFmtId="170" fontId="8" fillId="0" borderId="0" xfId="0" applyNumberFormat="1" applyFont="1" applyAlignment="1" applyProtection="1">
      <alignment horizontal="right"/>
      <protection locked="0"/>
    </xf>
    <xf numFmtId="170" fontId="8" fillId="0" borderId="11" xfId="0" applyNumberFormat="1" applyFont="1" applyBorder="1" applyAlignment="1" applyProtection="1">
      <alignment horizontal="right"/>
      <protection locked="0"/>
    </xf>
    <xf numFmtId="0" fontId="19" fillId="0" borderId="0" xfId="1" applyAlignment="1">
      <alignment horizontal="left"/>
    </xf>
    <xf numFmtId="0" fontId="19" fillId="0" borderId="0" xfId="1"/>
    <xf numFmtId="0" fontId="0" fillId="3" borderId="0" xfId="0" applyFill="1" applyProtection="1">
      <protection locked="0"/>
    </xf>
    <xf numFmtId="0" fontId="7" fillId="2" borderId="0" xfId="0" applyFont="1" applyFill="1" applyAlignment="1">
      <alignment vertical="center" wrapText="1"/>
    </xf>
    <xf numFmtId="0" fontId="18" fillId="0" borderId="0" xfId="0" applyFont="1" applyAlignment="1">
      <alignment vertical="center" wrapText="1"/>
    </xf>
    <xf numFmtId="0" fontId="7" fillId="2" borderId="0" xfId="0" applyFont="1" applyFill="1" applyAlignment="1">
      <alignment horizontal="left" vertical="center" wrapText="1"/>
    </xf>
    <xf numFmtId="49" fontId="7" fillId="2" borderId="0" xfId="0" applyNumberFormat="1" applyFont="1" applyFill="1" applyAlignment="1">
      <alignment vertical="center" wrapText="1"/>
    </xf>
    <xf numFmtId="49" fontId="6" fillId="0" borderId="0" xfId="0" applyNumberFormat="1" applyFont="1" applyAlignment="1">
      <alignment vertical="center" wrapText="1"/>
    </xf>
    <xf numFmtId="165" fontId="2" fillId="0" borderId="1" xfId="3" applyFont="1" applyBorder="1"/>
    <xf numFmtId="2" fontId="2" fillId="0" borderId="1" xfId="3" applyNumberFormat="1" applyFont="1" applyBorder="1"/>
    <xf numFmtId="165" fontId="2" fillId="0" borderId="1" xfId="0" applyNumberFormat="1" applyFont="1" applyBorder="1"/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1" fillId="0" borderId="0" xfId="3" applyNumberFormat="1" applyFont="1" applyFill="1" applyAlignment="1">
      <alignment horizontal="center"/>
    </xf>
    <xf numFmtId="165" fontId="2" fillId="0" borderId="1" xfId="3" applyFont="1" applyFill="1" applyBorder="1"/>
    <xf numFmtId="2" fontId="2" fillId="0" borderId="1" xfId="3" applyNumberFormat="1" applyFont="1" applyFill="1" applyBorder="1"/>
    <xf numFmtId="14" fontId="2" fillId="0" borderId="1" xfId="0" applyNumberFormat="1" applyFont="1" applyBorder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5" fontId="2" fillId="0" borderId="0" xfId="3" applyFont="1" applyFill="1"/>
    <xf numFmtId="2" fontId="2" fillId="0" borderId="0" xfId="3" applyNumberFormat="1" applyFont="1" applyFill="1"/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0" fontId="1" fillId="0" borderId="17" xfId="0" applyFont="1" applyBorder="1" applyAlignment="1">
      <alignment horizontal="center"/>
    </xf>
    <xf numFmtId="165" fontId="1" fillId="0" borderId="16" xfId="3" applyFont="1" applyFill="1" applyBorder="1" applyAlignment="1">
      <alignment horizontal="center"/>
    </xf>
    <xf numFmtId="14" fontId="1" fillId="0" borderId="4" xfId="0" applyNumberFormat="1" applyFont="1" applyBorder="1" applyAlignment="1">
      <alignment horizontal="right"/>
    </xf>
    <xf numFmtId="14" fontId="2" fillId="0" borderId="1" xfId="0" applyNumberFormat="1" applyFont="1" applyBorder="1" applyAlignment="1">
      <alignment horizontal="right"/>
    </xf>
    <xf numFmtId="14" fontId="2" fillId="0" borderId="0" xfId="0" applyNumberFormat="1" applyFont="1" applyAlignment="1">
      <alignment horizontal="right"/>
    </xf>
    <xf numFmtId="2" fontId="2" fillId="0" borderId="1" xfId="3" applyNumberFormat="1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center"/>
    </xf>
    <xf numFmtId="14" fontId="2" fillId="0" borderId="1" xfId="0" applyNumberFormat="1" applyFont="1" applyBorder="1"/>
    <xf numFmtId="14" fontId="2" fillId="0" borderId="0" xfId="0" applyNumberFormat="1" applyFont="1"/>
    <xf numFmtId="14" fontId="2" fillId="0" borderId="18" xfId="0" applyNumberFormat="1" applyFont="1" applyBorder="1" applyAlignment="1">
      <alignment horizontal="right"/>
    </xf>
    <xf numFmtId="0" fontId="2" fillId="0" borderId="18" xfId="0" applyFont="1" applyBorder="1"/>
    <xf numFmtId="0" fontId="2" fillId="0" borderId="18" xfId="0" applyFont="1" applyBorder="1" applyAlignment="1">
      <alignment horizontal="center"/>
    </xf>
    <xf numFmtId="165" fontId="2" fillId="0" borderId="18" xfId="3" applyFont="1" applyFill="1" applyBorder="1"/>
    <xf numFmtId="2" fontId="2" fillId="0" borderId="18" xfId="3" applyNumberFormat="1" applyFont="1" applyFill="1" applyBorder="1"/>
    <xf numFmtId="14" fontId="2" fillId="0" borderId="19" xfId="0" applyNumberFormat="1" applyFont="1" applyBorder="1" applyAlignment="1">
      <alignment horizontal="right"/>
    </xf>
    <xf numFmtId="0" fontId="2" fillId="0" borderId="19" xfId="0" applyFont="1" applyBorder="1"/>
    <xf numFmtId="0" fontId="2" fillId="0" borderId="19" xfId="0" applyFont="1" applyBorder="1" applyAlignment="1">
      <alignment horizontal="center"/>
    </xf>
    <xf numFmtId="165" fontId="2" fillId="0" borderId="19" xfId="3" applyFont="1" applyFill="1" applyBorder="1"/>
    <xf numFmtId="2" fontId="2" fillId="0" borderId="19" xfId="3" applyNumberFormat="1" applyFont="1" applyFill="1" applyBorder="1"/>
    <xf numFmtId="14" fontId="2" fillId="0" borderId="19" xfId="0" applyNumberFormat="1" applyFont="1" applyBorder="1"/>
    <xf numFmtId="165" fontId="2" fillId="0" borderId="19" xfId="0" applyNumberFormat="1" applyFont="1" applyBorder="1"/>
    <xf numFmtId="2" fontId="2" fillId="0" borderId="18" xfId="3" applyNumberFormat="1" applyFont="1" applyFill="1" applyBorder="1" applyAlignment="1">
      <alignment horizontal="center"/>
    </xf>
    <xf numFmtId="14" fontId="2" fillId="0" borderId="18" xfId="0" applyNumberFormat="1" applyFont="1" applyBorder="1" applyAlignment="1">
      <alignment horizontal="center"/>
    </xf>
    <xf numFmtId="165" fontId="2" fillId="0" borderId="18" xfId="0" applyNumberFormat="1" applyFont="1" applyBorder="1" applyAlignment="1">
      <alignment horizontal="center"/>
    </xf>
    <xf numFmtId="14" fontId="2" fillId="0" borderId="20" xfId="0" applyNumberFormat="1" applyFont="1" applyBorder="1" applyAlignment="1">
      <alignment horizontal="right"/>
    </xf>
    <xf numFmtId="0" fontId="2" fillId="0" borderId="20" xfId="0" applyFont="1" applyBorder="1"/>
    <xf numFmtId="0" fontId="2" fillId="0" borderId="20" xfId="0" applyFont="1" applyBorder="1" applyAlignment="1">
      <alignment horizontal="center"/>
    </xf>
    <xf numFmtId="165" fontId="2" fillId="0" borderId="20" xfId="3" applyFont="1" applyFill="1" applyBorder="1"/>
    <xf numFmtId="2" fontId="2" fillId="0" borderId="20" xfId="3" applyNumberFormat="1" applyFont="1" applyFill="1" applyBorder="1"/>
    <xf numFmtId="14" fontId="2" fillId="0" borderId="20" xfId="0" applyNumberFormat="1" applyFont="1" applyBorder="1"/>
    <xf numFmtId="165" fontId="2" fillId="0" borderId="20" xfId="0" applyNumberFormat="1" applyFont="1" applyBorder="1"/>
    <xf numFmtId="14" fontId="2" fillId="0" borderId="18" xfId="0" applyNumberFormat="1" applyFont="1" applyBorder="1"/>
    <xf numFmtId="165" fontId="2" fillId="0" borderId="18" xfId="0" applyNumberFormat="1" applyFont="1" applyBorder="1"/>
    <xf numFmtId="14" fontId="2" fillId="0" borderId="3" xfId="0" applyNumberFormat="1" applyFont="1" applyBorder="1" applyAlignment="1">
      <alignment horizontal="righ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165" fontId="2" fillId="0" borderId="3" xfId="3" applyFont="1" applyFill="1" applyBorder="1"/>
    <xf numFmtId="2" fontId="2" fillId="0" borderId="3" xfId="3" applyNumberFormat="1" applyFont="1" applyFill="1" applyBorder="1"/>
    <xf numFmtId="14" fontId="2" fillId="0" borderId="3" xfId="0" applyNumberFormat="1" applyFont="1" applyBorder="1"/>
    <xf numFmtId="165" fontId="2" fillId="0" borderId="3" xfId="0" applyNumberFormat="1" applyFont="1" applyBorder="1"/>
    <xf numFmtId="16" fontId="0" fillId="0" borderId="0" xfId="0" applyNumberFormat="1"/>
    <xf numFmtId="14" fontId="2" fillId="0" borderId="21" xfId="0" applyNumberFormat="1" applyFont="1" applyBorder="1" applyAlignment="1">
      <alignment horizontal="right"/>
    </xf>
    <xf numFmtId="0" fontId="2" fillId="0" borderId="21" xfId="0" applyFont="1" applyBorder="1"/>
    <xf numFmtId="0" fontId="2" fillId="0" borderId="21" xfId="0" applyFont="1" applyBorder="1" applyAlignment="1">
      <alignment horizontal="center"/>
    </xf>
    <xf numFmtId="165" fontId="2" fillId="0" borderId="21" xfId="3" applyFont="1" applyFill="1" applyBorder="1"/>
    <xf numFmtId="2" fontId="2" fillId="0" borderId="21" xfId="3" applyNumberFormat="1" applyFont="1" applyFill="1" applyBorder="1"/>
    <xf numFmtId="14" fontId="2" fillId="0" borderId="21" xfId="0" applyNumberFormat="1" applyFont="1" applyBorder="1"/>
    <xf numFmtId="165" fontId="2" fillId="0" borderId="21" xfId="0" applyNumberFormat="1" applyFont="1" applyBorder="1"/>
    <xf numFmtId="14" fontId="2" fillId="0" borderId="22" xfId="0" applyNumberFormat="1" applyFont="1" applyBorder="1" applyAlignment="1">
      <alignment horizontal="righ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165" fontId="2" fillId="0" borderId="22" xfId="3" applyFont="1" applyFill="1" applyBorder="1"/>
    <xf numFmtId="2" fontId="2" fillId="0" borderId="22" xfId="3" applyNumberFormat="1" applyFont="1" applyFill="1" applyBorder="1"/>
    <xf numFmtId="14" fontId="2" fillId="0" borderId="22" xfId="0" applyNumberFormat="1" applyFont="1" applyBorder="1"/>
    <xf numFmtId="165" fontId="2" fillId="0" borderId="22" xfId="0" applyNumberFormat="1" applyFont="1" applyBorder="1"/>
    <xf numFmtId="14" fontId="2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2" fillId="0" borderId="23" xfId="0" applyFont="1" applyBorder="1" applyAlignment="1">
      <alignment horizontal="center"/>
    </xf>
    <xf numFmtId="165" fontId="2" fillId="0" borderId="23" xfId="3" applyFont="1" applyFill="1" applyBorder="1"/>
    <xf numFmtId="2" fontId="2" fillId="0" borderId="23" xfId="3" applyNumberFormat="1" applyFont="1" applyFill="1" applyBorder="1"/>
    <xf numFmtId="14" fontId="2" fillId="0" borderId="23" xfId="0" applyNumberFormat="1" applyFont="1" applyBorder="1"/>
    <xf numFmtId="165" fontId="2" fillId="0" borderId="23" xfId="0" applyNumberFormat="1" applyFont="1" applyBorder="1"/>
    <xf numFmtId="0" fontId="22" fillId="5" borderId="0" xfId="0" applyFont="1" applyFill="1"/>
    <xf numFmtId="0" fontId="22" fillId="5" borderId="5" xfId="0" applyFont="1" applyFill="1" applyBorder="1"/>
    <xf numFmtId="0" fontId="23" fillId="5" borderId="6" xfId="0" applyFont="1" applyFill="1" applyBorder="1"/>
    <xf numFmtId="0" fontId="22" fillId="5" borderId="8" xfId="0" applyFont="1" applyFill="1" applyBorder="1"/>
    <xf numFmtId="0" fontId="23" fillId="5" borderId="0" xfId="0" applyFont="1" applyFill="1"/>
    <xf numFmtId="0" fontId="26" fillId="5" borderId="0" xfId="0" applyFont="1" applyFill="1" applyAlignment="1">
      <alignment horizontal="center"/>
    </xf>
    <xf numFmtId="0" fontId="23" fillId="5" borderId="9" xfId="0" applyFont="1" applyFill="1" applyBorder="1"/>
    <xf numFmtId="0" fontId="23" fillId="5" borderId="0" xfId="0" applyFont="1" applyFill="1" applyAlignment="1">
      <alignment vertical="center"/>
    </xf>
    <xf numFmtId="0" fontId="24" fillId="5" borderId="0" xfId="0" applyFont="1" applyFill="1" applyAlignment="1">
      <alignment vertical="center"/>
    </xf>
    <xf numFmtId="0" fontId="26" fillId="5" borderId="1" xfId="0" applyFont="1" applyFill="1" applyBorder="1"/>
    <xf numFmtId="0" fontId="28" fillId="5" borderId="1" xfId="0" applyFont="1" applyFill="1" applyBorder="1"/>
    <xf numFmtId="0" fontId="28" fillId="5" borderId="26" xfId="0" applyFont="1" applyFill="1" applyBorder="1"/>
    <xf numFmtId="0" fontId="22" fillId="5" borderId="1" xfId="0" applyFont="1" applyFill="1" applyBorder="1" applyProtection="1">
      <protection locked="0"/>
    </xf>
    <xf numFmtId="0" fontId="22" fillId="5" borderId="26" xfId="0" applyFont="1" applyFill="1" applyBorder="1"/>
    <xf numFmtId="0" fontId="22" fillId="5" borderId="10" xfId="0" applyFont="1" applyFill="1" applyBorder="1"/>
    <xf numFmtId="0" fontId="23" fillId="5" borderId="11" xfId="0" applyFont="1" applyFill="1" applyBorder="1"/>
    <xf numFmtId="0" fontId="23" fillId="5" borderId="12" xfId="0" applyFont="1" applyFill="1" applyBorder="1"/>
    <xf numFmtId="0" fontId="29" fillId="5" borderId="6" xfId="0" applyFont="1" applyFill="1" applyBorder="1"/>
    <xf numFmtId="0" fontId="22" fillId="5" borderId="24" xfId="0" applyFont="1" applyFill="1" applyBorder="1"/>
    <xf numFmtId="0" fontId="29" fillId="5" borderId="0" xfId="0" applyFont="1" applyFill="1"/>
    <xf numFmtId="0" fontId="29" fillId="5" borderId="9" xfId="0" applyFont="1" applyFill="1" applyBorder="1"/>
    <xf numFmtId="0" fontId="22" fillId="5" borderId="0" xfId="0" applyFont="1" applyFill="1" applyAlignment="1">
      <alignment horizontal="center"/>
    </xf>
    <xf numFmtId="0" fontId="26" fillId="5" borderId="0" xfId="0" applyFont="1" applyFill="1"/>
    <xf numFmtId="2" fontId="22" fillId="5" borderId="0" xfId="0" applyNumberFormat="1" applyFont="1" applyFill="1"/>
    <xf numFmtId="0" fontId="29" fillId="5" borderId="13" xfId="0" applyFont="1" applyFill="1" applyBorder="1"/>
    <xf numFmtId="0" fontId="29" fillId="5" borderId="14" xfId="0" applyFont="1" applyFill="1" applyBorder="1" applyAlignment="1">
      <alignment horizontal="center"/>
    </xf>
    <xf numFmtId="0" fontId="31" fillId="5" borderId="0" xfId="0" applyFont="1" applyFill="1"/>
    <xf numFmtId="0" fontId="31" fillId="5" borderId="0" xfId="0" applyFont="1" applyFill="1" applyAlignment="1">
      <alignment vertical="center" wrapText="1"/>
    </xf>
    <xf numFmtId="0" fontId="22" fillId="5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 applyProtection="1">
      <alignment horizontal="center" vertical="center"/>
      <protection locked="0"/>
    </xf>
    <xf numFmtId="0" fontId="22" fillId="5" borderId="0" xfId="0" applyFont="1" applyFill="1" applyAlignment="1" applyProtection="1">
      <alignment horizontal="center" vertical="center"/>
      <protection locked="0"/>
    </xf>
    <xf numFmtId="170" fontId="22" fillId="5" borderId="0" xfId="0" applyNumberFormat="1" applyFont="1" applyFill="1"/>
    <xf numFmtId="2" fontId="22" fillId="5" borderId="1" xfId="0" applyNumberFormat="1" applyFont="1" applyFill="1" applyBorder="1" applyAlignment="1" applyProtection="1">
      <alignment horizontal="center" vertical="center"/>
      <protection locked="0"/>
    </xf>
    <xf numFmtId="2" fontId="22" fillId="5" borderId="0" xfId="0" applyNumberFormat="1" applyFont="1" applyFill="1" applyAlignment="1" applyProtection="1">
      <alignment horizontal="center" vertical="center"/>
      <protection locked="0"/>
    </xf>
    <xf numFmtId="0" fontId="36" fillId="5" borderId="0" xfId="0" applyFont="1" applyFill="1" applyAlignment="1">
      <alignment horizontal="left" vertical="top" wrapText="1"/>
    </xf>
    <xf numFmtId="0" fontId="22" fillId="5" borderId="1" xfId="0" applyFont="1" applyFill="1" applyBorder="1"/>
    <xf numFmtId="0" fontId="29" fillId="5" borderId="12" xfId="0" applyFont="1" applyFill="1" applyBorder="1"/>
    <xf numFmtId="0" fontId="26" fillId="6" borderId="8" xfId="0" applyFont="1" applyFill="1" applyBorder="1"/>
    <xf numFmtId="0" fontId="39" fillId="6" borderId="9" xfId="0" applyFont="1" applyFill="1" applyBorder="1"/>
    <xf numFmtId="0" fontId="22" fillId="5" borderId="30" xfId="0" applyFont="1" applyFill="1" applyBorder="1"/>
    <xf numFmtId="168" fontId="32" fillId="5" borderId="31" xfId="0" applyNumberFormat="1" applyFont="1" applyFill="1" applyBorder="1" applyAlignment="1" applyProtection="1">
      <alignment horizontal="center"/>
      <protection locked="0"/>
    </xf>
    <xf numFmtId="168" fontId="32" fillId="5" borderId="31" xfId="0" applyNumberFormat="1" applyFont="1" applyFill="1" applyBorder="1" applyAlignment="1">
      <alignment horizontal="center"/>
    </xf>
    <xf numFmtId="0" fontId="29" fillId="5" borderId="32" xfId="0" applyFont="1" applyFill="1" applyBorder="1"/>
    <xf numFmtId="168" fontId="34" fillId="5" borderId="31" xfId="2" applyNumberFormat="1" applyFont="1" applyFill="1" applyBorder="1" applyAlignment="1" applyProtection="1">
      <alignment horizontal="center"/>
      <protection locked="0"/>
    </xf>
    <xf numFmtId="0" fontId="22" fillId="5" borderId="33" xfId="0" applyFont="1" applyFill="1" applyBorder="1"/>
    <xf numFmtId="168" fontId="32" fillId="5" borderId="34" xfId="0" applyNumberFormat="1" applyFont="1" applyFill="1" applyBorder="1" applyAlignment="1" applyProtection="1">
      <alignment horizontal="center"/>
      <protection locked="0"/>
    </xf>
    <xf numFmtId="168" fontId="32" fillId="5" borderId="34" xfId="0" applyNumberFormat="1" applyFont="1" applyFill="1" applyBorder="1" applyAlignment="1">
      <alignment horizontal="center"/>
    </xf>
    <xf numFmtId="0" fontId="29" fillId="5" borderId="35" xfId="0" applyFont="1" applyFill="1" applyBorder="1"/>
    <xf numFmtId="0" fontId="22" fillId="7" borderId="27" xfId="0" applyFont="1" applyFill="1" applyBorder="1"/>
    <xf numFmtId="168" fontId="32" fillId="7" borderId="28" xfId="0" applyNumberFormat="1" applyFont="1" applyFill="1" applyBorder="1" applyAlignment="1" applyProtection="1">
      <alignment horizontal="center"/>
      <protection locked="0"/>
    </xf>
    <xf numFmtId="168" fontId="32" fillId="7" borderId="28" xfId="0" applyNumberFormat="1" applyFont="1" applyFill="1" applyBorder="1" applyAlignment="1">
      <alignment horizontal="center"/>
    </xf>
    <xf numFmtId="2" fontId="35" fillId="7" borderId="29" xfId="0" applyNumberFormat="1" applyFont="1" applyFill="1" applyBorder="1"/>
    <xf numFmtId="0" fontId="22" fillId="7" borderId="30" xfId="0" applyFont="1" applyFill="1" applyBorder="1"/>
    <xf numFmtId="168" fontId="34" fillId="7" borderId="31" xfId="2" applyNumberFormat="1" applyFont="1" applyFill="1" applyBorder="1" applyAlignment="1" applyProtection="1">
      <alignment horizontal="center"/>
      <protection locked="0"/>
    </xf>
    <xf numFmtId="168" fontId="32" fillId="7" borderId="31" xfId="0" applyNumberFormat="1" applyFont="1" applyFill="1" applyBorder="1" applyAlignment="1">
      <alignment horizontal="center"/>
    </xf>
    <xf numFmtId="0" fontId="29" fillId="7" borderId="32" xfId="0" applyFont="1" applyFill="1" applyBorder="1"/>
    <xf numFmtId="168" fontId="32" fillId="7" borderId="31" xfId="0" applyNumberFormat="1" applyFont="1" applyFill="1" applyBorder="1" applyAlignment="1" applyProtection="1">
      <alignment horizontal="center"/>
      <protection locked="0"/>
    </xf>
    <xf numFmtId="170" fontId="36" fillId="8" borderId="0" xfId="0" applyNumberFormat="1" applyFont="1" applyFill="1" applyAlignment="1">
      <alignment horizontal="right"/>
    </xf>
    <xf numFmtId="14" fontId="22" fillId="5" borderId="0" xfId="0" applyNumberFormat="1" applyFont="1" applyFill="1" applyProtection="1">
      <protection locked="0"/>
    </xf>
    <xf numFmtId="14" fontId="22" fillId="5" borderId="0" xfId="0" applyNumberFormat="1" applyFont="1" applyFill="1" applyAlignment="1">
      <alignment horizontal="center"/>
    </xf>
    <xf numFmtId="14" fontId="40" fillId="5" borderId="0" xfId="0" applyNumberFormat="1" applyFont="1" applyFill="1" applyAlignment="1" applyProtection="1">
      <alignment horizontal="left"/>
      <protection locked="0"/>
    </xf>
    <xf numFmtId="0" fontId="40" fillId="5" borderId="0" xfId="0" applyFont="1" applyFill="1" applyProtection="1">
      <protection locked="0"/>
    </xf>
    <xf numFmtId="0" fontId="36" fillId="5" borderId="11" xfId="0" applyFont="1" applyFill="1" applyBorder="1" applyProtection="1">
      <protection locked="0"/>
    </xf>
    <xf numFmtId="0" fontId="36" fillId="5" borderId="11" xfId="0" applyFont="1" applyFill="1" applyBorder="1"/>
    <xf numFmtId="14" fontId="40" fillId="7" borderId="0" xfId="0" applyNumberFormat="1" applyFont="1" applyFill="1" applyProtection="1">
      <protection locked="0"/>
    </xf>
    <xf numFmtId="0" fontId="40" fillId="7" borderId="0" xfId="0" applyFont="1" applyFill="1" applyProtection="1">
      <protection locked="0"/>
    </xf>
    <xf numFmtId="0" fontId="41" fillId="5" borderId="0" xfId="0" applyFont="1" applyFill="1"/>
    <xf numFmtId="0" fontId="41" fillId="5" borderId="0" xfId="0" applyFont="1" applyFill="1" applyAlignment="1">
      <alignment horizontal="center"/>
    </xf>
    <xf numFmtId="0" fontId="41" fillId="5" borderId="0" xfId="0" applyFont="1" applyFill="1" applyAlignment="1" applyProtection="1">
      <alignment horizontal="center"/>
      <protection locked="0"/>
    </xf>
    <xf numFmtId="2" fontId="41" fillId="5" borderId="0" xfId="0" applyNumberFormat="1" applyFont="1" applyFill="1" applyAlignment="1" applyProtection="1">
      <alignment horizontal="center"/>
      <protection locked="0"/>
    </xf>
    <xf numFmtId="2" fontId="41" fillId="5" borderId="0" xfId="0" applyNumberFormat="1" applyFont="1" applyFill="1"/>
    <xf numFmtId="0" fontId="42" fillId="5" borderId="0" xfId="0" applyFont="1" applyFill="1"/>
    <xf numFmtId="170" fontId="36" fillId="8" borderId="11" xfId="0" applyNumberFormat="1" applyFont="1" applyFill="1" applyBorder="1" applyAlignment="1" applyProtection="1">
      <alignment horizontal="right"/>
      <protection locked="0"/>
    </xf>
    <xf numFmtId="1" fontId="32" fillId="7" borderId="31" xfId="0" applyNumberFormat="1" applyFont="1" applyFill="1" applyBorder="1" applyAlignment="1" applyProtection="1">
      <alignment horizontal="center"/>
      <protection locked="0"/>
    </xf>
    <xf numFmtId="167" fontId="32" fillId="7" borderId="31" xfId="0" applyNumberFormat="1" applyFont="1" applyFill="1" applyBorder="1" applyAlignment="1" applyProtection="1">
      <alignment horizontal="center"/>
      <protection locked="0"/>
    </xf>
    <xf numFmtId="0" fontId="32" fillId="5" borderId="31" xfId="0" applyFont="1" applyFill="1" applyBorder="1" applyAlignment="1">
      <alignment horizontal="center"/>
    </xf>
    <xf numFmtId="0" fontId="22" fillId="5" borderId="0" xfId="0" applyFont="1" applyFill="1" applyAlignment="1">
      <alignment horizontal="center"/>
    </xf>
    <xf numFmtId="0" fontId="41" fillId="5" borderId="0" xfId="0" applyFont="1" applyFill="1" applyAlignment="1">
      <alignment horizontal="center"/>
    </xf>
    <xf numFmtId="1" fontId="32" fillId="5" borderId="31" xfId="0" applyNumberFormat="1" applyFont="1" applyFill="1" applyBorder="1" applyAlignment="1" applyProtection="1">
      <alignment horizontal="center"/>
      <protection locked="0"/>
    </xf>
    <xf numFmtId="167" fontId="32" fillId="5" borderId="31" xfId="0" applyNumberFormat="1" applyFont="1" applyFill="1" applyBorder="1" applyAlignment="1" applyProtection="1">
      <alignment horizontal="center"/>
      <protection locked="0"/>
    </xf>
    <xf numFmtId="0" fontId="32" fillId="5" borderId="0" xfId="0" applyFont="1" applyFill="1" applyAlignment="1">
      <alignment horizontal="left"/>
    </xf>
    <xf numFmtId="0" fontId="36" fillId="7" borderId="14" xfId="0" applyFont="1" applyFill="1" applyBorder="1" applyAlignment="1" applyProtection="1">
      <alignment horizontal="left"/>
      <protection locked="0"/>
    </xf>
    <xf numFmtId="0" fontId="32" fillId="7" borderId="31" xfId="0" applyFont="1" applyFill="1" applyBorder="1" applyAlignment="1">
      <alignment horizontal="center"/>
    </xf>
    <xf numFmtId="0" fontId="24" fillId="5" borderId="6" xfId="0" applyFont="1" applyFill="1" applyBorder="1" applyAlignment="1">
      <alignment horizontal="right"/>
    </xf>
    <xf numFmtId="14" fontId="23" fillId="5" borderId="0" xfId="0" applyNumberFormat="1" applyFont="1" applyFill="1" applyAlignment="1">
      <alignment horizontal="left"/>
    </xf>
    <xf numFmtId="0" fontId="23" fillId="5" borderId="0" xfId="0" applyFont="1" applyFill="1" applyAlignment="1">
      <alignment horizontal="left"/>
    </xf>
    <xf numFmtId="166" fontId="25" fillId="5" borderId="6" xfId="0" applyNumberFormat="1" applyFont="1" applyFill="1" applyBorder="1" applyAlignment="1" applyProtection="1">
      <alignment horizontal="left"/>
      <protection locked="0"/>
    </xf>
    <xf numFmtId="166" fontId="25" fillId="5" borderId="7" xfId="0" applyNumberFormat="1" applyFont="1" applyFill="1" applyBorder="1" applyAlignment="1" applyProtection="1">
      <alignment horizontal="left"/>
      <protection locked="0"/>
    </xf>
    <xf numFmtId="0" fontId="39" fillId="6" borderId="0" xfId="0" applyFont="1" applyFill="1" applyAlignment="1">
      <alignment horizontal="center"/>
    </xf>
    <xf numFmtId="0" fontId="29" fillId="5" borderId="14" xfId="0" applyFont="1" applyFill="1" applyBorder="1" applyAlignment="1">
      <alignment horizontal="center"/>
    </xf>
    <xf numFmtId="0" fontId="29" fillId="5" borderId="14" xfId="0" applyFont="1" applyFill="1" applyBorder="1" applyAlignment="1">
      <alignment horizontal="left"/>
    </xf>
    <xf numFmtId="0" fontId="29" fillId="5" borderId="6" xfId="0" applyFont="1" applyFill="1" applyBorder="1" applyAlignment="1">
      <alignment horizontal="left"/>
    </xf>
    <xf numFmtId="0" fontId="29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0" fontId="23" fillId="5" borderId="9" xfId="0" applyFont="1" applyFill="1" applyBorder="1" applyAlignment="1">
      <alignment horizontal="center"/>
    </xf>
    <xf numFmtId="0" fontId="23" fillId="5" borderId="0" xfId="0" applyFont="1" applyFill="1" applyAlignment="1">
      <alignment horizontal="right"/>
    </xf>
    <xf numFmtId="0" fontId="27" fillId="5" borderId="0" xfId="0" applyFont="1" applyFill="1" applyAlignment="1">
      <alignment horizontal="center"/>
    </xf>
    <xf numFmtId="0" fontId="30" fillId="5" borderId="0" xfId="0" applyFont="1" applyFill="1" applyAlignment="1">
      <alignment horizontal="left"/>
    </xf>
    <xf numFmtId="0" fontId="29" fillId="5" borderId="25" xfId="0" applyFont="1" applyFill="1" applyBorder="1" applyAlignment="1">
      <alignment horizontal="left"/>
    </xf>
    <xf numFmtId="0" fontId="32" fillId="7" borderId="28" xfId="0" applyFont="1" applyFill="1" applyBorder="1" applyAlignment="1">
      <alignment horizontal="center"/>
    </xf>
    <xf numFmtId="0" fontId="36" fillId="8" borderId="0" xfId="0" applyFont="1" applyFill="1" applyAlignment="1">
      <alignment horizontal="left"/>
    </xf>
    <xf numFmtId="0" fontId="35" fillId="5" borderId="0" xfId="0" applyFont="1" applyFill="1" applyAlignment="1">
      <alignment horizontal="left"/>
    </xf>
    <xf numFmtId="167" fontId="36" fillId="8" borderId="0" xfId="0" applyNumberFormat="1" applyFont="1" applyFill="1" applyAlignment="1">
      <alignment horizontal="left"/>
    </xf>
    <xf numFmtId="168" fontId="36" fillId="8" borderId="0" xfId="0" applyNumberFormat="1" applyFont="1" applyFill="1" applyAlignment="1">
      <alignment horizontal="left"/>
    </xf>
    <xf numFmtId="0" fontId="32" fillId="5" borderId="34" xfId="0" applyFont="1" applyFill="1" applyBorder="1" applyAlignment="1">
      <alignment horizontal="center"/>
    </xf>
    <xf numFmtId="0" fontId="24" fillId="5" borderId="0" xfId="0" applyFont="1" applyFill="1" applyAlignment="1" applyProtection="1">
      <alignment horizontal="left" vertical="center"/>
      <protection locked="0"/>
    </xf>
    <xf numFmtId="1" fontId="34" fillId="5" borderId="31" xfId="2" applyNumberFormat="1" applyFont="1" applyFill="1" applyBorder="1" applyAlignment="1" applyProtection="1">
      <alignment horizontal="center"/>
      <protection locked="0"/>
    </xf>
    <xf numFmtId="167" fontId="34" fillId="5" borderId="31" xfId="2" applyNumberFormat="1" applyFont="1" applyFill="1" applyBorder="1" applyAlignment="1" applyProtection="1">
      <alignment horizontal="center"/>
      <protection locked="0"/>
    </xf>
    <xf numFmtId="173" fontId="34" fillId="7" borderId="28" xfId="2" applyNumberFormat="1" applyFont="1" applyFill="1" applyBorder="1" applyAlignment="1" applyProtection="1">
      <alignment horizontal="center"/>
      <protection locked="0"/>
    </xf>
    <xf numFmtId="167" fontId="34" fillId="7" borderId="28" xfId="2" applyNumberFormat="1" applyFont="1" applyFill="1" applyBorder="1" applyAlignment="1" applyProtection="1">
      <alignment horizontal="center"/>
      <protection locked="0"/>
    </xf>
    <xf numFmtId="173" fontId="34" fillId="5" borderId="31" xfId="2" applyNumberFormat="1" applyFont="1" applyFill="1" applyBorder="1" applyAlignment="1" applyProtection="1">
      <alignment horizontal="center"/>
      <protection locked="0"/>
    </xf>
    <xf numFmtId="173" fontId="34" fillId="7" borderId="31" xfId="2" applyNumberFormat="1" applyFont="1" applyFill="1" applyBorder="1" applyAlignment="1" applyProtection="1">
      <alignment horizontal="center"/>
      <protection locked="0"/>
    </xf>
    <xf numFmtId="167" fontId="34" fillId="7" borderId="31" xfId="2" applyNumberFormat="1" applyFont="1" applyFill="1" applyBorder="1" applyAlignment="1" applyProtection="1">
      <alignment horizontal="center"/>
      <protection locked="0"/>
    </xf>
    <xf numFmtId="1" fontId="34" fillId="7" borderId="31" xfId="2" applyNumberFormat="1" applyFont="1" applyFill="1" applyBorder="1" applyAlignment="1" applyProtection="1">
      <alignment horizontal="center"/>
      <protection locked="0"/>
    </xf>
    <xf numFmtId="0" fontId="35" fillId="5" borderId="11" xfId="0" applyFont="1" applyFill="1" applyBorder="1"/>
    <xf numFmtId="0" fontId="36" fillId="8" borderId="11" xfId="0" applyFont="1" applyFill="1" applyBorder="1" applyAlignment="1">
      <alignment horizontal="left"/>
    </xf>
    <xf numFmtId="1" fontId="32" fillId="5" borderId="34" xfId="0" applyNumberFormat="1" applyFont="1" applyFill="1" applyBorder="1" applyAlignment="1" applyProtection="1">
      <alignment horizontal="center"/>
      <protection locked="0"/>
    </xf>
    <xf numFmtId="167" fontId="32" fillId="5" borderId="34" xfId="0" applyNumberFormat="1" applyFont="1" applyFill="1" applyBorder="1" applyAlignment="1" applyProtection="1">
      <alignment horizontal="center"/>
      <protection locked="0"/>
    </xf>
    <xf numFmtId="14" fontId="36" fillId="7" borderId="0" xfId="0" applyNumberFormat="1" applyFont="1" applyFill="1" applyProtection="1">
      <protection locked="0"/>
    </xf>
    <xf numFmtId="0" fontId="8" fillId="0" borderId="0" xfId="0" applyFont="1" applyAlignment="1">
      <alignment horizontal="right"/>
    </xf>
    <xf numFmtId="14" fontId="8" fillId="0" borderId="0" xfId="0" applyNumberFormat="1" applyFont="1" applyAlignment="1" applyProtection="1">
      <alignment horizontal="left"/>
      <protection locked="0"/>
    </xf>
    <xf numFmtId="0" fontId="9" fillId="0" borderId="0" xfId="0" applyFont="1" applyAlignment="1">
      <alignment horizontal="left"/>
    </xf>
    <xf numFmtId="0" fontId="8" fillId="0" borderId="11" xfId="0" applyFont="1" applyBorder="1" applyAlignment="1">
      <alignment horizontal="right"/>
    </xf>
    <xf numFmtId="0" fontId="8" fillId="0" borderId="11" xfId="0" applyFont="1" applyBorder="1" applyAlignment="1">
      <alignment horizontal="left"/>
    </xf>
    <xf numFmtId="14" fontId="8" fillId="0" borderId="0" xfId="0" applyNumberFormat="1" applyFont="1" applyProtection="1">
      <protection locked="0"/>
    </xf>
    <xf numFmtId="0" fontId="9" fillId="0" borderId="0" xfId="0" applyFont="1" applyAlignment="1">
      <alignment horizontal="right"/>
    </xf>
    <xf numFmtId="0" fontId="9" fillId="0" borderId="14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167" fontId="8" fillId="0" borderId="0" xfId="0" applyNumberFormat="1" applyFont="1" applyAlignment="1">
      <alignment horizontal="left"/>
    </xf>
    <xf numFmtId="168" fontId="8" fillId="0" borderId="0" xfId="0" applyNumberFormat="1" applyFont="1" applyAlignment="1">
      <alignment horizontal="left"/>
    </xf>
    <xf numFmtId="0" fontId="15" fillId="0" borderId="0" xfId="0" applyFont="1" applyAlignment="1">
      <alignment horizontal="right"/>
    </xf>
    <xf numFmtId="169" fontId="8" fillId="0" borderId="0" xfId="0" applyNumberFormat="1" applyFont="1" applyAlignment="1" applyProtection="1">
      <alignment horizontal="left"/>
      <protection locked="0"/>
    </xf>
    <xf numFmtId="0" fontId="9" fillId="0" borderId="0" xfId="0" applyFont="1" applyAlignment="1">
      <alignment horizontal="center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167" fontId="9" fillId="0" borderId="0" xfId="0" applyNumberFormat="1" applyFont="1" applyAlignment="1" applyProtection="1">
      <alignment horizontal="center"/>
      <protection locked="0"/>
    </xf>
    <xf numFmtId="0" fontId="9" fillId="0" borderId="13" xfId="0" applyFont="1" applyBorder="1" applyAlignment="1">
      <alignment horizontal="center"/>
    </xf>
    <xf numFmtId="0" fontId="9" fillId="0" borderId="13" xfId="0" applyFont="1" applyBorder="1" applyAlignment="1" applyProtection="1">
      <alignment horizontal="center"/>
      <protection locked="0"/>
    </xf>
    <xf numFmtId="2" fontId="9" fillId="0" borderId="13" xfId="0" applyNumberFormat="1" applyFont="1" applyBorder="1" applyAlignment="1" applyProtection="1">
      <alignment horizontal="center"/>
      <protection locked="0"/>
    </xf>
    <xf numFmtId="167" fontId="9" fillId="0" borderId="13" xfId="0" applyNumberFormat="1" applyFont="1" applyBorder="1" applyAlignment="1" applyProtection="1">
      <alignment horizontal="center"/>
      <protection locked="0"/>
    </xf>
    <xf numFmtId="14" fontId="9" fillId="0" borderId="0" xfId="0" applyNumberFormat="1" applyFont="1" applyProtection="1"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2" fontId="9" fillId="0" borderId="0" xfId="0" applyNumberFormat="1" applyFont="1" applyAlignment="1" applyProtection="1">
      <alignment horizontal="left"/>
      <protection locked="0"/>
    </xf>
    <xf numFmtId="2" fontId="9" fillId="0" borderId="0" xfId="0" applyNumberFormat="1" applyFont="1" applyProtection="1">
      <protection locked="0"/>
    </xf>
    <xf numFmtId="0" fontId="9" fillId="0" borderId="14" xfId="0" applyFont="1" applyBorder="1" applyProtection="1">
      <protection locked="0"/>
    </xf>
    <xf numFmtId="2" fontId="9" fillId="0" borderId="14" xfId="0" applyNumberFormat="1" applyFont="1" applyBorder="1" applyAlignment="1" applyProtection="1">
      <alignment horizontal="center"/>
      <protection locked="0"/>
    </xf>
    <xf numFmtId="167" fontId="9" fillId="0" borderId="14" xfId="0" applyNumberFormat="1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left"/>
      <protection locked="0"/>
    </xf>
    <xf numFmtId="0" fontId="5" fillId="0" borderId="13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5" fillId="0" borderId="6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14" fillId="0" borderId="6" xfId="0" applyFont="1" applyBorder="1" applyAlignment="1">
      <alignment horizontal="right"/>
    </xf>
    <xf numFmtId="166" fontId="13" fillId="0" borderId="6" xfId="0" applyNumberFormat="1" applyFont="1" applyBorder="1" applyAlignment="1">
      <alignment horizontal="left"/>
    </xf>
    <xf numFmtId="166" fontId="13" fillId="0" borderId="7" xfId="0" applyNumberFormat="1" applyFont="1" applyBorder="1" applyAlignment="1">
      <alignment horizontal="left"/>
    </xf>
    <xf numFmtId="0" fontId="4" fillId="0" borderId="0" xfId="0" applyFont="1" applyAlignment="1">
      <alignment horizontal="right"/>
    </xf>
    <xf numFmtId="14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9" xfId="0" applyFont="1" applyBorder="1" applyAlignment="1">
      <alignment horizontal="center"/>
    </xf>
    <xf numFmtId="0" fontId="33" fillId="7" borderId="28" xfId="0" applyFont="1" applyFill="1" applyBorder="1" applyAlignment="1" applyProtection="1">
      <alignment horizontal="right" wrapText="1"/>
      <protection locked="0"/>
    </xf>
    <xf numFmtId="17" fontId="33" fillId="5" borderId="31" xfId="0" applyNumberFormat="1" applyFont="1" applyFill="1" applyBorder="1" applyAlignment="1" applyProtection="1">
      <alignment horizontal="right" wrapText="1"/>
      <protection locked="0"/>
    </xf>
    <xf numFmtId="0" fontId="33" fillId="7" borderId="31" xfId="0" applyFont="1" applyFill="1" applyBorder="1" applyAlignment="1" applyProtection="1">
      <alignment horizontal="right" wrapText="1"/>
      <protection locked="0"/>
    </xf>
    <xf numFmtId="0" fontId="33" fillId="5" borderId="31" xfId="0" applyFont="1" applyFill="1" applyBorder="1" applyAlignment="1" applyProtection="1">
      <alignment horizontal="right" wrapText="1"/>
      <protection locked="0"/>
    </xf>
    <xf numFmtId="0" fontId="37" fillId="7" borderId="31" xfId="0" applyFont="1" applyFill="1" applyBorder="1" applyAlignment="1" applyProtection="1">
      <alignment horizontal="right"/>
      <protection locked="0"/>
    </xf>
    <xf numFmtId="164" fontId="38" fillId="5" borderId="31" xfId="0" applyNumberFormat="1" applyFont="1" applyFill="1" applyBorder="1" applyAlignment="1" applyProtection="1">
      <alignment horizontal="right"/>
      <protection locked="0"/>
    </xf>
    <xf numFmtId="0" fontId="38" fillId="5" borderId="31" xfId="0" applyFont="1" applyFill="1" applyBorder="1" applyAlignment="1" applyProtection="1">
      <alignment horizontal="right"/>
      <protection locked="0"/>
    </xf>
    <xf numFmtId="0" fontId="32" fillId="7" borderId="31" xfId="0" applyFont="1" applyFill="1" applyBorder="1" applyAlignment="1" applyProtection="1">
      <alignment horizontal="right"/>
      <protection locked="0"/>
    </xf>
    <xf numFmtId="0" fontId="22" fillId="5" borderId="31" xfId="0" applyFont="1" applyFill="1" applyBorder="1" applyAlignment="1" applyProtection="1">
      <alignment horizontal="right"/>
      <protection locked="0"/>
    </xf>
    <xf numFmtId="2" fontId="32" fillId="5" borderId="31" xfId="0" applyNumberFormat="1" applyFont="1" applyFill="1" applyBorder="1" applyAlignment="1" applyProtection="1">
      <alignment horizontal="right"/>
      <protection locked="0"/>
    </xf>
    <xf numFmtId="2" fontId="32" fillId="7" borderId="31" xfId="0" applyNumberFormat="1" applyFont="1" applyFill="1" applyBorder="1" applyAlignment="1" applyProtection="1">
      <alignment horizontal="right"/>
      <protection locked="0"/>
    </xf>
    <xf numFmtId="0" fontId="32" fillId="5" borderId="31" xfId="0" applyFont="1" applyFill="1" applyBorder="1" applyAlignment="1" applyProtection="1">
      <alignment horizontal="right"/>
      <protection locked="0"/>
    </xf>
    <xf numFmtId="0" fontId="32" fillId="7" borderId="31" xfId="0" applyFont="1" applyFill="1" applyBorder="1" applyAlignment="1" applyProtection="1">
      <alignment horizontal="right" wrapText="1"/>
      <protection locked="0"/>
    </xf>
    <xf numFmtId="0" fontId="33" fillId="7" borderId="31" xfId="0" applyFont="1" applyFill="1" applyBorder="1" applyAlignment="1" applyProtection="1">
      <alignment horizontal="right"/>
      <protection locked="0"/>
    </xf>
    <xf numFmtId="14" fontId="32" fillId="7" borderId="31" xfId="0" applyNumberFormat="1" applyFont="1" applyFill="1" applyBorder="1" applyAlignment="1" applyProtection="1">
      <alignment horizontal="right"/>
      <protection locked="0"/>
    </xf>
    <xf numFmtId="0" fontId="32" fillId="5" borderId="34" xfId="0" applyFont="1" applyFill="1" applyBorder="1" applyAlignment="1" applyProtection="1">
      <alignment horizontal="right"/>
      <protection locked="0"/>
    </xf>
  </cellXfs>
  <cellStyles count="4">
    <cellStyle name="Comma 2" xfId="2" xr:uid="{00000000-0005-0000-0000-000000000000}"/>
    <cellStyle name="Hipervínculo" xfId="1" builtinId="8"/>
    <cellStyle name="Moneda" xfId="3" builtinId="4"/>
    <cellStyle name="Normal" xfId="0" builtinId="0"/>
  </cellStyles>
  <dxfs count="3">
    <dxf>
      <font>
        <b/>
        <i val="0"/>
        <strike val="0"/>
        <color theme="3"/>
      </font>
      <fill>
        <patternFill>
          <bgColor theme="0" tint="-0.14996795556505021"/>
        </patternFill>
      </fill>
      <border>
        <horizontal/>
      </border>
    </dxf>
    <dxf>
      <font>
        <b/>
        <i val="0"/>
        <strike val="0"/>
        <color theme="0"/>
      </font>
      <fill>
        <patternFill patternType="solid">
          <fgColor theme="5"/>
          <bgColor theme="1" tint="0.499984740745262"/>
        </patternFill>
      </fill>
      <border>
        <vertical style="thin">
          <color theme="1" tint="0.34998626667073579"/>
        </vertical>
        <horizontal/>
      </border>
    </dxf>
    <dxf>
      <font>
        <b val="0"/>
        <i val="0"/>
        <strike val="0"/>
        <color theme="3"/>
      </font>
      <fill>
        <patternFill patternType="none">
          <bgColor auto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xpenseReport_Table1" pivot="0" count="3" xr9:uid="{00000000-0011-0000-FFFF-FFFF00000000}">
      <tableStyleElement type="wholeTable" dxfId="2"/>
      <tableStyleElement type="headerRow" dxfId="1"/>
      <tableStyleElement type="total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16" fmlaLink="Proveedores!$I$3" fmlaRange="Proveedores!$A$4:$A$1217" sel="0" val="102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150617</xdr:colOff>
      <xdr:row>1</xdr:row>
      <xdr:rowOff>272415</xdr:rowOff>
    </xdr:from>
    <xdr:to>
      <xdr:col>5</xdr:col>
      <xdr:colOff>790026</xdr:colOff>
      <xdr:row>3</xdr:row>
      <xdr:rowOff>55245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1" y="296734"/>
          <a:ext cx="1660813" cy="520511"/>
        </a:xfrm>
        <a:prstGeom prst="rect">
          <a:avLst/>
        </a:prstGeom>
      </xdr:spPr>
    </xdr:pic>
    <xdr:clientData/>
  </xdr:twoCellAnchor>
  <xdr:twoCellAnchor>
    <xdr:from>
      <xdr:col>16</xdr:col>
      <xdr:colOff>166687</xdr:colOff>
      <xdr:row>1</xdr:row>
      <xdr:rowOff>390525</xdr:rowOff>
    </xdr:from>
    <xdr:to>
      <xdr:col>19</xdr:col>
      <xdr:colOff>160337</xdr:colOff>
      <xdr:row>3</xdr:row>
      <xdr:rowOff>223837</xdr:rowOff>
    </xdr:to>
    <xdr:sp macro="[0]!CopiarEnPdf.CopiarEnPdf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8A75157-9FF9-7F0F-F5A3-F817D24C7382}"/>
            </a:ext>
          </a:extLst>
        </xdr:cNvPr>
        <xdr:cNvSpPr/>
      </xdr:nvSpPr>
      <xdr:spPr>
        <a:xfrm>
          <a:off x="7258050" y="419100"/>
          <a:ext cx="2032000" cy="571500"/>
        </a:xfrm>
        <a:prstGeom prst="roundRect">
          <a:avLst/>
        </a:prstGeom>
        <a:solidFill>
          <a:srgbClr val="E81123"/>
        </a:solidFill>
        <a:ln w="1270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>
              <a:alpha val="40000"/>
            </a:sc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>
              <a:solidFill>
                <a:srgbClr val="FFFFFF"/>
              </a:solidFill>
              <a:latin typeface="Segoe UI" panose="020B0502040204020203" pitchFamily="34" charset="0"/>
            </a:rPr>
            <a:t>🚀 CREAR ORDEN</a:t>
          </a:r>
        </a:p>
      </xdr:txBody>
    </xdr:sp>
    <xdr:clientData/>
  </xdr:twoCellAnchor>
  <xdr:twoCellAnchor>
    <xdr:from>
      <xdr:col>21</xdr:col>
      <xdr:colOff>349250</xdr:colOff>
      <xdr:row>2</xdr:row>
      <xdr:rowOff>161925</xdr:rowOff>
    </xdr:from>
    <xdr:to>
      <xdr:col>21</xdr:col>
      <xdr:colOff>1624013</xdr:colOff>
      <xdr:row>5</xdr:row>
      <xdr:rowOff>28575</xdr:rowOff>
    </xdr:to>
    <xdr:sp macro="[0]!CopiarProveedores.CopiarProveedorDesdeOrden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59E02FE-FA5D-F4E3-AEDC-A55DAC44BB9A}"/>
            </a:ext>
          </a:extLst>
        </xdr:cNvPr>
        <xdr:cNvSpPr/>
      </xdr:nvSpPr>
      <xdr:spPr>
        <a:xfrm>
          <a:off x="10264775" y="676275"/>
          <a:ext cx="1274763" cy="571500"/>
        </a:xfrm>
        <a:prstGeom prst="roundRect">
          <a:avLst/>
        </a:prstGeom>
        <a:solidFill>
          <a:srgbClr val="0078D7"/>
        </a:solidFill>
        <a:ln w="1270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>
              <a:alpha val="40000"/>
            </a:sc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>
              <a:solidFill>
                <a:srgbClr val="FFFFFF"/>
              </a:solidFill>
              <a:latin typeface="Segoe UI" panose="020B0502040204020203" pitchFamily="34" charset="0"/>
            </a:rPr>
            <a:t>👤 GUARDAR PROVEEDORES.</a:t>
          </a:r>
        </a:p>
      </xdr:txBody>
    </xdr:sp>
    <xdr:clientData/>
  </xdr:twoCellAnchor>
  <xdr:twoCellAnchor>
    <xdr:from>
      <xdr:col>15</xdr:col>
      <xdr:colOff>52387</xdr:colOff>
      <xdr:row>13</xdr:row>
      <xdr:rowOff>71437</xdr:rowOff>
    </xdr:from>
    <xdr:to>
      <xdr:col>18</xdr:col>
      <xdr:colOff>19049</xdr:colOff>
      <xdr:row>16</xdr:row>
      <xdr:rowOff>90487</xdr:rowOff>
    </xdr:to>
    <xdr:sp macro="[0]!CalcularOrdenDeCompra.CalcularOrdenDeComp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0817FCB-EF18-59FA-AEFA-D0E5A3D2C915}"/>
            </a:ext>
          </a:extLst>
        </xdr:cNvPr>
        <xdr:cNvSpPr/>
      </xdr:nvSpPr>
      <xdr:spPr>
        <a:xfrm>
          <a:off x="7062787" y="2609850"/>
          <a:ext cx="1409700" cy="571500"/>
        </a:xfrm>
        <a:prstGeom prst="roundRect">
          <a:avLst/>
        </a:prstGeom>
        <a:solidFill>
          <a:srgbClr val="107C10"/>
        </a:solidFill>
        <a:ln w="1270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>
              <a:alpha val="40000"/>
            </a:sc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>
              <a:solidFill>
                <a:srgbClr val="FFFFFF"/>
              </a:solidFill>
              <a:latin typeface="Segoe UI" panose="020B0502040204020203" pitchFamily="34" charset="0"/>
            </a:rPr>
            <a:t>💲 CALCULAR</a:t>
          </a:r>
        </a:p>
      </xdr:txBody>
    </xdr:sp>
    <xdr:clientData/>
  </xdr:twoCellAnchor>
  <xdr:twoCellAnchor>
    <xdr:from>
      <xdr:col>14</xdr:col>
      <xdr:colOff>38099</xdr:colOff>
      <xdr:row>7</xdr:row>
      <xdr:rowOff>190501</xdr:rowOff>
    </xdr:from>
    <xdr:to>
      <xdr:col>20</xdr:col>
      <xdr:colOff>71438</xdr:colOff>
      <xdr:row>12</xdr:row>
      <xdr:rowOff>23813</xdr:rowOff>
    </xdr:to>
    <xdr:sp macro="" textlink="">
      <xdr:nvSpPr>
        <xdr:cNvPr id="4" name="ModernListFrame">
          <a:extLst>
            <a:ext uri="{FF2B5EF4-FFF2-40B4-BE49-F238E27FC236}">
              <a16:creationId xmlns:a16="http://schemas.microsoft.com/office/drawing/2014/main" id="{42493AA3-D2D1-D83C-4B06-00F0627D163A}"/>
            </a:ext>
          </a:extLst>
        </xdr:cNvPr>
        <xdr:cNvSpPr/>
      </xdr:nvSpPr>
      <xdr:spPr>
        <a:xfrm>
          <a:off x="6977062" y="1828801"/>
          <a:ext cx="2819401" cy="523875"/>
        </a:xfrm>
        <a:prstGeom prst="roundRect">
          <a:avLst/>
        </a:prstGeom>
        <a:noFill/>
        <a:ln w="19050">
          <a:solidFill>
            <a:srgbClr val="D6D6D6"/>
          </a:solidFill>
        </a:ln>
        <a:effectLst>
          <a:outerShdw blurRad="38100" dist="37357" dir="2700000" rotWithShape="0">
            <a:scrgbClr r="0" g="0" b="0">
              <a:alpha val="20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552450</xdr:colOff>
      <xdr:row>0</xdr:row>
      <xdr:rowOff>104775</xdr:rowOff>
    </xdr:from>
    <xdr:to>
      <xdr:col>29</xdr:col>
      <xdr:colOff>476250</xdr:colOff>
      <xdr:row>1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84350" y="104775"/>
          <a:ext cx="1447800" cy="200025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</xdr:colOff>
      <xdr:row>1607</xdr:row>
      <xdr:rowOff>0</xdr:rowOff>
    </xdr:from>
    <xdr:to>
      <xdr:col>10</xdr:col>
      <xdr:colOff>1211580</xdr:colOff>
      <xdr:row>1609</xdr:row>
      <xdr:rowOff>20955</xdr:rowOff>
    </xdr:to>
    <xdr:sp macro="" textlink="">
      <xdr:nvSpPr>
        <xdr:cNvPr id="2049" name="CommandButton2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47625</xdr:colOff>
      <xdr:row>0</xdr:row>
      <xdr:rowOff>0</xdr:rowOff>
    </xdr:from>
    <xdr:to>
      <xdr:col>12</xdr:col>
      <xdr:colOff>19050</xdr:colOff>
      <xdr:row>4</xdr:row>
      <xdr:rowOff>152400</xdr:rowOff>
    </xdr:to>
    <xdr:pic macro="[0]!FiltrarDatosPorObraEnHoja">
      <xdr:nvPicPr>
        <xdr:cNvPr id="6" name="Gráfico 5" descr="Portapapeles con todas las cruces contorn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516100" y="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552450</xdr:colOff>
          <xdr:row>2</xdr:row>
          <xdr:rowOff>171450</xdr:rowOff>
        </xdr:from>
        <xdr:to>
          <xdr:col>18</xdr:col>
          <xdr:colOff>200025</xdr:colOff>
          <xdr:row>5</xdr:row>
          <xdr:rowOff>38100</xdr:rowOff>
        </xdr:to>
        <xdr:sp macro="" textlink="">
          <xdr:nvSpPr>
            <xdr:cNvPr id="6145" name="Button 1" descr="GENERA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Crear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3</xdr:col>
      <xdr:colOff>53341</xdr:colOff>
      <xdr:row>1</xdr:row>
      <xdr:rowOff>272415</xdr:rowOff>
    </xdr:from>
    <xdr:to>
      <xdr:col>5</xdr:col>
      <xdr:colOff>863743</xdr:colOff>
      <xdr:row>3</xdr:row>
      <xdr:rowOff>55245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1" y="300990"/>
          <a:ext cx="1639077" cy="5162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5</xdr:row>
          <xdr:rowOff>114300</xdr:rowOff>
        </xdr:from>
        <xdr:to>
          <xdr:col>19</xdr:col>
          <xdr:colOff>66675</xdr:colOff>
          <xdr:row>7</xdr:row>
          <xdr:rowOff>76200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16</xdr:col>
      <xdr:colOff>390718</xdr:colOff>
      <xdr:row>23</xdr:row>
      <xdr:rowOff>0</xdr:rowOff>
    </xdr:from>
    <xdr:to>
      <xdr:col>17</xdr:col>
      <xdr:colOff>485968</xdr:colOff>
      <xdr:row>27</xdr:row>
      <xdr:rowOff>102948</xdr:rowOff>
    </xdr:to>
    <xdr:pic macro="[0]!CalcularOrdenDeCompra.CalcularOrdenDeCompra">
      <xdr:nvPicPr>
        <xdr:cNvPr id="5" name="Gráfico 4" descr="Document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372543" y="4248150"/>
          <a:ext cx="914400" cy="86494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dmaderasfioraventi@gmail.com" TargetMode="External"/><Relationship Id="rId1" Type="http://schemas.openxmlformats.org/officeDocument/2006/relationships/hyperlink" Target="mailto:maderasfioraventi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B1:AB110"/>
  <sheetViews>
    <sheetView showGridLines="0" tabSelected="1" zoomScaleNormal="100" zoomScaleSheetLayoutView="90" workbookViewId="0">
      <selection activeCell="I23" sqref="I23:K23"/>
    </sheetView>
  </sheetViews>
  <sheetFormatPr baseColWidth="10" defaultRowHeight="14.25"/>
  <cols>
    <col min="1" max="2" width="0.59765625" customWidth="1"/>
    <col min="3" max="3" width="2.265625" customWidth="1"/>
    <col min="4" max="4" width="10.3984375" customWidth="1"/>
    <col min="5" max="5" width="2.1328125" customWidth="1"/>
    <col min="6" max="6" width="23.86328125" customWidth="1"/>
    <col min="7" max="7" width="6.1328125" customWidth="1"/>
    <col min="8" max="8" width="8.86328125" customWidth="1"/>
    <col min="9" max="9" width="0.86328125" customWidth="1"/>
    <col min="10" max="10" width="6.3984375" customWidth="1"/>
    <col min="11" max="11" width="2.73046875" customWidth="1"/>
    <col min="12" max="12" width="14.265625" customWidth="1"/>
    <col min="13" max="13" width="17.3984375" customWidth="1"/>
    <col min="14" max="14" width="0.59765625" customWidth="1"/>
    <col min="15" max="15" width="1" customWidth="1"/>
    <col min="16" max="16" width="1.1328125" customWidth="1"/>
    <col min="17" max="17" width="9.33203125" customWidth="1"/>
    <col min="18" max="18" width="9.73046875" customWidth="1"/>
    <col min="19" max="19" width="9.46484375" customWidth="1"/>
    <col min="20" max="20" width="8.33203125" customWidth="1"/>
    <col min="21" max="21" width="2.6640625" customWidth="1"/>
    <col min="22" max="22" width="25.796875" customWidth="1"/>
    <col min="23" max="23" width="33.46484375" customWidth="1"/>
    <col min="24" max="24" width="12.59765625" customWidth="1"/>
    <col min="25" max="25" width="14.86328125" customWidth="1"/>
    <col min="26" max="26" width="16.265625" customWidth="1"/>
    <col min="27" max="27" width="18.06640625" customWidth="1"/>
    <col min="28" max="28" width="12.59765625" bestFit="1" customWidth="1"/>
  </cols>
  <sheetData>
    <row r="1" spans="2:28" ht="2.25" customHeight="1" thickBot="1">
      <c r="B1" s="133" t="s">
        <v>3953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</row>
    <row r="2" spans="2:28" ht="38.450000000000003" customHeight="1">
      <c r="B2" s="134"/>
      <c r="C2" s="135"/>
      <c r="D2" s="135"/>
      <c r="E2" s="135"/>
      <c r="F2" s="135"/>
      <c r="G2" s="216" t="s">
        <v>12</v>
      </c>
      <c r="H2" s="216"/>
      <c r="I2" s="216"/>
      <c r="J2" s="216"/>
      <c r="K2" s="216"/>
      <c r="L2" s="219">
        <v>13350</v>
      </c>
      <c r="M2" s="219"/>
      <c r="N2" s="220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</row>
    <row r="3" spans="2:28" ht="19.899999999999999" customHeight="1">
      <c r="B3" s="136"/>
      <c r="C3" s="137"/>
      <c r="D3" s="137"/>
      <c r="E3" s="137"/>
      <c r="F3" s="137"/>
      <c r="G3" s="228"/>
      <c r="H3" s="228"/>
      <c r="I3" s="228"/>
      <c r="J3" s="228"/>
      <c r="K3" s="217">
        <f ca="1">TODAY()</f>
        <v>46027</v>
      </c>
      <c r="L3" s="218"/>
      <c r="M3" s="226"/>
      <c r="N3" s="227"/>
      <c r="O3" s="133"/>
      <c r="P3" s="133"/>
      <c r="Q3" s="133"/>
      <c r="R3" s="133"/>
      <c r="S3" s="133"/>
      <c r="T3" s="133"/>
      <c r="U3" s="133"/>
      <c r="V3" s="138"/>
      <c r="W3" s="138"/>
      <c r="X3" s="138"/>
      <c r="Y3" s="138"/>
      <c r="Z3" s="138"/>
      <c r="AA3" s="138"/>
      <c r="AB3" s="133"/>
    </row>
    <row r="4" spans="2:28" ht="19.149999999999999" customHeight="1">
      <c r="B4" s="136"/>
      <c r="C4" s="137"/>
      <c r="D4" s="137"/>
      <c r="E4" s="137"/>
      <c r="F4" s="137"/>
      <c r="G4" s="218" t="s">
        <v>13</v>
      </c>
      <c r="H4" s="218"/>
      <c r="I4" s="218"/>
      <c r="J4" s="218"/>
      <c r="K4" s="217">
        <v>47837</v>
      </c>
      <c r="L4" s="217"/>
      <c r="M4" s="137"/>
      <c r="N4" s="139"/>
      <c r="O4" s="133"/>
      <c r="P4" s="133"/>
      <c r="Q4" s="133"/>
      <c r="R4" s="133"/>
      <c r="S4" s="133"/>
      <c r="T4" s="133"/>
      <c r="U4" s="133"/>
      <c r="V4" s="138"/>
      <c r="W4" s="138"/>
      <c r="X4" s="138"/>
      <c r="Y4" s="138"/>
      <c r="Z4" s="138"/>
      <c r="AA4" s="138"/>
      <c r="AB4" s="133"/>
    </row>
    <row r="5" spans="2:28" ht="16.5" customHeight="1">
      <c r="B5" s="136"/>
      <c r="C5" s="137"/>
      <c r="D5" s="137" t="s">
        <v>5983</v>
      </c>
      <c r="E5" s="137"/>
      <c r="F5" s="137"/>
      <c r="G5" s="137"/>
      <c r="H5" s="229"/>
      <c r="I5" s="229"/>
      <c r="J5" s="229"/>
      <c r="K5" s="229"/>
      <c r="L5" s="229"/>
      <c r="M5" s="229"/>
      <c r="N5" s="139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</row>
    <row r="6" spans="2:28" ht="16.5" customHeight="1">
      <c r="B6" s="136"/>
      <c r="C6" s="137"/>
      <c r="D6" s="140"/>
      <c r="E6" s="137"/>
      <c r="F6" s="137" t="s">
        <v>8</v>
      </c>
      <c r="G6" s="137"/>
      <c r="H6" s="137"/>
      <c r="I6" s="137"/>
      <c r="J6" s="137"/>
      <c r="K6" s="137"/>
      <c r="L6" s="137"/>
      <c r="M6" s="137"/>
      <c r="N6" s="139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</row>
    <row r="7" spans="2:28" ht="16.5" customHeight="1">
      <c r="B7" s="136"/>
      <c r="C7" s="137"/>
      <c r="D7" s="140" t="s">
        <v>5984</v>
      </c>
      <c r="E7" s="137"/>
      <c r="F7" s="137"/>
      <c r="G7" s="137"/>
      <c r="H7" s="137"/>
      <c r="I7" s="137" t="s">
        <v>14</v>
      </c>
      <c r="J7" s="137"/>
      <c r="K7" s="137"/>
      <c r="L7" s="137"/>
      <c r="M7" s="137"/>
      <c r="N7" s="139"/>
      <c r="O7" s="133"/>
      <c r="P7" s="133"/>
      <c r="Q7" s="141"/>
      <c r="R7" s="141"/>
      <c r="S7" s="141"/>
      <c r="T7" s="141"/>
      <c r="U7" s="133"/>
      <c r="V7" s="142" t="s">
        <v>230</v>
      </c>
      <c r="W7" s="142" t="s">
        <v>231</v>
      </c>
      <c r="X7" s="142" t="s">
        <v>5980</v>
      </c>
      <c r="Y7" s="142" t="s">
        <v>5981</v>
      </c>
      <c r="Z7" s="142" t="s">
        <v>233</v>
      </c>
      <c r="AA7" s="142" t="s">
        <v>234</v>
      </c>
      <c r="AB7" s="133"/>
    </row>
    <row r="8" spans="2:28" ht="16.5" customHeight="1">
      <c r="B8" s="136"/>
      <c r="C8" s="137"/>
      <c r="D8" s="140" t="s">
        <v>10</v>
      </c>
      <c r="E8" s="137"/>
      <c r="F8" s="137"/>
      <c r="G8" s="137"/>
      <c r="H8" s="137"/>
      <c r="I8" s="137" t="s">
        <v>15</v>
      </c>
      <c r="J8" s="137"/>
      <c r="K8" s="137"/>
      <c r="L8" s="137"/>
      <c r="M8" s="137"/>
      <c r="N8" s="139"/>
      <c r="O8" s="133"/>
      <c r="P8" s="133"/>
      <c r="Q8" s="141"/>
      <c r="R8" s="141"/>
      <c r="S8" s="141"/>
      <c r="T8" s="141"/>
      <c r="U8" s="133"/>
      <c r="V8" s="143" t="s">
        <v>271</v>
      </c>
      <c r="W8" s="143" t="s">
        <v>272</v>
      </c>
      <c r="X8" s="143" t="s">
        <v>255</v>
      </c>
      <c r="Y8" s="143" t="s">
        <v>273</v>
      </c>
      <c r="Z8" s="143" t="s">
        <v>274</v>
      </c>
      <c r="AA8" s="143" t="s">
        <v>275</v>
      </c>
      <c r="AB8" s="144" t="s">
        <v>5982</v>
      </c>
    </row>
    <row r="9" spans="2:28" ht="16.5" customHeight="1">
      <c r="B9" s="136"/>
      <c r="C9" s="137"/>
      <c r="D9" s="140" t="s">
        <v>11</v>
      </c>
      <c r="E9" s="137"/>
      <c r="F9" s="137"/>
      <c r="G9" s="137"/>
      <c r="H9" s="137"/>
      <c r="I9" s="137" t="s">
        <v>16</v>
      </c>
      <c r="J9" s="137"/>
      <c r="K9" s="137"/>
      <c r="L9" s="137"/>
      <c r="M9" s="137"/>
      <c r="N9" s="139"/>
      <c r="O9" s="133"/>
      <c r="P9" s="133"/>
      <c r="Q9" s="238" t="s">
        <v>3572</v>
      </c>
      <c r="R9" s="238"/>
      <c r="S9" s="238"/>
      <c r="T9" s="238"/>
      <c r="U9" s="133"/>
      <c r="V9" s="145"/>
      <c r="W9" s="145"/>
      <c r="X9" s="145"/>
      <c r="Y9" s="145"/>
      <c r="Z9" s="145"/>
      <c r="AA9" s="145"/>
      <c r="AB9" s="146"/>
    </row>
    <row r="10" spans="2:28" ht="0.75" customHeight="1" thickBot="1">
      <c r="B10" s="147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9"/>
      <c r="O10" s="133"/>
      <c r="P10" s="133"/>
      <c r="Q10" s="238"/>
      <c r="R10" s="238"/>
      <c r="S10" s="238"/>
      <c r="T10" s="238"/>
      <c r="U10" s="133"/>
      <c r="V10" s="133" t="s">
        <v>271</v>
      </c>
      <c r="W10" s="133" t="s">
        <v>272</v>
      </c>
      <c r="X10" s="133" t="s">
        <v>255</v>
      </c>
      <c r="Y10" s="133" t="s">
        <v>273</v>
      </c>
      <c r="Z10" s="133" t="s">
        <v>274</v>
      </c>
      <c r="AA10" s="133" t="s">
        <v>275</v>
      </c>
      <c r="AB10" s="133"/>
    </row>
    <row r="11" spans="2:28" ht="2.25" customHeight="1" thickBot="1">
      <c r="B11" s="133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3"/>
      <c r="P11" s="133"/>
      <c r="Q11" s="238"/>
      <c r="R11" s="238"/>
      <c r="S11" s="238"/>
      <c r="T11" s="238"/>
      <c r="U11" s="133"/>
      <c r="V11" s="133"/>
      <c r="W11" s="133"/>
      <c r="X11" s="133"/>
      <c r="Y11" s="133"/>
      <c r="Z11" s="133"/>
      <c r="AA11" s="133"/>
      <c r="AB11" s="133"/>
    </row>
    <row r="12" spans="2:28" ht="18.600000000000001" customHeight="1">
      <c r="B12" s="134"/>
      <c r="C12" s="150"/>
      <c r="D12" s="224" t="s">
        <v>17</v>
      </c>
      <c r="E12" s="224"/>
      <c r="F12" s="231" t="str">
        <f>Q9</f>
        <v>WEBER FABIO- TALLER CHAPA Y PI</v>
      </c>
      <c r="G12" s="231"/>
      <c r="H12" s="231"/>
      <c r="I12" s="231"/>
      <c r="J12" s="231"/>
      <c r="K12" s="231"/>
      <c r="L12" s="231"/>
      <c r="M12" s="231"/>
      <c r="N12" s="151"/>
      <c r="O12" s="133"/>
      <c r="P12" s="133"/>
      <c r="Q12" s="238"/>
      <c r="R12" s="238"/>
      <c r="S12" s="238"/>
      <c r="T12" s="238"/>
      <c r="U12" s="133"/>
      <c r="V12" s="133"/>
      <c r="W12" s="133"/>
      <c r="X12" s="133"/>
      <c r="Y12" s="133"/>
      <c r="Z12" s="133"/>
      <c r="AA12" s="133"/>
      <c r="AB12" s="133"/>
    </row>
    <row r="13" spans="2:28" ht="16.5">
      <c r="B13" s="136"/>
      <c r="C13" s="152"/>
      <c r="D13" s="225" t="s">
        <v>18</v>
      </c>
      <c r="E13" s="225"/>
      <c r="F13" s="225" t="str">
        <f>VLOOKUP(Q9,Proveedores!A:H,2,FALSE)</f>
        <v xml:space="preserve">JUAN B JUSTO 1002      </v>
      </c>
      <c r="G13" s="225"/>
      <c r="H13" s="225"/>
      <c r="I13" s="225"/>
      <c r="J13" s="225"/>
      <c r="K13" s="225"/>
      <c r="L13" s="225"/>
      <c r="M13" s="225"/>
      <c r="N13" s="153"/>
      <c r="O13" s="133"/>
      <c r="P13" s="133"/>
      <c r="Q13" s="133"/>
      <c r="R13" s="154"/>
      <c r="S13" s="154"/>
      <c r="T13" s="133"/>
      <c r="U13" s="133"/>
      <c r="V13" s="133"/>
      <c r="W13" s="133"/>
      <c r="X13" s="133"/>
      <c r="Y13" s="133"/>
      <c r="Z13" s="133"/>
      <c r="AA13" s="133"/>
      <c r="AB13" s="133"/>
    </row>
    <row r="14" spans="2:28" ht="16.5">
      <c r="B14" s="136"/>
      <c r="C14" s="152"/>
      <c r="D14" s="225" t="s">
        <v>19</v>
      </c>
      <c r="E14" s="225"/>
      <c r="F14" s="152" t="str">
        <f>VLOOKUP(Q9,Proveedores!A:H,3,FALSE)</f>
        <v xml:space="preserve">ZARATE   </v>
      </c>
      <c r="G14" s="152"/>
      <c r="H14" s="230" t="s">
        <v>4088</v>
      </c>
      <c r="I14" s="230"/>
      <c r="J14" s="230"/>
      <c r="K14" s="230"/>
      <c r="L14" s="230"/>
      <c r="M14" s="230"/>
      <c r="N14" s="153"/>
      <c r="O14" s="133"/>
      <c r="P14" s="133"/>
      <c r="Q14" s="133"/>
      <c r="R14" s="155"/>
      <c r="S14" s="155"/>
      <c r="T14" s="133"/>
      <c r="U14" s="133"/>
      <c r="V14" s="133"/>
      <c r="W14" s="133"/>
      <c r="X14" s="133"/>
      <c r="Y14" s="133"/>
      <c r="Z14" s="133"/>
      <c r="AA14" s="133"/>
      <c r="AB14" s="133"/>
    </row>
    <row r="15" spans="2:28" ht="16.5">
      <c r="B15" s="136"/>
      <c r="C15" s="152"/>
      <c r="D15" s="152" t="s">
        <v>20</v>
      </c>
      <c r="E15" s="225" t="str">
        <f>IFERROR(VLOOKUP($Q$9,Proveedores!$A$4:$F$1996,5,0),"")</f>
        <v xml:space="preserve">INSCRIPTO       </v>
      </c>
      <c r="F15" s="225"/>
      <c r="G15" s="225"/>
      <c r="H15" s="152" t="s">
        <v>21</v>
      </c>
      <c r="I15" s="152"/>
      <c r="J15" s="152"/>
      <c r="K15" s="225" t="str">
        <f>IFERROR(VLOOKUP($Q$9,Proveedores!$A$4:$F$1996,6,0),"")</f>
        <v xml:space="preserve">20-16946695-6 </v>
      </c>
      <c r="L15" s="225"/>
      <c r="M15" s="225"/>
      <c r="N15" s="153"/>
      <c r="O15" s="133"/>
      <c r="P15" s="133"/>
      <c r="Q15" s="133"/>
      <c r="R15" s="133"/>
      <c r="S15" s="133"/>
      <c r="T15" s="133"/>
      <c r="U15" s="156"/>
      <c r="V15" s="133"/>
      <c r="W15" s="133"/>
      <c r="X15" s="133"/>
      <c r="Y15" s="133"/>
      <c r="Z15" s="133"/>
      <c r="AA15" s="133"/>
      <c r="AB15" s="133"/>
    </row>
    <row r="16" spans="2:28" ht="10.5" customHeight="1">
      <c r="B16" s="136"/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</row>
    <row r="17" spans="2:28" ht="19.5" customHeight="1">
      <c r="B17" s="136"/>
      <c r="C17" s="222" t="s">
        <v>22</v>
      </c>
      <c r="D17" s="222"/>
      <c r="E17" s="222"/>
      <c r="F17" s="223" t="s">
        <v>1</v>
      </c>
      <c r="G17" s="223"/>
      <c r="H17" s="223"/>
      <c r="I17" s="222" t="s">
        <v>5</v>
      </c>
      <c r="J17" s="222"/>
      <c r="K17" s="222"/>
      <c r="L17" s="158" t="s">
        <v>3880</v>
      </c>
      <c r="M17" s="158" t="s">
        <v>23</v>
      </c>
      <c r="N17" s="153"/>
      <c r="O17" s="133"/>
      <c r="P17" s="133"/>
      <c r="Q17" s="133"/>
      <c r="R17" s="159"/>
      <c r="S17" s="159"/>
      <c r="T17" s="133"/>
      <c r="U17" s="133"/>
      <c r="V17" s="133"/>
      <c r="W17" s="133"/>
      <c r="X17" s="133"/>
      <c r="Y17" s="133"/>
      <c r="Z17" s="133"/>
      <c r="AA17" s="133"/>
      <c r="AB17" s="133"/>
    </row>
    <row r="18" spans="2:28" ht="2.4500000000000002" customHeight="1">
      <c r="B18" s="170"/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221"/>
      <c r="N18" s="171"/>
      <c r="O18" s="133"/>
      <c r="P18" s="133"/>
      <c r="Q18" s="133"/>
      <c r="R18" s="160"/>
      <c r="S18" s="160"/>
      <c r="T18" s="133"/>
      <c r="U18" s="133"/>
      <c r="V18" s="133"/>
      <c r="W18" s="133"/>
      <c r="X18" s="133"/>
      <c r="Y18" s="133"/>
      <c r="Z18" s="133"/>
      <c r="AA18" s="133"/>
      <c r="AB18" s="133"/>
    </row>
    <row r="19" spans="2:28" ht="25.05" customHeight="1">
      <c r="B19" s="181"/>
      <c r="C19" s="232"/>
      <c r="D19" s="232"/>
      <c r="E19" s="232"/>
      <c r="F19" s="297"/>
      <c r="G19" s="297"/>
      <c r="H19" s="297"/>
      <c r="I19" s="241"/>
      <c r="J19" s="241"/>
      <c r="K19" s="242"/>
      <c r="L19" s="182"/>
      <c r="M19" s="183"/>
      <c r="N19" s="184"/>
      <c r="O19" s="133"/>
      <c r="P19" s="133"/>
      <c r="Q19" s="161" t="s">
        <v>5979</v>
      </c>
      <c r="R19" s="162" t="s">
        <v>3709</v>
      </c>
      <c r="S19" s="163"/>
      <c r="T19" s="133"/>
      <c r="U19" s="164"/>
      <c r="V19" s="164"/>
      <c r="W19" s="164"/>
      <c r="X19" s="164"/>
      <c r="Y19" s="133"/>
      <c r="Z19" s="133"/>
      <c r="AA19" s="133"/>
      <c r="AB19" s="133"/>
    </row>
    <row r="20" spans="2:28" ht="25.05" customHeight="1">
      <c r="B20" s="172"/>
      <c r="C20" s="208"/>
      <c r="D20" s="208"/>
      <c r="E20" s="208"/>
      <c r="F20" s="298"/>
      <c r="G20" s="298"/>
      <c r="H20" s="298"/>
      <c r="I20" s="243"/>
      <c r="J20" s="243"/>
      <c r="K20" s="240"/>
      <c r="L20" s="173"/>
      <c r="M20" s="174"/>
      <c r="N20" s="175"/>
      <c r="O20" s="133"/>
      <c r="P20" s="133"/>
      <c r="Q20" s="161" t="s">
        <v>3711</v>
      </c>
      <c r="R20" s="165">
        <v>21</v>
      </c>
      <c r="S20" s="166"/>
      <c r="T20" s="133"/>
      <c r="U20" s="167"/>
      <c r="V20" s="164"/>
      <c r="W20" s="164"/>
      <c r="X20" s="164"/>
      <c r="Y20" s="133"/>
      <c r="Z20" s="133"/>
      <c r="AA20" s="133"/>
      <c r="AB20" s="133"/>
    </row>
    <row r="21" spans="2:28" ht="25.05" customHeight="1">
      <c r="B21" s="185"/>
      <c r="C21" s="215"/>
      <c r="D21" s="215"/>
      <c r="E21" s="215"/>
      <c r="F21" s="299"/>
      <c r="G21" s="299"/>
      <c r="H21" s="299"/>
      <c r="I21" s="244"/>
      <c r="J21" s="244"/>
      <c r="K21" s="245"/>
      <c r="L21" s="186"/>
      <c r="M21" s="187"/>
      <c r="N21" s="188"/>
      <c r="O21" s="133"/>
      <c r="P21" s="133"/>
      <c r="Q21" s="161" t="s">
        <v>3712</v>
      </c>
      <c r="R21" s="165">
        <v>0</v>
      </c>
      <c r="S21" s="166"/>
      <c r="T21" s="133"/>
      <c r="U21" s="164"/>
      <c r="V21" s="164"/>
      <c r="W21" s="164"/>
      <c r="X21" s="164"/>
      <c r="Y21" s="133"/>
      <c r="Z21" s="133"/>
      <c r="AA21" s="133"/>
      <c r="AB21" s="133"/>
    </row>
    <row r="22" spans="2:28" ht="25.05" customHeight="1">
      <c r="B22" s="172"/>
      <c r="C22" s="208"/>
      <c r="D22" s="208"/>
      <c r="E22" s="208"/>
      <c r="F22" s="298"/>
      <c r="G22" s="300"/>
      <c r="H22" s="300"/>
      <c r="I22" s="239"/>
      <c r="J22" s="239"/>
      <c r="K22" s="240"/>
      <c r="L22" s="176"/>
      <c r="M22" s="174"/>
      <c r="N22" s="175"/>
      <c r="O22" s="133"/>
      <c r="P22" s="133"/>
      <c r="Q22" s="168" t="s">
        <v>3893</v>
      </c>
      <c r="R22" s="165">
        <v>0</v>
      </c>
      <c r="S22" s="166"/>
      <c r="T22" s="133"/>
      <c r="U22" s="164"/>
      <c r="V22" s="164"/>
      <c r="W22" s="164"/>
      <c r="X22" s="164"/>
      <c r="Y22" s="133"/>
      <c r="Z22" s="133"/>
      <c r="AA22" s="133"/>
      <c r="AB22" s="133"/>
    </row>
    <row r="23" spans="2:28" ht="25.05" customHeight="1">
      <c r="B23" s="185"/>
      <c r="C23" s="215"/>
      <c r="D23" s="215"/>
      <c r="E23" s="215"/>
      <c r="F23" s="301"/>
      <c r="G23" s="301"/>
      <c r="H23" s="301"/>
      <c r="I23" s="246"/>
      <c r="J23" s="246"/>
      <c r="K23" s="245"/>
      <c r="L23" s="186"/>
      <c r="M23" s="187"/>
      <c r="N23" s="188"/>
      <c r="O23" s="133"/>
      <c r="P23" s="133"/>
      <c r="Q23" s="168" t="s">
        <v>3894</v>
      </c>
      <c r="R23" s="165">
        <v>0</v>
      </c>
      <c r="S23" s="166"/>
      <c r="T23" s="133"/>
      <c r="U23" s="164"/>
      <c r="V23" s="164"/>
      <c r="W23" s="164"/>
      <c r="X23" s="164"/>
      <c r="Y23" s="133"/>
      <c r="Z23" s="133"/>
      <c r="AA23" s="133"/>
      <c r="AB23" s="133"/>
    </row>
    <row r="24" spans="2:28" ht="25.05" customHeight="1">
      <c r="B24" s="172"/>
      <c r="C24" s="208"/>
      <c r="D24" s="208"/>
      <c r="E24" s="208"/>
      <c r="F24" s="302"/>
      <c r="G24" s="303"/>
      <c r="H24" s="303"/>
      <c r="I24" s="211"/>
      <c r="J24" s="211"/>
      <c r="K24" s="212"/>
      <c r="L24" s="173"/>
      <c r="M24" s="174"/>
      <c r="N24" s="175"/>
      <c r="O24" s="133"/>
      <c r="P24" s="133"/>
      <c r="Q24" s="133"/>
      <c r="R24" s="133"/>
      <c r="S24" s="209"/>
      <c r="T24" s="209"/>
      <c r="U24" s="164"/>
      <c r="V24" s="164"/>
      <c r="W24" s="164"/>
      <c r="X24" s="164"/>
      <c r="Y24" s="133"/>
      <c r="Z24" s="133"/>
      <c r="AA24" s="133"/>
      <c r="AB24" s="133"/>
    </row>
    <row r="25" spans="2:28" ht="25.05" customHeight="1">
      <c r="B25" s="185"/>
      <c r="C25" s="215"/>
      <c r="D25" s="215"/>
      <c r="E25" s="215"/>
      <c r="F25" s="304"/>
      <c r="G25" s="304"/>
      <c r="H25" s="304"/>
      <c r="I25" s="206"/>
      <c r="J25" s="206"/>
      <c r="K25" s="207"/>
      <c r="L25" s="189"/>
      <c r="M25" s="187"/>
      <c r="N25" s="188"/>
      <c r="O25" s="133"/>
      <c r="P25" s="133"/>
      <c r="Q25" s="133"/>
      <c r="R25" s="133"/>
      <c r="S25" s="209"/>
      <c r="T25" s="209"/>
      <c r="U25" s="164"/>
      <c r="V25" s="164"/>
      <c r="W25" s="164"/>
      <c r="X25" s="164"/>
      <c r="Y25" s="133"/>
      <c r="Z25" s="133"/>
      <c r="AA25" s="133"/>
      <c r="AB25" s="133"/>
    </row>
    <row r="26" spans="2:28" ht="25.05" customHeight="1">
      <c r="B26" s="172"/>
      <c r="C26" s="208"/>
      <c r="D26" s="208"/>
      <c r="E26" s="208"/>
      <c r="F26" s="305"/>
      <c r="G26" s="305"/>
      <c r="H26" s="305"/>
      <c r="I26" s="211"/>
      <c r="J26" s="211"/>
      <c r="K26" s="212"/>
      <c r="L26" s="173"/>
      <c r="M26" s="174"/>
      <c r="N26" s="175"/>
      <c r="O26" s="133"/>
      <c r="P26" s="133"/>
      <c r="Q26" s="199"/>
      <c r="R26" s="199"/>
      <c r="S26" s="209"/>
      <c r="T26" s="209"/>
      <c r="U26" s="164"/>
      <c r="V26" s="164"/>
      <c r="W26" s="164"/>
      <c r="X26" s="164"/>
      <c r="Y26" s="133"/>
      <c r="Z26" s="133"/>
      <c r="AA26" s="133"/>
      <c r="AB26" s="133"/>
    </row>
    <row r="27" spans="2:28" ht="25.05" customHeight="1">
      <c r="B27" s="185"/>
      <c r="C27" s="215"/>
      <c r="D27" s="215"/>
      <c r="E27" s="215"/>
      <c r="F27" s="304"/>
      <c r="G27" s="304"/>
      <c r="H27" s="304"/>
      <c r="I27" s="206"/>
      <c r="J27" s="206"/>
      <c r="K27" s="207"/>
      <c r="L27" s="189"/>
      <c r="M27" s="187"/>
      <c r="N27" s="188"/>
      <c r="O27" s="133"/>
      <c r="P27" s="133"/>
      <c r="Q27" s="199"/>
      <c r="R27" s="199"/>
      <c r="S27" s="209"/>
      <c r="T27" s="209"/>
      <c r="U27" s="164"/>
      <c r="V27" s="164"/>
      <c r="W27" s="164"/>
      <c r="X27" s="164"/>
      <c r="Y27" s="133"/>
      <c r="Z27" s="133"/>
      <c r="AA27" s="133"/>
      <c r="AB27" s="133"/>
    </row>
    <row r="28" spans="2:28" ht="25.05" customHeight="1">
      <c r="B28" s="172"/>
      <c r="C28" s="208"/>
      <c r="D28" s="208"/>
      <c r="E28" s="208"/>
      <c r="F28" s="306"/>
      <c r="G28" s="306"/>
      <c r="H28" s="306"/>
      <c r="I28" s="211"/>
      <c r="J28" s="211"/>
      <c r="K28" s="212"/>
      <c r="L28" s="173"/>
      <c r="M28" s="174"/>
      <c r="N28" s="175"/>
      <c r="O28" s="133"/>
      <c r="P28" s="133"/>
      <c r="Q28" s="199"/>
      <c r="R28" s="199"/>
      <c r="S28" s="209"/>
      <c r="T28" s="209"/>
      <c r="U28" s="164"/>
      <c r="V28" s="164"/>
      <c r="W28" s="164"/>
      <c r="X28" s="164"/>
      <c r="Y28" s="133"/>
      <c r="Z28" s="133"/>
      <c r="AA28" s="133"/>
      <c r="AB28" s="133"/>
    </row>
    <row r="29" spans="2:28" ht="25.05" customHeight="1">
      <c r="B29" s="185"/>
      <c r="C29" s="215"/>
      <c r="D29" s="215"/>
      <c r="E29" s="215"/>
      <c r="F29" s="307"/>
      <c r="G29" s="307"/>
      <c r="H29" s="307"/>
      <c r="I29" s="206"/>
      <c r="J29" s="206"/>
      <c r="K29" s="207"/>
      <c r="L29" s="189"/>
      <c r="M29" s="187"/>
      <c r="N29" s="188"/>
      <c r="O29" s="133"/>
      <c r="P29" s="133"/>
      <c r="Q29" s="210"/>
      <c r="R29" s="210"/>
      <c r="S29" s="154"/>
      <c r="T29" s="191"/>
      <c r="U29" s="164"/>
      <c r="V29" s="164"/>
      <c r="W29" s="164"/>
      <c r="X29" s="164"/>
      <c r="Y29" s="133"/>
      <c r="Z29" s="133"/>
      <c r="AA29" s="133"/>
      <c r="AB29" s="133"/>
    </row>
    <row r="30" spans="2:28" ht="25.05" customHeight="1">
      <c r="B30" s="172"/>
      <c r="C30" s="208"/>
      <c r="D30" s="208"/>
      <c r="E30" s="208"/>
      <c r="F30" s="306"/>
      <c r="G30" s="306"/>
      <c r="H30" s="306"/>
      <c r="I30" s="211"/>
      <c r="J30" s="211"/>
      <c r="K30" s="212"/>
      <c r="L30" s="173"/>
      <c r="M30" s="174"/>
      <c r="N30" s="175"/>
      <c r="O30" s="133"/>
      <c r="P30" s="133"/>
      <c r="Q30" s="200"/>
      <c r="R30" s="200"/>
      <c r="S30" s="154"/>
      <c r="T30" s="154"/>
      <c r="U30" s="164"/>
      <c r="V30" s="164"/>
      <c r="W30" s="164"/>
      <c r="X30" s="164"/>
      <c r="Y30" s="133"/>
      <c r="Z30" s="133"/>
      <c r="AA30" s="133"/>
      <c r="AB30" s="133"/>
    </row>
    <row r="31" spans="2:28" ht="25.05" customHeight="1">
      <c r="B31" s="185"/>
      <c r="C31" s="215"/>
      <c r="D31" s="215"/>
      <c r="E31" s="215"/>
      <c r="F31" s="307"/>
      <c r="G31" s="307"/>
      <c r="H31" s="307"/>
      <c r="I31" s="206"/>
      <c r="J31" s="206"/>
      <c r="K31" s="207"/>
      <c r="L31" s="189"/>
      <c r="M31" s="187"/>
      <c r="N31" s="188"/>
      <c r="O31" s="133"/>
      <c r="P31" s="133"/>
      <c r="Q31" s="201"/>
      <c r="R31" s="202"/>
      <c r="S31" s="192"/>
      <c r="T31" s="156"/>
      <c r="U31" s="164"/>
      <c r="V31" s="164"/>
      <c r="W31" s="164"/>
      <c r="X31" s="164"/>
      <c r="Y31" s="133"/>
      <c r="Z31" s="133"/>
      <c r="AA31" s="133"/>
      <c r="AB31" s="133"/>
    </row>
    <row r="32" spans="2:28" ht="25.05" customHeight="1">
      <c r="B32" s="172"/>
      <c r="C32" s="208"/>
      <c r="D32" s="208"/>
      <c r="E32" s="208"/>
      <c r="F32" s="308"/>
      <c r="G32" s="308"/>
      <c r="H32" s="308"/>
      <c r="I32" s="211"/>
      <c r="J32" s="211"/>
      <c r="K32" s="212"/>
      <c r="L32" s="173"/>
      <c r="M32" s="174"/>
      <c r="N32" s="175"/>
      <c r="O32" s="133"/>
      <c r="P32" s="133"/>
      <c r="Q32" s="201"/>
      <c r="R32" s="202"/>
      <c r="S32" s="192"/>
      <c r="T32" s="156"/>
      <c r="U32" s="164"/>
      <c r="V32" s="164"/>
      <c r="W32" s="164"/>
      <c r="X32" s="164"/>
      <c r="Y32" s="133"/>
      <c r="Z32" s="133"/>
      <c r="AA32" s="133"/>
      <c r="AB32" s="133"/>
    </row>
    <row r="33" spans="2:28" ht="25.05" customHeight="1">
      <c r="B33" s="185"/>
      <c r="C33" s="215"/>
      <c r="D33" s="215"/>
      <c r="E33" s="215"/>
      <c r="F33" s="309"/>
      <c r="G33" s="304"/>
      <c r="H33" s="304"/>
      <c r="I33" s="206"/>
      <c r="J33" s="206"/>
      <c r="K33" s="207"/>
      <c r="L33" s="189"/>
      <c r="M33" s="187"/>
      <c r="N33" s="188"/>
      <c r="O33" s="133"/>
      <c r="P33" s="133"/>
      <c r="Q33" s="201"/>
      <c r="R33" s="202"/>
      <c r="S33" s="192"/>
      <c r="T33" s="156"/>
      <c r="U33" s="164"/>
      <c r="V33" s="164"/>
      <c r="W33" s="164"/>
      <c r="X33" s="164"/>
      <c r="Y33" s="133"/>
      <c r="Z33" s="133"/>
      <c r="AA33" s="133"/>
      <c r="AB33" s="133"/>
    </row>
    <row r="34" spans="2:28" ht="25.05" customHeight="1">
      <c r="B34" s="172"/>
      <c r="C34" s="208"/>
      <c r="D34" s="208"/>
      <c r="E34" s="208"/>
      <c r="F34" s="308"/>
      <c r="G34" s="308"/>
      <c r="H34" s="308"/>
      <c r="I34" s="211"/>
      <c r="J34" s="211"/>
      <c r="K34" s="212"/>
      <c r="L34" s="173"/>
      <c r="M34" s="174"/>
      <c r="N34" s="175"/>
      <c r="O34" s="133"/>
      <c r="P34" s="133"/>
      <c r="Q34" s="201"/>
      <c r="R34" s="202"/>
      <c r="S34" s="192"/>
      <c r="T34" s="156"/>
      <c r="U34" s="164"/>
      <c r="V34" s="133"/>
      <c r="W34" s="164"/>
      <c r="X34" s="133"/>
      <c r="Y34" s="133"/>
      <c r="Z34" s="133"/>
      <c r="AA34" s="133"/>
      <c r="AB34" s="133"/>
    </row>
    <row r="35" spans="2:28" ht="25.05" customHeight="1">
      <c r="B35" s="185"/>
      <c r="C35" s="215"/>
      <c r="D35" s="215"/>
      <c r="E35" s="215"/>
      <c r="F35" s="310"/>
      <c r="G35" s="304"/>
      <c r="H35" s="304"/>
      <c r="I35" s="206"/>
      <c r="J35" s="206"/>
      <c r="K35" s="207"/>
      <c r="L35" s="189"/>
      <c r="M35" s="187"/>
      <c r="N35" s="188"/>
      <c r="O35" s="133"/>
      <c r="P35" s="133"/>
      <c r="Q35" s="201"/>
      <c r="R35" s="202"/>
      <c r="S35" s="192"/>
      <c r="T35" s="156"/>
      <c r="U35" s="133"/>
      <c r="V35" s="133"/>
      <c r="W35" s="133"/>
      <c r="X35" s="133"/>
      <c r="Y35" s="133"/>
      <c r="Z35" s="133"/>
      <c r="AA35" s="133"/>
      <c r="AB35" s="133"/>
    </row>
    <row r="36" spans="2:28" ht="25.05" customHeight="1">
      <c r="B36" s="172"/>
      <c r="C36" s="208"/>
      <c r="D36" s="208"/>
      <c r="E36" s="208"/>
      <c r="F36" s="308"/>
      <c r="G36" s="308"/>
      <c r="H36" s="308"/>
      <c r="I36" s="211"/>
      <c r="J36" s="211"/>
      <c r="K36" s="212"/>
      <c r="L36" s="173"/>
      <c r="M36" s="174"/>
      <c r="N36" s="175"/>
      <c r="O36" s="133"/>
      <c r="P36" s="133"/>
      <c r="Q36" s="199"/>
      <c r="R36" s="199"/>
      <c r="S36" s="133"/>
      <c r="T36" s="156"/>
      <c r="U36" s="133"/>
      <c r="V36" s="133"/>
      <c r="W36" s="133"/>
      <c r="X36" s="133"/>
      <c r="Y36" s="133"/>
      <c r="Z36" s="133"/>
      <c r="AA36" s="133"/>
      <c r="AB36" s="133"/>
    </row>
    <row r="37" spans="2:28" ht="25.05" customHeight="1">
      <c r="B37" s="185"/>
      <c r="C37" s="215"/>
      <c r="D37" s="215"/>
      <c r="E37" s="215"/>
      <c r="F37" s="311"/>
      <c r="G37" s="304"/>
      <c r="H37" s="304"/>
      <c r="I37" s="206"/>
      <c r="J37" s="206"/>
      <c r="K37" s="207"/>
      <c r="L37" s="189"/>
      <c r="M37" s="187"/>
      <c r="N37" s="188"/>
      <c r="O37" s="133"/>
      <c r="P37" s="133"/>
      <c r="Q37" s="199"/>
      <c r="R37" s="199"/>
      <c r="S37" s="133"/>
      <c r="T37" s="164"/>
      <c r="U37" s="156"/>
      <c r="V37" s="133"/>
      <c r="W37" s="133"/>
      <c r="X37" s="133"/>
      <c r="Y37" s="133"/>
      <c r="Z37" s="133"/>
      <c r="AA37" s="133"/>
      <c r="AB37" s="133"/>
    </row>
    <row r="38" spans="2:28" ht="25.05" customHeight="1">
      <c r="B38" s="172"/>
      <c r="C38" s="208"/>
      <c r="D38" s="208"/>
      <c r="E38" s="208"/>
      <c r="F38" s="308"/>
      <c r="G38" s="308"/>
      <c r="H38" s="308"/>
      <c r="I38" s="211"/>
      <c r="J38" s="211"/>
      <c r="K38" s="212"/>
      <c r="L38" s="173"/>
      <c r="M38" s="174"/>
      <c r="N38" s="175"/>
      <c r="O38" s="133"/>
      <c r="P38" s="133"/>
      <c r="Q38" s="199"/>
      <c r="R38" s="199"/>
      <c r="S38" s="133"/>
      <c r="T38" s="164"/>
      <c r="U38" s="156"/>
      <c r="V38" s="133"/>
      <c r="W38" s="133"/>
      <c r="X38" s="133"/>
      <c r="Y38" s="133"/>
      <c r="Z38" s="133"/>
      <c r="AA38" s="133"/>
      <c r="AB38" s="133"/>
    </row>
    <row r="39" spans="2:28" ht="25.05" customHeight="1">
      <c r="B39" s="185"/>
      <c r="C39" s="215"/>
      <c r="D39" s="215"/>
      <c r="E39" s="215"/>
      <c r="F39" s="304"/>
      <c r="G39" s="304"/>
      <c r="H39" s="304"/>
      <c r="I39" s="206"/>
      <c r="J39" s="206"/>
      <c r="K39" s="207"/>
      <c r="L39" s="189"/>
      <c r="M39" s="187"/>
      <c r="N39" s="188"/>
      <c r="O39" s="133"/>
      <c r="P39" s="133"/>
      <c r="Q39" s="199"/>
      <c r="R39" s="199"/>
      <c r="S39" s="133"/>
      <c r="T39" s="164"/>
      <c r="U39" s="156"/>
      <c r="V39" s="133"/>
      <c r="W39" s="133"/>
      <c r="X39" s="133"/>
      <c r="Y39" s="133"/>
      <c r="Z39" s="133"/>
      <c r="AA39" s="133"/>
      <c r="AB39" s="133"/>
    </row>
    <row r="40" spans="2:28" ht="25.05" customHeight="1">
      <c r="B40" s="172"/>
      <c r="C40" s="208"/>
      <c r="D40" s="208"/>
      <c r="E40" s="208"/>
      <c r="F40" s="308"/>
      <c r="G40" s="308"/>
      <c r="H40" s="308"/>
      <c r="I40" s="211"/>
      <c r="J40" s="211"/>
      <c r="K40" s="212"/>
      <c r="L40" s="173"/>
      <c r="M40" s="174"/>
      <c r="N40" s="175"/>
      <c r="O40" s="133"/>
      <c r="P40" s="133"/>
      <c r="Q40" s="199"/>
      <c r="R40" s="199"/>
      <c r="S40" s="133"/>
      <c r="T40" s="164"/>
      <c r="U40" s="156"/>
      <c r="V40" s="133"/>
      <c r="W40" s="133"/>
      <c r="X40" s="133"/>
      <c r="Y40" s="133"/>
      <c r="Z40" s="133"/>
      <c r="AA40" s="133"/>
      <c r="AB40" s="133"/>
    </row>
    <row r="41" spans="2:28" ht="25.05" customHeight="1">
      <c r="B41" s="185"/>
      <c r="C41" s="215"/>
      <c r="D41" s="215"/>
      <c r="E41" s="215"/>
      <c r="F41" s="304"/>
      <c r="G41" s="304"/>
      <c r="H41" s="304"/>
      <c r="I41" s="206"/>
      <c r="J41" s="206"/>
      <c r="K41" s="207"/>
      <c r="L41" s="189"/>
      <c r="M41" s="187"/>
      <c r="N41" s="188"/>
      <c r="O41" s="133"/>
      <c r="P41" s="133"/>
      <c r="Q41" s="199"/>
      <c r="R41" s="203"/>
      <c r="S41" s="156"/>
      <c r="T41" s="164"/>
      <c r="U41" s="133"/>
      <c r="V41" s="133"/>
      <c r="W41" s="133"/>
      <c r="X41" s="133"/>
      <c r="Y41" s="133"/>
      <c r="Z41" s="133"/>
      <c r="AA41" s="133"/>
      <c r="AB41" s="133"/>
    </row>
    <row r="42" spans="2:28" ht="25.05" customHeight="1">
      <c r="B42" s="172"/>
      <c r="C42" s="208"/>
      <c r="D42" s="208"/>
      <c r="E42" s="208"/>
      <c r="F42" s="308"/>
      <c r="G42" s="308"/>
      <c r="H42" s="308"/>
      <c r="I42" s="211"/>
      <c r="J42" s="211"/>
      <c r="K42" s="212"/>
      <c r="L42" s="173"/>
      <c r="M42" s="174"/>
      <c r="N42" s="175"/>
      <c r="O42" s="133"/>
      <c r="P42" s="133"/>
      <c r="Q42" s="204"/>
      <c r="R42" s="199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</row>
    <row r="43" spans="2:28" ht="25.05" customHeight="1">
      <c r="B43" s="185"/>
      <c r="C43" s="215"/>
      <c r="D43" s="215"/>
      <c r="E43" s="215"/>
      <c r="F43" s="304"/>
      <c r="G43" s="304"/>
      <c r="H43" s="304"/>
      <c r="I43" s="206"/>
      <c r="J43" s="206"/>
      <c r="K43" s="207"/>
      <c r="L43" s="189"/>
      <c r="M43" s="187"/>
      <c r="N43" s="188"/>
      <c r="O43" s="133"/>
      <c r="P43" s="133"/>
      <c r="Q43" s="199"/>
      <c r="R43" s="199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</row>
    <row r="44" spans="2:28" ht="25.05" customHeight="1">
      <c r="B44" s="177"/>
      <c r="C44" s="237"/>
      <c r="D44" s="237"/>
      <c r="E44" s="237"/>
      <c r="F44" s="312"/>
      <c r="G44" s="312"/>
      <c r="H44" s="312"/>
      <c r="I44" s="249"/>
      <c r="J44" s="249"/>
      <c r="K44" s="250"/>
      <c r="L44" s="178"/>
      <c r="M44" s="179"/>
      <c r="N44" s="180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2:28" ht="15" customHeight="1">
      <c r="B45" s="136"/>
      <c r="C45" s="213" t="s">
        <v>3887</v>
      </c>
      <c r="D45" s="213"/>
      <c r="E45" s="213"/>
      <c r="F45" s="214"/>
      <c r="G45" s="214"/>
      <c r="H45" s="214"/>
      <c r="I45" s="214"/>
      <c r="J45" s="233" t="s">
        <v>5986</v>
      </c>
      <c r="K45" s="235"/>
      <c r="L45" s="236"/>
      <c r="M45" s="190"/>
      <c r="N45" s="15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2:28" ht="15" customHeight="1">
      <c r="B46" s="136"/>
      <c r="C46" s="213" t="s">
        <v>3991</v>
      </c>
      <c r="D46" s="213"/>
      <c r="E46" s="213"/>
      <c r="F46" s="193"/>
      <c r="G46" s="194"/>
      <c r="H46" s="194"/>
      <c r="I46" s="194"/>
      <c r="J46" s="233" t="s">
        <v>3644</v>
      </c>
      <c r="K46" s="233"/>
      <c r="L46" s="233"/>
      <c r="M46" s="190"/>
      <c r="N46" s="15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2:28" ht="15" customHeight="1">
      <c r="B47" s="136"/>
      <c r="C47" s="234" t="s">
        <v>3648</v>
      </c>
      <c r="D47" s="234"/>
      <c r="E47" s="234"/>
      <c r="F47" s="197"/>
      <c r="G47" s="198"/>
      <c r="H47" s="198"/>
      <c r="I47" s="198"/>
      <c r="J47" s="233" t="s">
        <v>3905</v>
      </c>
      <c r="K47" s="233"/>
      <c r="L47" s="233"/>
      <c r="M47" s="190"/>
      <c r="N47" s="15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</row>
    <row r="48" spans="2:28" ht="15" customHeight="1">
      <c r="B48" s="136"/>
      <c r="C48" s="234" t="s">
        <v>28</v>
      </c>
      <c r="D48" s="234"/>
      <c r="E48" s="234"/>
      <c r="F48" s="194"/>
      <c r="G48" s="194"/>
      <c r="H48" s="194"/>
      <c r="I48" s="194"/>
      <c r="J48" s="233" t="s">
        <v>4069</v>
      </c>
      <c r="K48" s="233"/>
      <c r="L48" s="233"/>
      <c r="M48" s="190"/>
      <c r="N48" s="153"/>
      <c r="O48" s="133"/>
      <c r="P48" s="133"/>
      <c r="Q48" s="133"/>
      <c r="R48" s="133"/>
      <c r="S48" s="133"/>
      <c r="T48" s="164"/>
      <c r="U48" s="133"/>
      <c r="V48" s="133"/>
      <c r="W48" s="133"/>
      <c r="X48" s="133"/>
      <c r="Y48" s="133"/>
      <c r="Z48" s="133"/>
      <c r="AA48" s="133"/>
      <c r="AB48" s="133"/>
    </row>
    <row r="49" spans="2:28" ht="15" customHeight="1">
      <c r="B49" s="136"/>
      <c r="C49" s="234" t="s">
        <v>27</v>
      </c>
      <c r="D49" s="234"/>
      <c r="E49" s="234"/>
      <c r="F49" s="251"/>
      <c r="G49" s="251"/>
      <c r="H49" s="251"/>
      <c r="I49" s="251"/>
      <c r="J49" s="233" t="s">
        <v>25</v>
      </c>
      <c r="K49" s="233"/>
      <c r="L49" s="233"/>
      <c r="M49" s="190"/>
      <c r="N49" s="153"/>
      <c r="O49" s="133"/>
      <c r="P49" s="133"/>
      <c r="Q49" s="133"/>
      <c r="R49" s="133"/>
      <c r="S49" s="133"/>
      <c r="T49" s="164"/>
      <c r="U49" s="133"/>
      <c r="V49" s="133"/>
      <c r="W49" s="133"/>
      <c r="X49" s="133"/>
      <c r="Y49" s="133"/>
      <c r="Z49" s="133"/>
      <c r="AA49" s="133"/>
      <c r="AB49" s="133"/>
    </row>
    <row r="50" spans="2:28" ht="15" customHeight="1" thickBot="1">
      <c r="B50" s="147"/>
      <c r="C50" s="247" t="s">
        <v>5366</v>
      </c>
      <c r="D50" s="247"/>
      <c r="E50" s="247"/>
      <c r="F50" s="195"/>
      <c r="G50" s="195"/>
      <c r="H50" s="195"/>
      <c r="I50" s="196"/>
      <c r="J50" s="248" t="s">
        <v>4205</v>
      </c>
      <c r="K50" s="248"/>
      <c r="L50" s="248"/>
      <c r="M50" s="205"/>
      <c r="N50" s="169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</row>
    <row r="51" spans="2:28" ht="16.5">
      <c r="B51" s="133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</row>
    <row r="52" spans="2:28" ht="16.5">
      <c r="B52" s="133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</row>
    <row r="53" spans="2:28" ht="16.5">
      <c r="B53" s="133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</row>
    <row r="54" spans="2:28" ht="16.5">
      <c r="B54" s="133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</row>
    <row r="55" spans="2:28" ht="16.5">
      <c r="B55" s="133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</row>
    <row r="56" spans="2:28" ht="16.5">
      <c r="B56" s="133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</row>
    <row r="57" spans="2:28" ht="16.5">
      <c r="B57" s="133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</row>
    <row r="58" spans="2:28" ht="16.5">
      <c r="B58" s="133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</row>
    <row r="59" spans="2:28" ht="16.5">
      <c r="B59" s="133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</row>
    <row r="60" spans="2:28" ht="16.5">
      <c r="B60" s="133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</row>
    <row r="61" spans="2:28" ht="16.5">
      <c r="B61" s="133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</row>
    <row r="62" spans="2:28" ht="16.5">
      <c r="B62" s="133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</row>
    <row r="63" spans="2:28" ht="16.5">
      <c r="B63" s="133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</row>
    <row r="64" spans="2:28" ht="16.5">
      <c r="B64" s="133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2:28" ht="16.5">
      <c r="B65" s="133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</row>
    <row r="66" spans="2:28" ht="16.5">
      <c r="B66" s="133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</row>
    <row r="67" spans="2:28" ht="16.5">
      <c r="B67" s="133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</row>
    <row r="68" spans="2:28" ht="16.5">
      <c r="B68" s="133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</row>
    <row r="69" spans="2:28" ht="16.5">
      <c r="B69" s="133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</row>
    <row r="70" spans="2:28" ht="16.5">
      <c r="B70" s="133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</row>
    <row r="71" spans="2:28" ht="16.5">
      <c r="B71" s="133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</row>
    <row r="72" spans="2:28" ht="16.5">
      <c r="B72" s="133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</row>
    <row r="73" spans="2:28" ht="16.5">
      <c r="B73" s="133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</row>
    <row r="74" spans="2:28" ht="16.5">
      <c r="B74" s="133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</row>
    <row r="75" spans="2:28" ht="16.5">
      <c r="B75" s="133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</row>
    <row r="76" spans="2:28" ht="16.5">
      <c r="B76" s="133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</row>
    <row r="77" spans="2:28" ht="16.5">
      <c r="B77" s="133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</row>
    <row r="78" spans="2:28" ht="16.5">
      <c r="B78" s="133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</row>
    <row r="79" spans="2:28" ht="16.5">
      <c r="B79" s="133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</row>
    <row r="80" spans="2:28" ht="16.5">
      <c r="B80" s="133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</row>
    <row r="81" spans="2:28" ht="16.5">
      <c r="B81" s="133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</row>
    <row r="82" spans="2:28" ht="16.5">
      <c r="B82" s="133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</row>
    <row r="83" spans="2:28" ht="16.5">
      <c r="B83" s="133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</row>
    <row r="84" spans="2:28" ht="16.5">
      <c r="B84" s="133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</row>
    <row r="85" spans="2:28" ht="16.5">
      <c r="B85" s="133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</row>
    <row r="86" spans="2:28" ht="16.5">
      <c r="B86" s="133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</row>
    <row r="87" spans="2:28" ht="16.5">
      <c r="B87" s="133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</row>
    <row r="88" spans="2:28" ht="16.5">
      <c r="B88" s="133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</row>
    <row r="89" spans="2:28" ht="16.5">
      <c r="B89" s="133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</row>
    <row r="90" spans="2:28" ht="16.5">
      <c r="B90" s="133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</row>
    <row r="91" spans="2:28" ht="16.5">
      <c r="B91" s="133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</row>
    <row r="92" spans="2:28" ht="16.5">
      <c r="B92" s="133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</row>
    <row r="93" spans="2:28" ht="16.5">
      <c r="B93" s="133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</row>
    <row r="94" spans="2:28" ht="16.5">
      <c r="B94" s="133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3"/>
      <c r="O94" s="133"/>
      <c r="P94" s="133"/>
      <c r="Q94" s="133"/>
      <c r="R94" s="133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</row>
    <row r="95" spans="2:28" ht="16.5">
      <c r="B95" s="133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</row>
    <row r="96" spans="2:28" ht="16.5">
      <c r="B96" s="133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</row>
    <row r="97" spans="2:28" ht="16.5">
      <c r="B97" s="133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3"/>
      <c r="O97" s="133"/>
      <c r="P97" s="133"/>
      <c r="Q97" s="133"/>
      <c r="R97" s="133"/>
      <c r="S97" s="133"/>
      <c r="T97" s="133"/>
      <c r="U97" s="133"/>
      <c r="V97" s="133"/>
      <c r="W97" s="133"/>
      <c r="X97" s="133"/>
      <c r="Y97" s="133"/>
      <c r="Z97" s="133"/>
      <c r="AA97" s="133"/>
      <c r="AB97" s="133"/>
    </row>
    <row r="98" spans="2:28" ht="16.5">
      <c r="B98" s="133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3"/>
      <c r="O98" s="133"/>
      <c r="P98" s="133"/>
      <c r="Q98" s="133"/>
      <c r="R98" s="133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</row>
    <row r="99" spans="2:28" ht="16.5">
      <c r="B99" s="133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</row>
    <row r="100" spans="2:28" ht="16.5">
      <c r="B100" s="133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3"/>
      <c r="O100" s="133"/>
      <c r="P100" s="133"/>
      <c r="Q100" s="133"/>
      <c r="R100" s="133"/>
      <c r="S100" s="133"/>
      <c r="T100" s="133"/>
      <c r="U100" s="133"/>
      <c r="V100" s="133"/>
      <c r="W100" s="133"/>
      <c r="X100" s="133"/>
      <c r="Y100" s="133"/>
      <c r="Z100" s="133"/>
      <c r="AA100" s="133"/>
      <c r="AB100" s="133"/>
    </row>
    <row r="101" spans="2:28" ht="16.5">
      <c r="B101" s="133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3"/>
      <c r="O101" s="133"/>
      <c r="P101" s="133"/>
      <c r="Q101" s="133"/>
      <c r="R101" s="133"/>
      <c r="S101" s="133"/>
      <c r="T101" s="133"/>
      <c r="U101" s="133"/>
      <c r="V101" s="133"/>
      <c r="W101" s="133"/>
      <c r="X101" s="133"/>
      <c r="Y101" s="133"/>
      <c r="Z101" s="133"/>
      <c r="AA101" s="133"/>
      <c r="AB101" s="133"/>
    </row>
    <row r="102" spans="2:28" ht="16.5">
      <c r="B102" s="133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3"/>
      <c r="O102" s="133"/>
      <c r="P102" s="133"/>
      <c r="Q102" s="133"/>
      <c r="R102" s="133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33"/>
    </row>
    <row r="103" spans="2:28" ht="16.5">
      <c r="B103" s="133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3"/>
      <c r="O103" s="133"/>
      <c r="P103" s="133"/>
      <c r="Q103" s="133"/>
      <c r="R103" s="133"/>
      <c r="S103" s="133"/>
      <c r="T103" s="133"/>
      <c r="U103" s="133"/>
      <c r="V103" s="133"/>
      <c r="W103" s="133"/>
      <c r="X103" s="133"/>
      <c r="Y103" s="133"/>
      <c r="Z103" s="133"/>
      <c r="AA103" s="133"/>
      <c r="AB103" s="133"/>
    </row>
    <row r="104" spans="2:28" ht="16.5">
      <c r="B104" s="133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33"/>
    </row>
    <row r="105" spans="2:28" ht="16.5">
      <c r="B105" s="133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3"/>
      <c r="O105" s="133"/>
      <c r="P105" s="133"/>
      <c r="Q105" s="133"/>
      <c r="R105" s="133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33"/>
    </row>
    <row r="106" spans="2:28" ht="16.5">
      <c r="B106" s="133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3"/>
      <c r="O106" s="133"/>
      <c r="P106" s="133"/>
      <c r="Q106" s="133"/>
      <c r="R106" s="133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33"/>
    </row>
    <row r="107" spans="2:28" ht="16.5">
      <c r="B107" s="133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</row>
    <row r="108" spans="2:28" ht="16.5">
      <c r="B108" s="133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</row>
    <row r="109" spans="2:28" ht="16.5">
      <c r="B109" s="133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</row>
    <row r="110" spans="2:28" ht="16.5">
      <c r="B110" s="133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</row>
  </sheetData>
  <sheetProtection algorithmName="SHA-512" hashValue="Uea57iFxaAVAiJ76i0oJA8gYWHWhDaMVlo/nc0wy7J8t4CYWtimzEXmKfLDtJi2TbTtD7CcwAhYR9TrWYu75ng==" saltValue="0iDD+UHjjhTMkcuJlw/HSQ==" spinCount="100000" sheet="1" objects="1" scenarios="1" selectLockedCells="1"/>
  <mergeCells count="119">
    <mergeCell ref="C50:E50"/>
    <mergeCell ref="J50:L50"/>
    <mergeCell ref="F27:H27"/>
    <mergeCell ref="F29:H29"/>
    <mergeCell ref="C27:E27"/>
    <mergeCell ref="C28:E28"/>
    <mergeCell ref="C29:E29"/>
    <mergeCell ref="F37:H37"/>
    <mergeCell ref="I37:K37"/>
    <mergeCell ref="I36:K36"/>
    <mergeCell ref="I35:K35"/>
    <mergeCell ref="F36:H36"/>
    <mergeCell ref="F32:H32"/>
    <mergeCell ref="I34:K34"/>
    <mergeCell ref="I33:K33"/>
    <mergeCell ref="I38:K38"/>
    <mergeCell ref="F44:H44"/>
    <mergeCell ref="I44:K44"/>
    <mergeCell ref="I30:K30"/>
    <mergeCell ref="F41:H41"/>
    <mergeCell ref="F49:I49"/>
    <mergeCell ref="C48:E48"/>
    <mergeCell ref="J47:L47"/>
    <mergeCell ref="J48:L48"/>
    <mergeCell ref="C21:E21"/>
    <mergeCell ref="Q9:T12"/>
    <mergeCell ref="S28:T28"/>
    <mergeCell ref="I26:K26"/>
    <mergeCell ref="I22:K22"/>
    <mergeCell ref="F23:H23"/>
    <mergeCell ref="C20:E20"/>
    <mergeCell ref="F20:H20"/>
    <mergeCell ref="F21:H21"/>
    <mergeCell ref="F22:H22"/>
    <mergeCell ref="I19:K19"/>
    <mergeCell ref="I20:K20"/>
    <mergeCell ref="I21:K21"/>
    <mergeCell ref="I24:K24"/>
    <mergeCell ref="I23:K23"/>
    <mergeCell ref="C22:E22"/>
    <mergeCell ref="C23:E23"/>
    <mergeCell ref="C24:E24"/>
    <mergeCell ref="F24:H24"/>
    <mergeCell ref="C25:E25"/>
    <mergeCell ref="I28:K28"/>
    <mergeCell ref="S24:T24"/>
    <mergeCell ref="S25:T25"/>
    <mergeCell ref="S26:T26"/>
    <mergeCell ref="J49:L49"/>
    <mergeCell ref="C47:E47"/>
    <mergeCell ref="I32:K32"/>
    <mergeCell ref="J45:L45"/>
    <mergeCell ref="C40:E40"/>
    <mergeCell ref="C43:E43"/>
    <mergeCell ref="F40:H40"/>
    <mergeCell ref="I40:K40"/>
    <mergeCell ref="C39:E39"/>
    <mergeCell ref="F33:H33"/>
    <mergeCell ref="F35:H35"/>
    <mergeCell ref="C34:E34"/>
    <mergeCell ref="C49:E49"/>
    <mergeCell ref="I41:K41"/>
    <mergeCell ref="C44:E44"/>
    <mergeCell ref="C41:E41"/>
    <mergeCell ref="C46:E46"/>
    <mergeCell ref="F43:H43"/>
    <mergeCell ref="J46:L46"/>
    <mergeCell ref="F42:H42"/>
    <mergeCell ref="F39:H39"/>
    <mergeCell ref="I39:K39"/>
    <mergeCell ref="F30:H30"/>
    <mergeCell ref="C30:E30"/>
    <mergeCell ref="G2:K2"/>
    <mergeCell ref="K4:L4"/>
    <mergeCell ref="K3:L3"/>
    <mergeCell ref="L2:N2"/>
    <mergeCell ref="C18:M18"/>
    <mergeCell ref="C17:E17"/>
    <mergeCell ref="F17:H17"/>
    <mergeCell ref="D12:E12"/>
    <mergeCell ref="E15:G15"/>
    <mergeCell ref="D14:E14"/>
    <mergeCell ref="M3:N3"/>
    <mergeCell ref="G3:J3"/>
    <mergeCell ref="G4:J4"/>
    <mergeCell ref="H5:M5"/>
    <mergeCell ref="F13:M13"/>
    <mergeCell ref="D13:E13"/>
    <mergeCell ref="H14:M14"/>
    <mergeCell ref="K15:M15"/>
    <mergeCell ref="I17:K17"/>
    <mergeCell ref="F12:M12"/>
    <mergeCell ref="C19:E19"/>
    <mergeCell ref="F19:H19"/>
    <mergeCell ref="F31:H31"/>
    <mergeCell ref="I42:K42"/>
    <mergeCell ref="C42:E42"/>
    <mergeCell ref="C45:E45"/>
    <mergeCell ref="F45:I45"/>
    <mergeCell ref="C35:E35"/>
    <mergeCell ref="F34:H34"/>
    <mergeCell ref="F38:H38"/>
    <mergeCell ref="C36:E36"/>
    <mergeCell ref="C31:E31"/>
    <mergeCell ref="I31:K31"/>
    <mergeCell ref="C37:E37"/>
    <mergeCell ref="C38:E38"/>
    <mergeCell ref="I43:K43"/>
    <mergeCell ref="C32:E32"/>
    <mergeCell ref="C33:E33"/>
    <mergeCell ref="I29:K29"/>
    <mergeCell ref="C26:E26"/>
    <mergeCell ref="S27:T27"/>
    <mergeCell ref="I27:K27"/>
    <mergeCell ref="Q29:R29"/>
    <mergeCell ref="F28:H28"/>
    <mergeCell ref="I25:K25"/>
    <mergeCell ref="F25:H25"/>
    <mergeCell ref="F26:H26"/>
  </mergeCells>
  <phoneticPr fontId="16" type="noConversion"/>
  <dataValidations count="2">
    <dataValidation type="list" allowBlank="1" showInputMessage="1" showErrorMessage="1" sqref="R19" xr:uid="{3927874E-4030-4D15-9E0E-A2FE8274C958}">
      <formula1>"SI,NO"</formula1>
    </dataValidation>
    <dataValidation type="list" allowBlank="1" showInputMessage="1" showErrorMessage="1" sqref="R20" xr:uid="{9C3565C9-85C9-4A3C-9BFF-1F3EF01E570A}">
      <formula1>"21,10,5,0"</formula1>
    </dataValidation>
  </dataValidations>
  <printOptions horizontalCentered="1"/>
  <pageMargins left="0.19685039370078738" right="0.19685039370078738" top="0.19685039370078738" bottom="0.19685039370078738" header="0.11811023622047243" footer="0.11811023622047243"/>
  <pageSetup paperSize="9" scale="7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roveedor" prompt="Seleccione un proveedor de la lista" xr:uid="{C3011669-30FC-4ADD-A000-0C872989BBEC}">
          <x14:formula1>
            <xm:f>Proveedores!$A$4:$A$1996</xm:f>
          </x14:formula1>
          <xm:sqref>E12</xm:sqref>
        </x14:dataValidation>
        <x14:dataValidation type="list" allowBlank="1" showInputMessage="1" showErrorMessage="1" xr:uid="{ED75F99C-C0C1-45CF-B2C4-14215426F15D}">
          <x14:formula1>
            <xm:f>Proveedores!$A$2:$A$200</xm:f>
          </x14:formula1>
          <xm:sqref>R9:T12 Q10:Q12</xm:sqref>
        </x14:dataValidation>
        <x14:dataValidation type="list" allowBlank="1" showInputMessage="1" showErrorMessage="1" xr:uid="{E23141BA-67A4-48CE-9BFA-96B2ADCDA1EB}">
          <x14:formula1>
            <xm:f>Proveedores!$A$2:$A$10000</xm:f>
          </x14:formula1>
          <xm:sqref>Q9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O4556"/>
  <sheetViews>
    <sheetView zoomScaleNormal="100" workbookViewId="0">
      <pane ySplit="1" topLeftCell="A1384" activePane="bottomLeft" state="frozen"/>
      <selection pane="bottomLeft" activeCell="A1393" sqref="A1393:XFD1408"/>
    </sheetView>
  </sheetViews>
  <sheetFormatPr baseColWidth="10" defaultColWidth="11.3984375" defaultRowHeight="15" customHeight="1"/>
  <cols>
    <col min="1" max="1" width="11.86328125" style="74" bestFit="1" customWidth="1"/>
    <col min="2" max="2" width="9.86328125" style="1" bestFit="1" customWidth="1"/>
    <col min="3" max="3" width="40.73046875" style="1" bestFit="1" customWidth="1"/>
    <col min="4" max="4" width="8.1328125" style="1" bestFit="1" customWidth="1"/>
    <col min="5" max="5" width="42.59765625" style="65" bestFit="1" customWidth="1"/>
    <col min="6" max="6" width="32.265625" style="65" bestFit="1" customWidth="1"/>
    <col min="7" max="7" width="34.265625" style="65" bestFit="1" customWidth="1"/>
    <col min="8" max="8" width="14.1328125" style="66" bestFit="1" customWidth="1"/>
    <col min="9" max="9" width="7.3984375" style="67" bestFit="1" customWidth="1"/>
    <col min="10" max="10" width="10.1328125" style="67" bestFit="1" customWidth="1"/>
    <col min="11" max="11" width="20.265625" style="79" bestFit="1" customWidth="1"/>
    <col min="12" max="12" width="14.1328125" style="68" bestFit="1" customWidth="1"/>
    <col min="13" max="13" width="14.1328125" style="68" customWidth="1"/>
    <col min="14" max="14" width="19.73046875" style="1" customWidth="1"/>
    <col min="15" max="16384" width="11.3984375" style="1"/>
  </cols>
  <sheetData>
    <row r="1" spans="1:15" ht="15" customHeight="1">
      <c r="A1" s="72" t="s">
        <v>4</v>
      </c>
      <c r="B1" s="58" t="s">
        <v>0</v>
      </c>
      <c r="C1" s="59" t="s">
        <v>1</v>
      </c>
      <c r="D1" s="58" t="s">
        <v>5</v>
      </c>
      <c r="E1" s="58" t="s">
        <v>5270</v>
      </c>
      <c r="F1" s="58" t="s">
        <v>3</v>
      </c>
      <c r="G1" s="70" t="s">
        <v>2</v>
      </c>
      <c r="H1" s="71" t="s">
        <v>4205</v>
      </c>
      <c r="I1" s="60" t="s">
        <v>5266</v>
      </c>
      <c r="J1" s="60" t="s">
        <v>5267</v>
      </c>
      <c r="K1" s="77" t="s">
        <v>5269</v>
      </c>
      <c r="L1" s="69" t="s">
        <v>5268</v>
      </c>
      <c r="M1" s="69" t="s">
        <v>5365</v>
      </c>
      <c r="N1" s="22">
        <v>43416</v>
      </c>
    </row>
    <row r="2" spans="1:15" ht="15" customHeight="1">
      <c r="A2" s="73" t="s">
        <v>4209</v>
      </c>
      <c r="B2" s="2">
        <v>16370</v>
      </c>
      <c r="C2" s="3" t="s">
        <v>4206</v>
      </c>
      <c r="D2" s="2">
        <v>26.520000457763672</v>
      </c>
      <c r="E2" s="4" t="s">
        <v>4208</v>
      </c>
      <c r="F2" s="4" t="s">
        <v>4207</v>
      </c>
      <c r="G2" s="4" t="s">
        <v>4152</v>
      </c>
      <c r="H2" s="55">
        <v>59166.12109375</v>
      </c>
      <c r="I2" s="56"/>
      <c r="J2" s="56"/>
      <c r="K2" s="78"/>
      <c r="L2" s="57"/>
      <c r="M2" s="57"/>
      <c r="N2" s="22">
        <f ca="1">TODAY()</f>
        <v>46027</v>
      </c>
    </row>
    <row r="3" spans="1:15" ht="15" customHeight="1">
      <c r="A3" s="73" t="s">
        <v>4213</v>
      </c>
      <c r="B3" s="2">
        <v>16371</v>
      </c>
      <c r="C3" s="3" t="s">
        <v>4210</v>
      </c>
      <c r="D3" s="2">
        <v>1</v>
      </c>
      <c r="E3" s="4" t="s">
        <v>4212</v>
      </c>
      <c r="F3" s="4" t="s">
        <v>4211</v>
      </c>
      <c r="G3" s="4" t="s">
        <v>3453</v>
      </c>
      <c r="H3" s="55">
        <v>0</v>
      </c>
      <c r="I3" s="56"/>
      <c r="J3" s="56"/>
      <c r="K3" s="78"/>
      <c r="L3" s="57"/>
      <c r="M3" s="57"/>
    </row>
    <row r="4" spans="1:15" ht="15" customHeight="1">
      <c r="A4" s="73" t="s">
        <v>4216</v>
      </c>
      <c r="B4" s="2">
        <v>16373</v>
      </c>
      <c r="C4" s="3" t="s">
        <v>4206</v>
      </c>
      <c r="D4" s="2">
        <v>300</v>
      </c>
      <c r="E4" s="4" t="s">
        <v>4218</v>
      </c>
      <c r="F4" s="4" t="s">
        <v>4217</v>
      </c>
      <c r="G4" s="4" t="s">
        <v>1338</v>
      </c>
      <c r="H4" s="61">
        <v>808500</v>
      </c>
      <c r="I4" s="62"/>
      <c r="J4" s="62"/>
      <c r="K4" s="78"/>
      <c r="L4" s="57"/>
      <c r="M4" s="57"/>
      <c r="N4" s="1">
        <f>Impr.OrdenCompra!L2</f>
        <v>13350</v>
      </c>
      <c r="O4" s="1">
        <f>IF(Remitos!N4=Impr.OrdenCompra!L2,N4+1)</f>
        <v>13351</v>
      </c>
    </row>
    <row r="5" spans="1:15" ht="15" customHeight="1">
      <c r="A5" s="73" t="s">
        <v>4216</v>
      </c>
      <c r="B5" s="2">
        <v>16374</v>
      </c>
      <c r="C5" s="3" t="s">
        <v>4219</v>
      </c>
      <c r="D5" s="2">
        <v>252</v>
      </c>
      <c r="E5" s="4" t="s">
        <v>4215</v>
      </c>
      <c r="F5" s="4" t="s">
        <v>4220</v>
      </c>
      <c r="G5" s="4" t="s">
        <v>4200</v>
      </c>
      <c r="H5" s="55">
        <v>57708</v>
      </c>
      <c r="I5" s="56"/>
      <c r="J5" s="56"/>
      <c r="K5" s="78"/>
      <c r="L5" s="57"/>
      <c r="M5" s="57"/>
      <c r="N5" s="21">
        <f>Impr.OrdenCompra!L2</f>
        <v>13350</v>
      </c>
      <c r="O5" s="21">
        <f>IF(Remitos!N4=Impr.OrdenCompra!L2,N4+1)</f>
        <v>13351</v>
      </c>
    </row>
    <row r="6" spans="1:15" ht="15" customHeight="1">
      <c r="A6" s="73" t="s">
        <v>4216</v>
      </c>
      <c r="B6" s="2">
        <v>16372</v>
      </c>
      <c r="C6" s="3" t="s">
        <v>4214</v>
      </c>
      <c r="D6" s="2">
        <v>1</v>
      </c>
      <c r="E6" s="4" t="s">
        <v>4215</v>
      </c>
      <c r="F6" s="4" t="s">
        <v>4212</v>
      </c>
      <c r="G6" s="4" t="s">
        <v>3692</v>
      </c>
      <c r="H6" s="55">
        <v>80463.3984375</v>
      </c>
      <c r="I6" s="56"/>
      <c r="J6" s="56"/>
      <c r="K6" s="78"/>
      <c r="L6" s="57"/>
      <c r="M6" s="57"/>
    </row>
    <row r="7" spans="1:15" ht="15" customHeight="1">
      <c r="A7" s="73" t="s">
        <v>4229</v>
      </c>
      <c r="B7" s="2">
        <v>16375</v>
      </c>
      <c r="C7" s="2" t="s">
        <v>4221</v>
      </c>
      <c r="D7" s="2">
        <v>2</v>
      </c>
      <c r="E7" s="4" t="s">
        <v>4228</v>
      </c>
      <c r="F7" s="4" t="s">
        <v>4227</v>
      </c>
      <c r="G7" s="4" t="s">
        <v>3653</v>
      </c>
      <c r="H7" s="55">
        <v>26734.119140625</v>
      </c>
      <c r="I7" s="56"/>
      <c r="J7" s="56"/>
      <c r="K7" s="78"/>
      <c r="L7" s="57"/>
      <c r="M7" s="57"/>
    </row>
    <row r="8" spans="1:15" ht="15" customHeight="1">
      <c r="A8" s="73"/>
      <c r="B8" s="2"/>
      <c r="C8" s="2" t="s">
        <v>4222</v>
      </c>
      <c r="D8" s="2">
        <v>2</v>
      </c>
      <c r="E8" s="4"/>
      <c r="F8" s="4"/>
      <c r="G8" s="4"/>
      <c r="H8" s="55"/>
      <c r="I8" s="56"/>
      <c r="J8" s="56"/>
      <c r="K8" s="78"/>
      <c r="L8" s="57"/>
      <c r="M8" s="57"/>
    </row>
    <row r="9" spans="1:15" ht="15" customHeight="1">
      <c r="A9" s="73"/>
      <c r="B9" s="2"/>
      <c r="C9" s="2" t="s">
        <v>4223</v>
      </c>
      <c r="D9" s="2">
        <v>1</v>
      </c>
      <c r="E9" s="4"/>
      <c r="F9" s="4"/>
      <c r="G9" s="4"/>
      <c r="H9" s="55"/>
      <c r="I9" s="56"/>
      <c r="J9" s="56"/>
      <c r="K9" s="78"/>
      <c r="L9" s="57"/>
      <c r="M9" s="57"/>
    </row>
    <row r="10" spans="1:15" ht="15" customHeight="1">
      <c r="A10" s="73"/>
      <c r="B10" s="2"/>
      <c r="C10" s="2" t="s">
        <v>4224</v>
      </c>
      <c r="D10" s="2">
        <v>2</v>
      </c>
      <c r="E10" s="4"/>
      <c r="F10" s="4"/>
      <c r="G10" s="4"/>
      <c r="H10" s="55"/>
      <c r="I10" s="56"/>
      <c r="J10" s="56"/>
      <c r="K10" s="78"/>
      <c r="L10" s="57"/>
      <c r="M10" s="57"/>
    </row>
    <row r="11" spans="1:15" ht="15" customHeight="1">
      <c r="A11" s="73"/>
      <c r="B11" s="2"/>
      <c r="C11" s="2" t="s">
        <v>4225</v>
      </c>
      <c r="D11" s="2">
        <v>2</v>
      </c>
      <c r="E11" s="4"/>
      <c r="F11" s="4"/>
      <c r="G11" s="4"/>
      <c r="H11" s="55"/>
      <c r="I11" s="56"/>
      <c r="J11" s="56"/>
      <c r="K11" s="78"/>
      <c r="L11" s="57"/>
      <c r="M11" s="57"/>
    </row>
    <row r="12" spans="1:15" ht="15" customHeight="1">
      <c r="A12" s="73"/>
      <c r="B12" s="2"/>
      <c r="C12" s="2" t="s">
        <v>4226</v>
      </c>
      <c r="D12" s="2">
        <v>1</v>
      </c>
      <c r="E12" s="4"/>
      <c r="F12" s="4"/>
      <c r="G12" s="4"/>
      <c r="H12" s="55"/>
      <c r="I12" s="56"/>
      <c r="J12" s="56"/>
      <c r="K12" s="78"/>
      <c r="L12" s="57"/>
      <c r="M12" s="57"/>
    </row>
    <row r="13" spans="1:15" ht="15" customHeight="1">
      <c r="A13" s="73"/>
      <c r="B13" s="2"/>
      <c r="C13" s="2" t="s">
        <v>4226</v>
      </c>
      <c r="D13" s="2">
        <v>1</v>
      </c>
      <c r="E13" s="4"/>
      <c r="F13" s="4"/>
      <c r="G13" s="4"/>
      <c r="H13" s="55"/>
      <c r="I13" s="56"/>
      <c r="J13" s="56"/>
      <c r="K13" s="78"/>
      <c r="L13" s="57"/>
      <c r="M13" s="57"/>
    </row>
    <row r="14" spans="1:15" ht="15" customHeight="1">
      <c r="A14" s="73" t="s">
        <v>4233</v>
      </c>
      <c r="B14" s="2">
        <v>16376</v>
      </c>
      <c r="C14" s="2" t="s">
        <v>4230</v>
      </c>
      <c r="D14" s="2">
        <v>3</v>
      </c>
      <c r="E14" s="4" t="s">
        <v>4215</v>
      </c>
      <c r="F14" s="4" t="s">
        <v>4220</v>
      </c>
      <c r="G14" s="4" t="s">
        <v>4200</v>
      </c>
      <c r="H14" s="55">
        <v>108700</v>
      </c>
      <c r="I14" s="56"/>
      <c r="J14" s="56"/>
      <c r="K14" s="78"/>
      <c r="L14" s="57"/>
      <c r="M14" s="57"/>
    </row>
    <row r="15" spans="1:15" ht="15" customHeight="1">
      <c r="A15" s="73"/>
      <c r="B15" s="2"/>
      <c r="C15" s="2" t="s">
        <v>4231</v>
      </c>
      <c r="D15" s="2">
        <v>40</v>
      </c>
      <c r="E15" s="4"/>
      <c r="F15" s="4"/>
      <c r="G15" s="4"/>
      <c r="H15" s="55"/>
      <c r="I15" s="56"/>
      <c r="J15" s="56"/>
      <c r="K15" s="78"/>
      <c r="L15" s="57"/>
      <c r="M15" s="57"/>
    </row>
    <row r="16" spans="1:15" ht="15" customHeight="1">
      <c r="A16" s="73"/>
      <c r="B16" s="2"/>
      <c r="C16" s="2" t="s">
        <v>4232</v>
      </c>
      <c r="D16" s="2">
        <v>1</v>
      </c>
      <c r="E16" s="4"/>
      <c r="F16" s="4"/>
      <c r="G16" s="4"/>
      <c r="H16" s="55"/>
      <c r="I16" s="56"/>
      <c r="J16" s="56"/>
      <c r="K16" s="78"/>
      <c r="L16" s="57"/>
      <c r="M16" s="57"/>
    </row>
    <row r="17" spans="1:13" ht="15" customHeight="1">
      <c r="A17" s="73">
        <v>44631</v>
      </c>
      <c r="B17" s="2">
        <v>16377</v>
      </c>
      <c r="C17" s="2" t="s">
        <v>4206</v>
      </c>
      <c r="D17" s="2">
        <v>300</v>
      </c>
      <c r="E17" s="4" t="s">
        <v>4218</v>
      </c>
      <c r="F17" s="4" t="s">
        <v>4217</v>
      </c>
      <c r="G17" s="4" t="s">
        <v>1338</v>
      </c>
      <c r="H17" s="61">
        <v>816000</v>
      </c>
      <c r="I17" s="62"/>
      <c r="J17" s="62"/>
      <c r="K17" s="78"/>
      <c r="L17" s="57"/>
      <c r="M17" s="57"/>
    </row>
    <row r="18" spans="1:13" ht="15" customHeight="1">
      <c r="A18" s="73">
        <v>44753</v>
      </c>
      <c r="B18" s="2">
        <v>16379</v>
      </c>
      <c r="C18" s="2" t="s">
        <v>4238</v>
      </c>
      <c r="D18" s="2">
        <v>1</v>
      </c>
      <c r="E18" s="4" t="s">
        <v>4240</v>
      </c>
      <c r="F18" s="4" t="s">
        <v>4239</v>
      </c>
      <c r="G18" s="4" t="s">
        <v>3696</v>
      </c>
      <c r="H18" s="55">
        <v>0</v>
      </c>
      <c r="I18" s="56"/>
      <c r="J18" s="56"/>
      <c r="K18" s="78"/>
      <c r="L18" s="57"/>
      <c r="M18" s="57"/>
    </row>
    <row r="19" spans="1:13" ht="15" customHeight="1">
      <c r="A19" s="73">
        <v>44631</v>
      </c>
      <c r="B19" s="2">
        <v>16378</v>
      </c>
      <c r="C19" s="2" t="s">
        <v>4235</v>
      </c>
      <c r="D19" s="2">
        <v>1</v>
      </c>
      <c r="E19" s="4" t="s">
        <v>4237</v>
      </c>
      <c r="F19" s="4" t="s">
        <v>4234</v>
      </c>
      <c r="G19" s="4" t="s">
        <v>3295</v>
      </c>
      <c r="H19" s="55">
        <v>0</v>
      </c>
      <c r="I19" s="56"/>
      <c r="J19" s="56"/>
      <c r="K19" s="78"/>
      <c r="L19" s="57"/>
      <c r="M19" s="57"/>
    </row>
    <row r="20" spans="1:13" ht="15" customHeight="1">
      <c r="A20" s="73"/>
      <c r="B20" s="2"/>
      <c r="C20" s="2" t="s">
        <v>4236</v>
      </c>
      <c r="D20" s="2">
        <v>1</v>
      </c>
      <c r="E20" s="4"/>
      <c r="F20" s="4"/>
      <c r="G20" s="4"/>
      <c r="H20" s="55"/>
      <c r="I20" s="56"/>
      <c r="J20" s="56"/>
      <c r="K20" s="78"/>
      <c r="L20" s="57"/>
      <c r="M20" s="57"/>
    </row>
    <row r="21" spans="1:13" ht="15" customHeight="1">
      <c r="A21" s="73">
        <v>44784</v>
      </c>
      <c r="B21" s="2">
        <v>16380</v>
      </c>
      <c r="C21" s="2" t="s">
        <v>4244</v>
      </c>
      <c r="D21" s="2">
        <v>1</v>
      </c>
      <c r="E21" s="4" t="s">
        <v>4246</v>
      </c>
      <c r="F21" s="4" t="s">
        <v>4245</v>
      </c>
      <c r="G21" s="4" t="s">
        <v>3661</v>
      </c>
      <c r="H21" s="55">
        <v>88125.15625</v>
      </c>
      <c r="I21" s="56"/>
      <c r="J21" s="56"/>
      <c r="K21" s="78"/>
      <c r="L21" s="57"/>
      <c r="M21" s="57"/>
    </row>
    <row r="22" spans="1:13" ht="15" customHeight="1">
      <c r="A22" s="73">
        <v>44784</v>
      </c>
      <c r="B22" s="2">
        <v>16381</v>
      </c>
      <c r="C22" s="2" t="s">
        <v>4247</v>
      </c>
      <c r="D22" s="2">
        <v>3</v>
      </c>
      <c r="E22" s="4" t="s">
        <v>4237</v>
      </c>
      <c r="F22" s="4" t="s">
        <v>4217</v>
      </c>
      <c r="G22" s="4" t="s">
        <v>4241</v>
      </c>
      <c r="H22" s="55">
        <v>192570</v>
      </c>
      <c r="I22" s="56"/>
      <c r="J22" s="56"/>
      <c r="K22" s="78"/>
      <c r="L22" s="57"/>
      <c r="M22" s="57"/>
    </row>
    <row r="23" spans="1:13" ht="15" customHeight="1">
      <c r="A23" s="73"/>
      <c r="B23" s="2"/>
      <c r="C23" s="2" t="s">
        <v>4248</v>
      </c>
      <c r="D23" s="2">
        <v>3</v>
      </c>
      <c r="E23" s="4"/>
      <c r="F23" s="4"/>
      <c r="G23" s="4"/>
      <c r="H23" s="55"/>
      <c r="I23" s="56"/>
      <c r="J23" s="56"/>
      <c r="K23" s="78"/>
      <c r="L23" s="57"/>
      <c r="M23" s="57"/>
    </row>
    <row r="24" spans="1:13" ht="15" customHeight="1">
      <c r="A24" s="73"/>
      <c r="B24" s="2"/>
      <c r="C24" s="2" t="s">
        <v>4249</v>
      </c>
      <c r="D24" s="2">
        <v>3</v>
      </c>
      <c r="E24" s="4"/>
      <c r="F24" s="4"/>
      <c r="G24" s="4"/>
      <c r="H24" s="55"/>
      <c r="I24" s="56"/>
      <c r="J24" s="56"/>
      <c r="K24" s="78"/>
      <c r="L24" s="57"/>
      <c r="M24" s="57"/>
    </row>
    <row r="25" spans="1:13" ht="15" customHeight="1">
      <c r="A25" s="73"/>
      <c r="B25" s="2"/>
      <c r="C25" s="2" t="s">
        <v>4250</v>
      </c>
      <c r="D25" s="2">
        <v>3</v>
      </c>
      <c r="E25" s="4"/>
      <c r="F25" s="4"/>
      <c r="G25" s="4"/>
      <c r="H25" s="55"/>
      <c r="I25" s="56"/>
      <c r="J25" s="56"/>
      <c r="K25" s="78"/>
      <c r="L25" s="57"/>
      <c r="M25" s="57"/>
    </row>
    <row r="26" spans="1:13" ht="15" customHeight="1">
      <c r="A26" s="73"/>
      <c r="B26" s="2"/>
      <c r="C26" s="2" t="s">
        <v>4251</v>
      </c>
      <c r="D26" s="2">
        <v>1</v>
      </c>
      <c r="E26" s="4"/>
      <c r="F26" s="4"/>
      <c r="G26" s="4"/>
      <c r="H26" s="55"/>
      <c r="I26" s="56"/>
      <c r="J26" s="56"/>
      <c r="K26" s="78"/>
      <c r="L26" s="57"/>
      <c r="M26" s="57"/>
    </row>
    <row r="27" spans="1:13" ht="15" customHeight="1">
      <c r="A27" s="73">
        <v>44784</v>
      </c>
      <c r="B27" s="2">
        <v>16382</v>
      </c>
      <c r="C27" s="2" t="s">
        <v>4252</v>
      </c>
      <c r="D27" s="2">
        <v>1</v>
      </c>
      <c r="E27" s="4" t="s">
        <v>4215</v>
      </c>
      <c r="F27" s="4" t="s">
        <v>4212</v>
      </c>
      <c r="G27" s="4" t="s">
        <v>4200</v>
      </c>
      <c r="H27" s="55">
        <v>28600</v>
      </c>
      <c r="I27" s="56"/>
      <c r="J27" s="56"/>
      <c r="K27" s="78"/>
      <c r="L27" s="57"/>
      <c r="M27" s="57"/>
    </row>
    <row r="28" spans="1:13" ht="15" customHeight="1">
      <c r="A28" s="73">
        <v>44815</v>
      </c>
      <c r="B28" s="2">
        <v>16383</v>
      </c>
      <c r="C28" s="2" t="s">
        <v>4253</v>
      </c>
      <c r="D28" s="2">
        <v>1</v>
      </c>
      <c r="E28" s="4" t="s">
        <v>4215</v>
      </c>
      <c r="F28" s="4" t="s">
        <v>4212</v>
      </c>
      <c r="G28" s="4" t="s">
        <v>3675</v>
      </c>
      <c r="H28" s="55">
        <v>30713</v>
      </c>
      <c r="I28" s="56"/>
      <c r="J28" s="56"/>
      <c r="K28" s="78"/>
      <c r="L28" s="57"/>
      <c r="M28" s="57"/>
    </row>
    <row r="29" spans="1:13" ht="15" customHeight="1">
      <c r="A29" s="73">
        <v>44815</v>
      </c>
      <c r="B29" s="2">
        <v>16384</v>
      </c>
      <c r="C29" s="2" t="s">
        <v>4206</v>
      </c>
      <c r="D29" s="2">
        <v>300</v>
      </c>
      <c r="E29" s="4" t="s">
        <v>4218</v>
      </c>
      <c r="F29" s="4" t="s">
        <v>4217</v>
      </c>
      <c r="G29" s="4" t="s">
        <v>1338</v>
      </c>
      <c r="H29" s="61">
        <v>828000</v>
      </c>
      <c r="I29" s="62"/>
      <c r="J29" s="62"/>
      <c r="K29" s="78"/>
      <c r="L29" s="57"/>
      <c r="M29" s="57"/>
    </row>
    <row r="30" spans="1:13" ht="15" customHeight="1">
      <c r="A30" s="73">
        <v>44815</v>
      </c>
      <c r="B30" s="2">
        <v>16385</v>
      </c>
      <c r="C30" s="2" t="s">
        <v>4254</v>
      </c>
      <c r="D30" s="2">
        <v>1</v>
      </c>
      <c r="E30" s="4" t="s">
        <v>4215</v>
      </c>
      <c r="F30" s="4" t="s">
        <v>4212</v>
      </c>
      <c r="G30" s="4" t="s">
        <v>1338</v>
      </c>
      <c r="H30" s="55">
        <v>87214.640625</v>
      </c>
      <c r="I30" s="56"/>
      <c r="J30" s="56"/>
      <c r="K30" s="78"/>
      <c r="L30" s="57"/>
      <c r="M30" s="57"/>
    </row>
    <row r="31" spans="1:13" ht="15" customHeight="1">
      <c r="A31" s="73"/>
      <c r="B31" s="2"/>
      <c r="C31" s="2" t="s">
        <v>4255</v>
      </c>
      <c r="D31" s="2">
        <v>1</v>
      </c>
      <c r="E31" s="4"/>
      <c r="F31" s="4"/>
      <c r="G31" s="4"/>
      <c r="H31" s="55"/>
      <c r="I31" s="56"/>
      <c r="J31" s="56"/>
      <c r="K31" s="78"/>
      <c r="L31" s="57"/>
      <c r="M31" s="57"/>
    </row>
    <row r="32" spans="1:13" ht="15" customHeight="1">
      <c r="A32" s="73">
        <v>44815</v>
      </c>
      <c r="B32" s="2">
        <v>16386</v>
      </c>
      <c r="C32" s="2" t="s">
        <v>4254</v>
      </c>
      <c r="D32" s="2">
        <v>1</v>
      </c>
      <c r="E32" s="4" t="s">
        <v>4215</v>
      </c>
      <c r="F32" s="4" t="s">
        <v>4212</v>
      </c>
      <c r="G32" s="4" t="s">
        <v>3692</v>
      </c>
      <c r="H32" s="55">
        <v>87214.640625</v>
      </c>
      <c r="I32" s="56"/>
      <c r="J32" s="56"/>
      <c r="K32" s="78"/>
      <c r="L32" s="57"/>
      <c r="M32" s="57"/>
    </row>
    <row r="33" spans="1:13" ht="15" customHeight="1">
      <c r="A33" s="73"/>
      <c r="B33" s="2"/>
      <c r="C33" s="2" t="s">
        <v>4256</v>
      </c>
      <c r="D33" s="2">
        <v>1</v>
      </c>
      <c r="E33" s="4"/>
      <c r="F33" s="4"/>
      <c r="G33" s="4"/>
      <c r="H33" s="55"/>
      <c r="I33" s="56"/>
      <c r="J33" s="56"/>
      <c r="K33" s="78"/>
      <c r="L33" s="57"/>
      <c r="M33" s="57"/>
    </row>
    <row r="34" spans="1:13" ht="15" customHeight="1">
      <c r="A34" s="73">
        <v>44845</v>
      </c>
      <c r="B34" s="2">
        <v>16387</v>
      </c>
      <c r="C34" s="2" t="s">
        <v>4257</v>
      </c>
      <c r="D34" s="2">
        <v>1</v>
      </c>
      <c r="E34" s="4" t="s">
        <v>4212</v>
      </c>
      <c r="F34" s="4" t="s">
        <v>4212</v>
      </c>
      <c r="G34" s="4" t="s">
        <v>3453</v>
      </c>
      <c r="H34" s="55">
        <v>0</v>
      </c>
      <c r="I34" s="56"/>
      <c r="J34" s="56"/>
      <c r="K34" s="78"/>
      <c r="L34" s="57"/>
      <c r="M34" s="57"/>
    </row>
    <row r="35" spans="1:13" ht="15" customHeight="1">
      <c r="A35" s="73">
        <v>44845</v>
      </c>
      <c r="B35" s="2">
        <v>16388</v>
      </c>
      <c r="C35" s="2" t="s">
        <v>4231</v>
      </c>
      <c r="D35" s="2">
        <v>40</v>
      </c>
      <c r="E35" s="4" t="s">
        <v>4215</v>
      </c>
      <c r="F35" s="4" t="s">
        <v>4212</v>
      </c>
      <c r="G35" s="4" t="s">
        <v>4200</v>
      </c>
      <c r="H35" s="55">
        <v>77200</v>
      </c>
      <c r="I35" s="56"/>
      <c r="J35" s="56"/>
      <c r="K35" s="78"/>
      <c r="L35" s="57"/>
      <c r="M35" s="57"/>
    </row>
    <row r="36" spans="1:13" ht="15" customHeight="1">
      <c r="A36" s="73"/>
      <c r="B36" s="2"/>
      <c r="C36" s="2" t="s">
        <v>4232</v>
      </c>
      <c r="D36" s="2">
        <v>1</v>
      </c>
      <c r="E36" s="4"/>
      <c r="F36" s="4"/>
      <c r="G36" s="4"/>
      <c r="H36" s="55"/>
      <c r="I36" s="56"/>
      <c r="J36" s="56"/>
      <c r="K36" s="78"/>
      <c r="L36" s="57"/>
      <c r="M36" s="57"/>
    </row>
    <row r="37" spans="1:13" ht="15" customHeight="1">
      <c r="A37" s="73">
        <v>44876</v>
      </c>
      <c r="B37" s="2">
        <v>16389</v>
      </c>
      <c r="C37" s="2" t="s">
        <v>4258</v>
      </c>
      <c r="D37" s="2">
        <v>1</v>
      </c>
      <c r="E37" s="4" t="s">
        <v>4260</v>
      </c>
      <c r="F37" s="4" t="s">
        <v>4259</v>
      </c>
      <c r="G37" s="4" t="s">
        <v>3660</v>
      </c>
      <c r="H37" s="55">
        <v>0</v>
      </c>
      <c r="I37" s="56"/>
      <c r="J37" s="56"/>
      <c r="K37" s="78"/>
      <c r="L37" s="57"/>
      <c r="M37" s="57"/>
    </row>
    <row r="38" spans="1:13" ht="15" customHeight="1">
      <c r="A38" s="73">
        <v>44876</v>
      </c>
      <c r="B38" s="2">
        <v>16390</v>
      </c>
      <c r="C38" s="2" t="s">
        <v>4263</v>
      </c>
      <c r="D38" s="2">
        <v>2</v>
      </c>
      <c r="E38" s="4" t="s">
        <v>4264</v>
      </c>
      <c r="F38" s="4" t="s">
        <v>4207</v>
      </c>
      <c r="G38" s="4" t="s">
        <v>4181</v>
      </c>
      <c r="H38" s="55">
        <v>139048</v>
      </c>
      <c r="I38" s="56"/>
      <c r="J38" s="56"/>
      <c r="K38" s="78"/>
      <c r="L38" s="57"/>
      <c r="M38" s="57"/>
    </row>
    <row r="39" spans="1:13" ht="15" customHeight="1">
      <c r="A39" s="73">
        <v>44876</v>
      </c>
      <c r="B39" s="2">
        <v>16391</v>
      </c>
      <c r="C39" s="2" t="s">
        <v>4265</v>
      </c>
      <c r="D39" s="2">
        <v>1</v>
      </c>
      <c r="E39" s="4" t="s">
        <v>4266</v>
      </c>
      <c r="F39" s="4" t="s">
        <v>4239</v>
      </c>
      <c r="G39" s="4" t="s">
        <v>3265</v>
      </c>
      <c r="H39" s="55">
        <v>0</v>
      </c>
      <c r="I39" s="56"/>
      <c r="J39" s="56"/>
      <c r="K39" s="78"/>
      <c r="L39" s="57"/>
      <c r="M39" s="57"/>
    </row>
    <row r="40" spans="1:13" ht="15" customHeight="1">
      <c r="A40" s="73" t="s">
        <v>4270</v>
      </c>
      <c r="B40" s="2">
        <v>16392</v>
      </c>
      <c r="C40" s="2" t="s">
        <v>4267</v>
      </c>
      <c r="D40" s="2">
        <v>599.96002197265625</v>
      </c>
      <c r="E40" s="4" t="s">
        <v>4269</v>
      </c>
      <c r="F40" s="4" t="s">
        <v>4268</v>
      </c>
      <c r="G40" s="4" t="s">
        <v>3344</v>
      </c>
      <c r="H40" s="55">
        <v>431971.1875</v>
      </c>
      <c r="I40" s="56"/>
      <c r="J40" s="56"/>
      <c r="K40" s="78"/>
      <c r="L40" s="57"/>
      <c r="M40" s="57"/>
    </row>
    <row r="41" spans="1:13" ht="15" customHeight="1">
      <c r="A41" s="73" t="s">
        <v>4270</v>
      </c>
      <c r="B41" s="2">
        <v>16393</v>
      </c>
      <c r="C41" s="2" t="s">
        <v>4271</v>
      </c>
      <c r="D41" s="2">
        <v>1000</v>
      </c>
      <c r="E41" s="4" t="s">
        <v>4237</v>
      </c>
      <c r="F41" s="4" t="s">
        <v>4212</v>
      </c>
      <c r="G41" s="4" t="s">
        <v>3344</v>
      </c>
      <c r="H41" s="55">
        <v>15200000</v>
      </c>
      <c r="I41" s="56"/>
      <c r="J41" s="56"/>
      <c r="K41" s="78"/>
      <c r="L41" s="57"/>
      <c r="M41" s="57"/>
    </row>
    <row r="42" spans="1:13" ht="15" customHeight="1">
      <c r="A42" s="73" t="s">
        <v>4270</v>
      </c>
      <c r="B42" s="2">
        <v>16394</v>
      </c>
      <c r="C42" s="2" t="s">
        <v>4272</v>
      </c>
      <c r="D42" s="2">
        <v>1000</v>
      </c>
      <c r="E42" s="4" t="s">
        <v>4237</v>
      </c>
      <c r="F42" s="4" t="s">
        <v>4220</v>
      </c>
      <c r="G42" s="4" t="s">
        <v>3692</v>
      </c>
      <c r="H42" s="55">
        <v>15200000</v>
      </c>
      <c r="I42" s="56"/>
      <c r="J42" s="56"/>
      <c r="K42" s="78"/>
      <c r="L42" s="57"/>
      <c r="M42" s="57"/>
    </row>
    <row r="43" spans="1:13" ht="15" customHeight="1">
      <c r="A43" s="73" t="s">
        <v>4270</v>
      </c>
      <c r="B43" s="2">
        <v>16395</v>
      </c>
      <c r="C43" s="2" t="s">
        <v>4206</v>
      </c>
      <c r="D43" s="2">
        <v>300</v>
      </c>
      <c r="E43" s="4" t="s">
        <v>4218</v>
      </c>
      <c r="F43" s="4" t="s">
        <v>4217</v>
      </c>
      <c r="G43" s="4" t="s">
        <v>1338</v>
      </c>
      <c r="H43" s="61">
        <v>837000</v>
      </c>
      <c r="I43" s="62"/>
      <c r="J43" s="62"/>
      <c r="K43" s="78"/>
      <c r="L43" s="57"/>
      <c r="M43" s="57"/>
    </row>
    <row r="44" spans="1:13" ht="15" customHeight="1">
      <c r="A44" s="73" t="s">
        <v>4270</v>
      </c>
      <c r="B44" s="2">
        <v>16396</v>
      </c>
      <c r="C44" s="2" t="s">
        <v>4275</v>
      </c>
      <c r="D44" s="2">
        <v>2</v>
      </c>
      <c r="E44" s="4" t="s">
        <v>4283</v>
      </c>
      <c r="F44" s="4" t="s">
        <v>4259</v>
      </c>
      <c r="G44" s="4" t="s">
        <v>3653</v>
      </c>
      <c r="H44" s="55">
        <v>20577.48046875</v>
      </c>
      <c r="I44" s="56"/>
      <c r="J44" s="56"/>
      <c r="K44" s="78"/>
      <c r="L44" s="57"/>
      <c r="M44" s="57"/>
    </row>
    <row r="45" spans="1:13" ht="15" customHeight="1">
      <c r="A45" s="73"/>
      <c r="B45" s="2"/>
      <c r="C45" s="2" t="s">
        <v>4276</v>
      </c>
      <c r="D45" s="2">
        <v>4</v>
      </c>
      <c r="E45" s="4"/>
      <c r="F45" s="4"/>
      <c r="G45" s="4"/>
      <c r="H45" s="55"/>
      <c r="I45" s="56"/>
      <c r="J45" s="56"/>
      <c r="K45" s="78"/>
      <c r="L45" s="57"/>
      <c r="M45" s="57"/>
    </row>
    <row r="46" spans="1:13" ht="15" customHeight="1">
      <c r="A46" s="73"/>
      <c r="B46" s="2"/>
      <c r="C46" s="2" t="s">
        <v>4277</v>
      </c>
      <c r="D46" s="2">
        <v>2</v>
      </c>
      <c r="E46" s="4"/>
      <c r="F46" s="4"/>
      <c r="G46" s="4"/>
      <c r="H46" s="55"/>
      <c r="I46" s="56"/>
      <c r="J46" s="56"/>
      <c r="K46" s="78"/>
      <c r="L46" s="57"/>
      <c r="M46" s="57"/>
    </row>
    <row r="47" spans="1:13" ht="15" customHeight="1">
      <c r="A47" s="73"/>
      <c r="B47" s="2"/>
      <c r="C47" s="2" t="s">
        <v>4278</v>
      </c>
      <c r="D47" s="2">
        <v>10</v>
      </c>
      <c r="E47" s="4"/>
      <c r="F47" s="4"/>
      <c r="G47" s="4"/>
      <c r="H47" s="55"/>
      <c r="I47" s="56"/>
      <c r="J47" s="56"/>
      <c r="K47" s="78"/>
      <c r="L47" s="57"/>
      <c r="M47" s="57"/>
    </row>
    <row r="48" spans="1:13" ht="15" customHeight="1">
      <c r="A48" s="73"/>
      <c r="B48" s="2"/>
      <c r="C48" s="2" t="s">
        <v>4279</v>
      </c>
      <c r="D48" s="2">
        <v>1</v>
      </c>
      <c r="E48" s="4"/>
      <c r="F48" s="4"/>
      <c r="G48" s="4"/>
      <c r="H48" s="55"/>
      <c r="I48" s="56"/>
      <c r="J48" s="56"/>
      <c r="K48" s="78"/>
      <c r="L48" s="57"/>
      <c r="M48" s="57"/>
    </row>
    <row r="49" spans="1:13" ht="15" customHeight="1">
      <c r="A49" s="73"/>
      <c r="B49" s="2"/>
      <c r="C49" s="2" t="s">
        <v>4280</v>
      </c>
      <c r="D49" s="2">
        <v>2</v>
      </c>
      <c r="E49" s="4"/>
      <c r="F49" s="4"/>
      <c r="G49" s="4"/>
      <c r="H49" s="55"/>
      <c r="I49" s="56"/>
      <c r="J49" s="56"/>
      <c r="K49" s="78"/>
      <c r="L49" s="57"/>
      <c r="M49" s="57"/>
    </row>
    <row r="50" spans="1:13" ht="15" customHeight="1">
      <c r="A50" s="73"/>
      <c r="B50" s="2"/>
      <c r="C50" s="2" t="s">
        <v>4281</v>
      </c>
      <c r="D50" s="2">
        <v>2</v>
      </c>
      <c r="E50" s="4"/>
      <c r="F50" s="4"/>
      <c r="G50" s="4"/>
      <c r="H50" s="55"/>
      <c r="I50" s="56"/>
      <c r="J50" s="56"/>
      <c r="K50" s="78"/>
      <c r="L50" s="57"/>
      <c r="M50" s="57"/>
    </row>
    <row r="51" spans="1:13" ht="15" customHeight="1">
      <c r="A51" s="73"/>
      <c r="B51" s="2"/>
      <c r="C51" s="2" t="s">
        <v>4282</v>
      </c>
      <c r="D51" s="2">
        <v>3</v>
      </c>
      <c r="E51" s="4"/>
      <c r="F51" s="4"/>
      <c r="G51" s="4"/>
      <c r="H51" s="55"/>
      <c r="I51" s="56"/>
      <c r="J51" s="56"/>
      <c r="K51" s="78"/>
      <c r="L51" s="57"/>
      <c r="M51" s="57"/>
    </row>
    <row r="52" spans="1:13" ht="15" customHeight="1">
      <c r="A52" s="73" t="s">
        <v>4285</v>
      </c>
      <c r="B52" s="2">
        <v>16397</v>
      </c>
      <c r="C52" s="2" t="s">
        <v>4284</v>
      </c>
      <c r="D52" s="2">
        <v>1</v>
      </c>
      <c r="E52" s="4" t="s">
        <v>4264</v>
      </c>
      <c r="F52" s="4" t="s">
        <v>4207</v>
      </c>
      <c r="G52" s="4" t="s">
        <v>3844</v>
      </c>
      <c r="H52" s="55">
        <v>1266968.375</v>
      </c>
      <c r="I52" s="56"/>
      <c r="J52" s="56"/>
      <c r="K52" s="78"/>
      <c r="L52" s="57"/>
      <c r="M52" s="57"/>
    </row>
    <row r="53" spans="1:13" ht="15" customHeight="1">
      <c r="A53" s="73" t="s">
        <v>4288</v>
      </c>
      <c r="B53" s="2">
        <v>16398</v>
      </c>
      <c r="C53" s="2" t="s">
        <v>4286</v>
      </c>
      <c r="D53" s="2">
        <v>60</v>
      </c>
      <c r="E53" s="4" t="s">
        <v>4215</v>
      </c>
      <c r="F53" s="4" t="s">
        <v>4220</v>
      </c>
      <c r="G53" s="4" t="s">
        <v>4200</v>
      </c>
      <c r="H53" s="55">
        <v>147400</v>
      </c>
      <c r="I53" s="56"/>
      <c r="J53" s="56"/>
      <c r="K53" s="78"/>
      <c r="L53" s="57"/>
      <c r="M53" s="57"/>
    </row>
    <row r="54" spans="1:13" ht="15" customHeight="1">
      <c r="A54" s="73"/>
      <c r="B54" s="2"/>
      <c r="C54" s="2" t="s">
        <v>4287</v>
      </c>
      <c r="D54" s="2">
        <v>1</v>
      </c>
      <c r="E54" s="4"/>
      <c r="F54" s="4"/>
      <c r="G54" s="4"/>
      <c r="H54" s="55"/>
      <c r="I54" s="56"/>
      <c r="J54" s="56"/>
      <c r="K54" s="78"/>
      <c r="L54" s="57"/>
      <c r="M54" s="57"/>
    </row>
    <row r="55" spans="1:13" ht="15" customHeight="1">
      <c r="A55" s="73" t="s">
        <v>4288</v>
      </c>
      <c r="B55" s="2">
        <v>16399</v>
      </c>
      <c r="C55" s="2" t="s">
        <v>4289</v>
      </c>
      <c r="D55" s="2">
        <v>75</v>
      </c>
      <c r="E55" s="4" t="s">
        <v>4215</v>
      </c>
      <c r="F55" s="4" t="s">
        <v>4212</v>
      </c>
      <c r="G55" s="4" t="s">
        <v>4200</v>
      </c>
      <c r="H55" s="55">
        <v>0</v>
      </c>
      <c r="I55" s="56"/>
      <c r="J55" s="56"/>
      <c r="K55" s="78"/>
      <c r="L55" s="57"/>
      <c r="M55" s="57"/>
    </row>
    <row r="56" spans="1:13" ht="15" customHeight="1">
      <c r="A56" s="73"/>
      <c r="B56" s="2"/>
      <c r="C56" s="2" t="s">
        <v>4287</v>
      </c>
      <c r="D56" s="2">
        <v>1</v>
      </c>
      <c r="E56" s="4"/>
      <c r="F56" s="4"/>
      <c r="G56" s="4"/>
      <c r="H56" s="55"/>
      <c r="I56" s="56"/>
      <c r="J56" s="56"/>
      <c r="K56" s="78"/>
      <c r="L56" s="57"/>
      <c r="M56" s="57"/>
    </row>
    <row r="57" spans="1:13" ht="15" customHeight="1">
      <c r="A57" s="73" t="s">
        <v>4288</v>
      </c>
      <c r="B57" s="2">
        <v>16400</v>
      </c>
      <c r="C57" s="2" t="s">
        <v>4290</v>
      </c>
      <c r="D57" s="2">
        <v>35</v>
      </c>
      <c r="E57" s="4" t="s">
        <v>4246</v>
      </c>
      <c r="F57" s="4" t="s">
        <v>4234</v>
      </c>
      <c r="G57" s="4" t="s">
        <v>2402</v>
      </c>
      <c r="H57" s="55">
        <v>596904.625</v>
      </c>
      <c r="I57" s="56"/>
      <c r="J57" s="56"/>
      <c r="K57" s="78"/>
      <c r="L57" s="57"/>
      <c r="M57" s="57"/>
    </row>
    <row r="58" spans="1:13" ht="15" customHeight="1">
      <c r="A58" s="73"/>
      <c r="B58" s="2"/>
      <c r="C58" s="2" t="s">
        <v>4291</v>
      </c>
      <c r="D58" s="2">
        <v>38</v>
      </c>
      <c r="E58" s="4"/>
      <c r="F58" s="4"/>
      <c r="G58" s="4"/>
      <c r="H58" s="55"/>
      <c r="I58" s="56"/>
      <c r="J58" s="56"/>
      <c r="K58" s="78"/>
      <c r="L58" s="57"/>
      <c r="M58" s="57"/>
    </row>
    <row r="59" spans="1:13" ht="15" customHeight="1">
      <c r="A59" s="73"/>
      <c r="B59" s="2"/>
      <c r="C59" s="2" t="s">
        <v>4292</v>
      </c>
      <c r="D59" s="2">
        <v>6</v>
      </c>
      <c r="E59" s="4"/>
      <c r="F59" s="4"/>
      <c r="G59" s="4"/>
      <c r="H59" s="55"/>
      <c r="I59" s="56"/>
      <c r="J59" s="56"/>
      <c r="K59" s="78"/>
      <c r="L59" s="57"/>
      <c r="M59" s="57"/>
    </row>
    <row r="60" spans="1:13" ht="15" customHeight="1">
      <c r="A60" s="73"/>
      <c r="B60" s="2"/>
      <c r="C60" s="2" t="s">
        <v>4293</v>
      </c>
      <c r="D60" s="2">
        <v>9</v>
      </c>
      <c r="E60" s="4"/>
      <c r="F60" s="4"/>
      <c r="G60" s="4"/>
      <c r="H60" s="55"/>
      <c r="I60" s="56"/>
      <c r="J60" s="56"/>
      <c r="K60" s="78"/>
      <c r="L60" s="57"/>
      <c r="M60" s="57"/>
    </row>
    <row r="61" spans="1:13" ht="15" customHeight="1">
      <c r="A61" s="73"/>
      <c r="B61" s="2"/>
      <c r="C61" s="2" t="s">
        <v>4294</v>
      </c>
      <c r="D61" s="2">
        <v>88</v>
      </c>
      <c r="E61" s="4"/>
      <c r="F61" s="4"/>
      <c r="G61" s="4"/>
      <c r="H61" s="55"/>
      <c r="I61" s="56"/>
      <c r="J61" s="56"/>
      <c r="K61" s="78"/>
      <c r="L61" s="57"/>
      <c r="M61" s="57"/>
    </row>
    <row r="62" spans="1:13" ht="15" customHeight="1">
      <c r="A62" s="73" t="s">
        <v>4288</v>
      </c>
      <c r="B62" s="2">
        <v>16401</v>
      </c>
      <c r="C62" s="2" t="s">
        <v>4295</v>
      </c>
      <c r="D62" s="2">
        <v>1.5</v>
      </c>
      <c r="E62" s="4" t="s">
        <v>4298</v>
      </c>
      <c r="F62" s="4" t="s">
        <v>4297</v>
      </c>
      <c r="G62" s="4" t="s">
        <v>2402</v>
      </c>
      <c r="H62" s="55">
        <v>0</v>
      </c>
      <c r="I62" s="56"/>
      <c r="J62" s="56"/>
      <c r="K62" s="78"/>
      <c r="L62" s="57"/>
      <c r="M62" s="57"/>
    </row>
    <row r="63" spans="1:13" ht="15" customHeight="1">
      <c r="A63" s="73"/>
      <c r="B63" s="2"/>
      <c r="C63" s="2" t="s">
        <v>4296</v>
      </c>
      <c r="D63" s="2">
        <v>1</v>
      </c>
      <c r="E63" s="4"/>
      <c r="F63" s="4"/>
      <c r="G63" s="4"/>
      <c r="H63" s="55"/>
      <c r="I63" s="56"/>
      <c r="J63" s="56"/>
      <c r="K63" s="78"/>
      <c r="L63" s="57"/>
      <c r="M63" s="57"/>
    </row>
    <row r="64" spans="1:13" ht="15" customHeight="1">
      <c r="A64" s="73" t="s">
        <v>4288</v>
      </c>
      <c r="B64" s="2">
        <v>16402</v>
      </c>
      <c r="C64" s="2" t="s">
        <v>4295</v>
      </c>
      <c r="D64" s="2">
        <v>1.5</v>
      </c>
      <c r="E64" s="4" t="s">
        <v>4298</v>
      </c>
      <c r="F64" s="4" t="s">
        <v>4234</v>
      </c>
      <c r="G64" s="4" t="s">
        <v>655</v>
      </c>
      <c r="H64" s="55">
        <v>0</v>
      </c>
      <c r="I64" s="56"/>
      <c r="J64" s="56"/>
      <c r="K64" s="78"/>
      <c r="L64" s="57"/>
      <c r="M64" s="57"/>
    </row>
    <row r="65" spans="1:13" ht="15" customHeight="1">
      <c r="A65" s="73"/>
      <c r="B65" s="2"/>
      <c r="C65" s="2" t="s">
        <v>4296</v>
      </c>
      <c r="D65" s="2">
        <v>1</v>
      </c>
      <c r="E65" s="4"/>
      <c r="F65" s="4"/>
      <c r="G65" s="4"/>
      <c r="H65" s="55"/>
      <c r="I65" s="56"/>
      <c r="J65" s="56"/>
      <c r="K65" s="78"/>
      <c r="L65" s="57"/>
      <c r="M65" s="57"/>
    </row>
    <row r="66" spans="1:13" ht="15" customHeight="1">
      <c r="A66" s="73" t="s">
        <v>4302</v>
      </c>
      <c r="B66" s="2">
        <v>16403</v>
      </c>
      <c r="C66" s="2" t="s">
        <v>4299</v>
      </c>
      <c r="D66" s="2">
        <v>10</v>
      </c>
      <c r="E66" s="4" t="s">
        <v>4264</v>
      </c>
      <c r="F66" s="4" t="s">
        <v>4301</v>
      </c>
      <c r="G66" s="4" t="s">
        <v>338</v>
      </c>
      <c r="H66" s="55">
        <v>40250</v>
      </c>
      <c r="I66" s="56"/>
      <c r="J66" s="56"/>
      <c r="K66" s="78"/>
      <c r="L66" s="57"/>
      <c r="M66" s="57"/>
    </row>
    <row r="67" spans="1:13" ht="15" customHeight="1">
      <c r="A67" s="73"/>
      <c r="B67" s="2"/>
      <c r="C67" s="2" t="s">
        <v>4300</v>
      </c>
      <c r="D67" s="2">
        <v>1</v>
      </c>
      <c r="E67" s="4"/>
      <c r="F67" s="4"/>
      <c r="G67" s="4"/>
      <c r="H67" s="55"/>
      <c r="I67" s="56"/>
      <c r="J67" s="56"/>
      <c r="K67" s="78"/>
      <c r="L67" s="57"/>
      <c r="M67" s="57"/>
    </row>
    <row r="68" spans="1:13" ht="15" customHeight="1">
      <c r="A68" s="73" t="s">
        <v>4302</v>
      </c>
      <c r="B68" s="2">
        <v>16404</v>
      </c>
      <c r="C68" s="2" t="s">
        <v>4303</v>
      </c>
      <c r="D68" s="2">
        <v>180</v>
      </c>
      <c r="E68" s="4" t="s">
        <v>4304</v>
      </c>
      <c r="F68" s="4" t="s">
        <v>4217</v>
      </c>
      <c r="G68" s="4" t="s">
        <v>3295</v>
      </c>
      <c r="H68" s="55">
        <v>4545000</v>
      </c>
      <c r="I68" s="56"/>
      <c r="J68" s="56"/>
      <c r="K68" s="78"/>
      <c r="L68" s="57"/>
      <c r="M68" s="57"/>
    </row>
    <row r="69" spans="1:13" ht="15" customHeight="1">
      <c r="A69" s="73" t="s">
        <v>4302</v>
      </c>
      <c r="B69" s="2">
        <v>16405</v>
      </c>
      <c r="C69" s="2" t="s">
        <v>4305</v>
      </c>
      <c r="D69" s="2">
        <v>20</v>
      </c>
      <c r="E69" s="4" t="s">
        <v>4304</v>
      </c>
      <c r="F69" s="4" t="s">
        <v>4227</v>
      </c>
      <c r="G69" s="4" t="s">
        <v>3295</v>
      </c>
      <c r="H69" s="55">
        <v>530000</v>
      </c>
      <c r="I69" s="56"/>
      <c r="J69" s="56"/>
      <c r="K69" s="78"/>
      <c r="L69" s="57"/>
      <c r="M69" s="57"/>
    </row>
    <row r="70" spans="1:13" ht="15" customHeight="1">
      <c r="A70" s="73" t="s">
        <v>4311</v>
      </c>
      <c r="B70" s="2">
        <v>16406</v>
      </c>
      <c r="C70" s="2" t="s">
        <v>4306</v>
      </c>
      <c r="D70" s="2">
        <v>3</v>
      </c>
      <c r="E70" s="4" t="s">
        <v>4310</v>
      </c>
      <c r="F70" s="4" t="s">
        <v>4309</v>
      </c>
      <c r="G70" s="4" t="s">
        <v>1256</v>
      </c>
      <c r="H70" s="55">
        <v>2900.5</v>
      </c>
      <c r="I70" s="56"/>
      <c r="J70" s="56"/>
      <c r="K70" s="78"/>
      <c r="L70" s="57"/>
      <c r="M70" s="57"/>
    </row>
    <row r="71" spans="1:13" ht="15" customHeight="1">
      <c r="A71" s="73"/>
      <c r="B71" s="2"/>
      <c r="C71" s="2" t="s">
        <v>4307</v>
      </c>
      <c r="D71" s="2">
        <v>2</v>
      </c>
      <c r="E71" s="4"/>
      <c r="F71" s="4"/>
      <c r="G71" s="4"/>
      <c r="H71" s="55"/>
      <c r="I71" s="56"/>
      <c r="J71" s="56"/>
      <c r="K71" s="78"/>
      <c r="L71" s="57"/>
      <c r="M71" s="57"/>
    </row>
    <row r="72" spans="1:13" ht="15" customHeight="1">
      <c r="A72" s="73"/>
      <c r="B72" s="2"/>
      <c r="C72" s="2" t="s">
        <v>4308</v>
      </c>
      <c r="D72" s="2">
        <v>2</v>
      </c>
      <c r="E72" s="4"/>
      <c r="F72" s="4"/>
      <c r="G72" s="4"/>
      <c r="H72" s="55"/>
      <c r="I72" s="56"/>
      <c r="J72" s="56"/>
      <c r="K72" s="78"/>
      <c r="L72" s="57"/>
      <c r="M72" s="57"/>
    </row>
    <row r="73" spans="1:13" ht="15" customHeight="1">
      <c r="A73" s="73" t="s">
        <v>4313</v>
      </c>
      <c r="B73" s="2">
        <v>16407</v>
      </c>
      <c r="C73" s="2" t="s">
        <v>4312</v>
      </c>
      <c r="D73" s="2">
        <v>1</v>
      </c>
      <c r="E73" s="4" t="s">
        <v>4269</v>
      </c>
      <c r="F73" s="4" t="s">
        <v>4211</v>
      </c>
      <c r="G73" s="4" t="s">
        <v>3676</v>
      </c>
      <c r="H73" s="55">
        <v>0</v>
      </c>
      <c r="I73" s="56"/>
      <c r="J73" s="56"/>
      <c r="K73" s="78"/>
      <c r="L73" s="57"/>
      <c r="M73" s="57"/>
    </row>
    <row r="74" spans="1:13" ht="15" customHeight="1">
      <c r="A74" s="73" t="s">
        <v>4313</v>
      </c>
      <c r="B74" s="2">
        <v>16408</v>
      </c>
      <c r="C74" s="2" t="s">
        <v>4317</v>
      </c>
      <c r="D74" s="2">
        <v>1</v>
      </c>
      <c r="E74" s="4" t="s">
        <v>4318</v>
      </c>
      <c r="F74" s="4" t="s">
        <v>4301</v>
      </c>
      <c r="G74" s="4" t="s">
        <v>4314</v>
      </c>
      <c r="H74" s="55">
        <v>65000</v>
      </c>
      <c r="I74" s="56"/>
      <c r="J74" s="56"/>
      <c r="K74" s="78"/>
      <c r="L74" s="57"/>
      <c r="M74" s="57"/>
    </row>
    <row r="75" spans="1:13" ht="15" customHeight="1">
      <c r="A75" s="73" t="s">
        <v>4313</v>
      </c>
      <c r="B75" s="2">
        <v>16409</v>
      </c>
      <c r="C75" s="2" t="s">
        <v>4319</v>
      </c>
      <c r="D75" s="2">
        <v>1000</v>
      </c>
      <c r="E75" s="4" t="s">
        <v>4324</v>
      </c>
      <c r="F75" s="4" t="s">
        <v>4211</v>
      </c>
      <c r="G75" s="4" t="s">
        <v>3692</v>
      </c>
      <c r="H75" s="55">
        <v>1013389.25</v>
      </c>
      <c r="I75" s="56"/>
      <c r="J75" s="56"/>
      <c r="K75" s="78"/>
      <c r="L75" s="57"/>
      <c r="M75" s="57"/>
    </row>
    <row r="76" spans="1:13" ht="15" customHeight="1">
      <c r="A76" s="73"/>
      <c r="B76" s="2"/>
      <c r="C76" s="2" t="s">
        <v>4320</v>
      </c>
      <c r="D76" s="2">
        <v>12</v>
      </c>
      <c r="E76" s="4"/>
      <c r="F76" s="4"/>
      <c r="G76" s="4"/>
      <c r="H76" s="55"/>
      <c r="I76" s="56"/>
      <c r="J76" s="56"/>
      <c r="K76" s="78"/>
      <c r="L76" s="57"/>
      <c r="M76" s="57"/>
    </row>
    <row r="77" spans="1:13" ht="15" customHeight="1">
      <c r="A77" s="73"/>
      <c r="B77" s="2"/>
      <c r="C77" s="2" t="s">
        <v>4254</v>
      </c>
      <c r="D77" s="2">
        <v>100</v>
      </c>
      <c r="E77" s="4"/>
      <c r="F77" s="4"/>
      <c r="G77" s="4"/>
      <c r="H77" s="55"/>
      <c r="I77" s="56"/>
      <c r="J77" s="56"/>
      <c r="K77" s="78"/>
      <c r="L77" s="57"/>
      <c r="M77" s="57"/>
    </row>
    <row r="78" spans="1:13" ht="15" customHeight="1">
      <c r="A78" s="73"/>
      <c r="B78" s="2"/>
      <c r="C78" s="2" t="s">
        <v>4321</v>
      </c>
      <c r="D78" s="2">
        <v>50</v>
      </c>
      <c r="E78" s="4"/>
      <c r="F78" s="4"/>
      <c r="G78" s="4"/>
      <c r="H78" s="55"/>
      <c r="I78" s="56"/>
      <c r="J78" s="56"/>
      <c r="K78" s="78"/>
      <c r="L78" s="57"/>
      <c r="M78" s="57"/>
    </row>
    <row r="79" spans="1:13" ht="15" customHeight="1">
      <c r="A79" s="73"/>
      <c r="B79" s="2"/>
      <c r="C79" s="2" t="s">
        <v>4322</v>
      </c>
      <c r="D79" s="2">
        <v>211</v>
      </c>
      <c r="E79" s="4"/>
      <c r="F79" s="4"/>
      <c r="G79" s="4"/>
      <c r="H79" s="55"/>
      <c r="I79" s="56"/>
      <c r="J79" s="56"/>
      <c r="K79" s="78"/>
      <c r="L79" s="57"/>
      <c r="M79" s="57"/>
    </row>
    <row r="80" spans="1:13" ht="15" customHeight="1">
      <c r="A80" s="73"/>
      <c r="B80" s="2"/>
      <c r="C80" s="2" t="s">
        <v>4323</v>
      </c>
      <c r="D80" s="2">
        <v>10</v>
      </c>
      <c r="E80" s="4"/>
      <c r="F80" s="4"/>
      <c r="G80" s="4"/>
      <c r="H80" s="55"/>
      <c r="I80" s="56"/>
      <c r="J80" s="56"/>
      <c r="K80" s="78"/>
      <c r="L80" s="57"/>
      <c r="M80" s="57"/>
    </row>
    <row r="81" spans="1:13" ht="15" customHeight="1">
      <c r="A81" s="73" t="s">
        <v>4313</v>
      </c>
      <c r="B81" s="2">
        <v>16410</v>
      </c>
      <c r="C81" s="2" t="s">
        <v>4325</v>
      </c>
      <c r="D81" s="2">
        <v>413.54000854492188</v>
      </c>
      <c r="E81" s="4" t="s">
        <v>4269</v>
      </c>
      <c r="F81" s="4" t="s">
        <v>4234</v>
      </c>
      <c r="G81" s="4" t="s">
        <v>3344</v>
      </c>
      <c r="H81" s="55">
        <v>297748.8125</v>
      </c>
      <c r="I81" s="56"/>
      <c r="J81" s="56"/>
      <c r="K81" s="78"/>
      <c r="L81" s="57"/>
      <c r="M81" s="57"/>
    </row>
    <row r="82" spans="1:13" ht="15" customHeight="1">
      <c r="A82" s="73" t="s">
        <v>4313</v>
      </c>
      <c r="B82" s="2">
        <v>16411</v>
      </c>
      <c r="C82" s="2" t="s">
        <v>4326</v>
      </c>
      <c r="D82" s="2">
        <v>3</v>
      </c>
      <c r="E82" s="4" t="s">
        <v>4324</v>
      </c>
      <c r="F82" s="4" t="s">
        <v>4211</v>
      </c>
      <c r="G82" s="4" t="s">
        <v>2776</v>
      </c>
      <c r="H82" s="55">
        <v>1590</v>
      </c>
      <c r="I82" s="56"/>
      <c r="J82" s="56"/>
      <c r="K82" s="78"/>
      <c r="L82" s="57"/>
      <c r="M82" s="57"/>
    </row>
    <row r="83" spans="1:13" ht="15" customHeight="1">
      <c r="A83" s="73" t="s">
        <v>4313</v>
      </c>
      <c r="B83" s="2">
        <v>16412</v>
      </c>
      <c r="C83" s="2" t="s">
        <v>4327</v>
      </c>
      <c r="D83" s="2">
        <v>2142</v>
      </c>
      <c r="E83" s="4" t="s">
        <v>4269</v>
      </c>
      <c r="F83" s="4" t="s">
        <v>4234</v>
      </c>
      <c r="G83" s="4" t="s">
        <v>3663</v>
      </c>
      <c r="H83" s="55">
        <v>1456560</v>
      </c>
      <c r="I83" s="56"/>
      <c r="J83" s="56"/>
      <c r="K83" s="78"/>
      <c r="L83" s="57"/>
      <c r="M83" s="57"/>
    </row>
    <row r="84" spans="1:13" ht="15" customHeight="1">
      <c r="A84" s="73" t="s">
        <v>4313</v>
      </c>
      <c r="B84" s="2">
        <v>16413</v>
      </c>
      <c r="C84" s="2" t="s">
        <v>4254</v>
      </c>
      <c r="D84" s="2">
        <v>100</v>
      </c>
      <c r="E84" s="4" t="s">
        <v>4324</v>
      </c>
      <c r="F84" s="4" t="s">
        <v>4328</v>
      </c>
      <c r="G84" s="4" t="s">
        <v>3692</v>
      </c>
      <c r="H84" s="55">
        <v>542827.25</v>
      </c>
      <c r="I84" s="56"/>
      <c r="J84" s="56"/>
      <c r="K84" s="78"/>
      <c r="L84" s="57"/>
      <c r="M84" s="57"/>
    </row>
    <row r="85" spans="1:13" ht="15" customHeight="1">
      <c r="A85" s="73"/>
      <c r="B85" s="2"/>
      <c r="C85" s="2" t="s">
        <v>4321</v>
      </c>
      <c r="D85" s="2">
        <v>50</v>
      </c>
      <c r="E85" s="4"/>
      <c r="F85" s="4"/>
      <c r="G85" s="4"/>
      <c r="H85" s="55"/>
      <c r="I85" s="56"/>
      <c r="J85" s="56"/>
      <c r="K85" s="78"/>
      <c r="L85" s="57"/>
      <c r="M85" s="57"/>
    </row>
    <row r="86" spans="1:13" ht="15" customHeight="1">
      <c r="A86" s="73"/>
      <c r="B86" s="2"/>
      <c r="C86" s="2" t="s">
        <v>4322</v>
      </c>
      <c r="D86" s="2">
        <v>211</v>
      </c>
      <c r="E86" s="4"/>
      <c r="F86" s="4"/>
      <c r="G86" s="4"/>
      <c r="H86" s="55"/>
      <c r="I86" s="56"/>
      <c r="J86" s="56"/>
      <c r="K86" s="78"/>
      <c r="L86" s="57"/>
      <c r="M86" s="57"/>
    </row>
    <row r="87" spans="1:13" ht="15" customHeight="1">
      <c r="A87" s="73"/>
      <c r="B87" s="2"/>
      <c r="C87" s="2" t="s">
        <v>4323</v>
      </c>
      <c r="D87" s="2">
        <v>10</v>
      </c>
      <c r="E87" s="4"/>
      <c r="F87" s="4"/>
      <c r="G87" s="4"/>
      <c r="H87" s="55"/>
      <c r="I87" s="56"/>
      <c r="J87" s="56"/>
      <c r="K87" s="78"/>
      <c r="L87" s="57"/>
      <c r="M87" s="57"/>
    </row>
    <row r="88" spans="1:13" ht="15" customHeight="1">
      <c r="A88" s="73" t="s">
        <v>4313</v>
      </c>
      <c r="B88" s="2">
        <v>16414</v>
      </c>
      <c r="C88" s="2" t="s">
        <v>4206</v>
      </c>
      <c r="D88" s="2">
        <v>300</v>
      </c>
      <c r="E88" s="4" t="s">
        <v>4218</v>
      </c>
      <c r="F88" s="4" t="s">
        <v>4217</v>
      </c>
      <c r="G88" s="4" t="s">
        <v>1338</v>
      </c>
      <c r="H88" s="61">
        <v>855000</v>
      </c>
      <c r="I88" s="62"/>
      <c r="J88" s="62"/>
      <c r="K88" s="78"/>
      <c r="L88" s="57"/>
      <c r="M88" s="57"/>
    </row>
    <row r="89" spans="1:13" ht="15" customHeight="1">
      <c r="A89" s="73" t="s">
        <v>4330</v>
      </c>
      <c r="B89" s="2">
        <v>16415</v>
      </c>
      <c r="C89" s="2" t="s">
        <v>4329</v>
      </c>
      <c r="D89" s="2">
        <v>40</v>
      </c>
      <c r="E89" s="4" t="s">
        <v>4215</v>
      </c>
      <c r="F89" s="4" t="s">
        <v>4212</v>
      </c>
      <c r="G89" s="4" t="s">
        <v>4200</v>
      </c>
      <c r="H89" s="55">
        <v>86000</v>
      </c>
      <c r="I89" s="56"/>
      <c r="J89" s="56"/>
      <c r="K89" s="78"/>
      <c r="L89" s="57"/>
      <c r="M89" s="57"/>
    </row>
    <row r="90" spans="1:13" ht="15" customHeight="1">
      <c r="A90" s="73"/>
      <c r="B90" s="2"/>
      <c r="C90" s="2" t="s">
        <v>4287</v>
      </c>
      <c r="D90" s="2">
        <v>1</v>
      </c>
      <c r="E90" s="4"/>
      <c r="F90" s="4"/>
      <c r="G90" s="4"/>
      <c r="H90" s="55"/>
      <c r="I90" s="56"/>
      <c r="J90" s="56"/>
      <c r="K90" s="78"/>
      <c r="L90" s="57"/>
      <c r="M90" s="57"/>
    </row>
    <row r="91" spans="1:13" ht="15" customHeight="1">
      <c r="A91" s="73" t="s">
        <v>4333</v>
      </c>
      <c r="B91" s="2">
        <v>16416</v>
      </c>
      <c r="C91" s="2" t="s">
        <v>4331</v>
      </c>
      <c r="D91" s="2">
        <v>300</v>
      </c>
      <c r="E91" s="4" t="s">
        <v>4324</v>
      </c>
      <c r="F91" s="4" t="s">
        <v>4220</v>
      </c>
      <c r="G91" s="4" t="s">
        <v>3295</v>
      </c>
      <c r="H91" s="55">
        <v>9590000</v>
      </c>
      <c r="I91" s="56"/>
      <c r="J91" s="56"/>
      <c r="K91" s="78"/>
      <c r="L91" s="57"/>
      <c r="M91" s="57"/>
    </row>
    <row r="92" spans="1:13" ht="15" customHeight="1">
      <c r="A92" s="73"/>
      <c r="B92" s="2"/>
      <c r="C92" s="2" t="s">
        <v>4332</v>
      </c>
      <c r="D92" s="2">
        <v>200</v>
      </c>
      <c r="E92" s="4"/>
      <c r="F92" s="4"/>
      <c r="G92" s="4"/>
      <c r="H92" s="55"/>
      <c r="I92" s="56"/>
      <c r="J92" s="56"/>
      <c r="K92" s="78"/>
      <c r="L92" s="57"/>
      <c r="M92" s="57"/>
    </row>
    <row r="93" spans="1:13" ht="15" customHeight="1">
      <c r="A93" s="73" t="s">
        <v>4337</v>
      </c>
      <c r="B93" s="2">
        <v>16418</v>
      </c>
      <c r="C93" s="2" t="s">
        <v>4334</v>
      </c>
      <c r="D93" s="2">
        <v>1</v>
      </c>
      <c r="E93" s="4" t="s">
        <v>4336</v>
      </c>
      <c r="F93" s="4" t="s">
        <v>4239</v>
      </c>
      <c r="G93" s="4" t="s">
        <v>3725</v>
      </c>
      <c r="H93" s="55">
        <v>505000</v>
      </c>
      <c r="I93" s="56"/>
      <c r="J93" s="56"/>
      <c r="K93" s="78"/>
      <c r="L93" s="57"/>
      <c r="M93" s="57"/>
    </row>
    <row r="94" spans="1:13" ht="15" customHeight="1">
      <c r="A94" s="73"/>
      <c r="B94" s="2"/>
      <c r="C94" s="2" t="s">
        <v>4335</v>
      </c>
      <c r="D94" s="2">
        <v>1</v>
      </c>
      <c r="E94" s="4"/>
      <c r="F94" s="4"/>
      <c r="G94" s="4"/>
      <c r="H94" s="55"/>
      <c r="I94" s="56"/>
      <c r="J94" s="56"/>
      <c r="K94" s="78"/>
      <c r="L94" s="57"/>
      <c r="M94" s="57"/>
    </row>
    <row r="95" spans="1:13" ht="15" customHeight="1">
      <c r="A95" s="73" t="s">
        <v>4337</v>
      </c>
      <c r="B95" s="2">
        <v>16419</v>
      </c>
      <c r="C95" s="2" t="s">
        <v>4257</v>
      </c>
      <c r="D95" s="2">
        <v>1</v>
      </c>
      <c r="E95" s="4" t="s">
        <v>4212</v>
      </c>
      <c r="F95" s="4" t="s">
        <v>4234</v>
      </c>
      <c r="G95" s="4" t="s">
        <v>3453</v>
      </c>
      <c r="H95" s="55">
        <v>0</v>
      </c>
      <c r="I95" s="56"/>
      <c r="J95" s="56"/>
      <c r="K95" s="78"/>
      <c r="L95" s="57"/>
      <c r="M95" s="57"/>
    </row>
    <row r="96" spans="1:13" ht="15" customHeight="1">
      <c r="A96" s="73" t="s">
        <v>4337</v>
      </c>
      <c r="B96" s="2">
        <v>16420</v>
      </c>
      <c r="C96" s="2" t="s">
        <v>4338</v>
      </c>
      <c r="D96" s="2">
        <v>1</v>
      </c>
      <c r="E96" s="4" t="s">
        <v>4218</v>
      </c>
      <c r="F96" s="4" t="s">
        <v>4339</v>
      </c>
      <c r="G96" s="4" t="s">
        <v>2942</v>
      </c>
      <c r="H96" s="61">
        <v>2000000</v>
      </c>
      <c r="I96" s="62"/>
      <c r="J96" s="62"/>
      <c r="K96" s="78"/>
      <c r="L96" s="57"/>
      <c r="M96" s="57"/>
    </row>
    <row r="97" spans="1:13" ht="15" customHeight="1">
      <c r="A97" s="73" t="s">
        <v>4337</v>
      </c>
      <c r="B97" s="2">
        <v>16421</v>
      </c>
      <c r="C97" s="2" t="s">
        <v>4340</v>
      </c>
      <c r="D97" s="2">
        <v>1</v>
      </c>
      <c r="E97" s="4" t="s">
        <v>4341</v>
      </c>
      <c r="F97" s="4" t="s">
        <v>4207</v>
      </c>
      <c r="G97" s="4" t="s">
        <v>1672</v>
      </c>
      <c r="H97" s="55">
        <v>3780</v>
      </c>
      <c r="I97" s="56"/>
      <c r="J97" s="56"/>
      <c r="K97" s="78"/>
      <c r="L97" s="57"/>
      <c r="M97" s="57"/>
    </row>
    <row r="98" spans="1:13" ht="15" customHeight="1">
      <c r="A98" s="73" t="s">
        <v>4344</v>
      </c>
      <c r="B98" s="2">
        <v>16422</v>
      </c>
      <c r="C98" s="2" t="s">
        <v>4342</v>
      </c>
      <c r="D98" s="2">
        <v>1</v>
      </c>
      <c r="E98" s="4" t="s">
        <v>4246</v>
      </c>
      <c r="F98" s="4" t="s">
        <v>4328</v>
      </c>
      <c r="G98" s="4" t="s">
        <v>3661</v>
      </c>
      <c r="H98" s="55">
        <v>0</v>
      </c>
      <c r="I98" s="56"/>
      <c r="J98" s="56"/>
      <c r="K98" s="78"/>
      <c r="L98" s="57"/>
      <c r="M98" s="57"/>
    </row>
    <row r="99" spans="1:13" ht="15" customHeight="1">
      <c r="A99" s="73"/>
      <c r="B99" s="2"/>
      <c r="C99" s="2" t="s">
        <v>4343</v>
      </c>
      <c r="D99" s="2">
        <v>6</v>
      </c>
      <c r="E99" s="4"/>
      <c r="F99" s="4"/>
      <c r="G99" s="4"/>
      <c r="H99" s="55"/>
      <c r="I99" s="56"/>
      <c r="J99" s="56"/>
      <c r="K99" s="78"/>
      <c r="L99" s="57"/>
      <c r="M99" s="57"/>
    </row>
    <row r="100" spans="1:13" ht="15" customHeight="1">
      <c r="A100" s="73" t="s">
        <v>4344</v>
      </c>
      <c r="B100" s="2">
        <v>16423</v>
      </c>
      <c r="C100" s="2" t="s">
        <v>4345</v>
      </c>
      <c r="D100" s="2">
        <v>24</v>
      </c>
      <c r="E100" s="4" t="s">
        <v>4246</v>
      </c>
      <c r="F100" s="4" t="s">
        <v>4346</v>
      </c>
      <c r="G100" s="4" t="s">
        <v>655</v>
      </c>
      <c r="H100" s="55">
        <v>28165.19921875</v>
      </c>
      <c r="I100" s="56"/>
      <c r="J100" s="56"/>
      <c r="K100" s="78"/>
      <c r="L100" s="57"/>
      <c r="M100" s="57"/>
    </row>
    <row r="101" spans="1:13" ht="15" customHeight="1">
      <c r="A101" s="73" t="s">
        <v>4352</v>
      </c>
      <c r="B101" s="2">
        <v>16424</v>
      </c>
      <c r="C101" s="2" t="s">
        <v>4347</v>
      </c>
      <c r="D101" s="2">
        <v>2</v>
      </c>
      <c r="E101" s="4" t="s">
        <v>4264</v>
      </c>
      <c r="F101" s="4" t="s">
        <v>4207</v>
      </c>
      <c r="G101" s="4" t="s">
        <v>2077</v>
      </c>
      <c r="H101" s="55">
        <v>24000</v>
      </c>
      <c r="I101" s="56"/>
      <c r="J101" s="56"/>
      <c r="K101" s="78"/>
      <c r="L101" s="57"/>
      <c r="M101" s="57"/>
    </row>
    <row r="102" spans="1:13" ht="15" customHeight="1">
      <c r="A102" s="73"/>
      <c r="B102" s="2"/>
      <c r="C102" s="2" t="s">
        <v>4348</v>
      </c>
      <c r="D102" s="2">
        <v>1</v>
      </c>
      <c r="E102" s="4"/>
      <c r="F102" s="4"/>
      <c r="G102" s="4"/>
      <c r="H102" s="55"/>
      <c r="I102" s="56"/>
      <c r="J102" s="56"/>
      <c r="K102" s="78"/>
      <c r="L102" s="57"/>
      <c r="M102" s="57"/>
    </row>
    <row r="103" spans="1:13" ht="15" customHeight="1">
      <c r="A103" s="73"/>
      <c r="B103" s="2"/>
      <c r="C103" s="2" t="s">
        <v>4349</v>
      </c>
      <c r="D103" s="2">
        <v>1</v>
      </c>
      <c r="E103" s="4"/>
      <c r="F103" s="4"/>
      <c r="G103" s="4"/>
      <c r="H103" s="55"/>
      <c r="I103" s="56"/>
      <c r="J103" s="56"/>
      <c r="K103" s="78"/>
      <c r="L103" s="57"/>
      <c r="M103" s="57"/>
    </row>
    <row r="104" spans="1:13" ht="15" customHeight="1">
      <c r="A104" s="73"/>
      <c r="B104" s="2"/>
      <c r="C104" s="2" t="s">
        <v>4350</v>
      </c>
      <c r="D104" s="2">
        <v>1</v>
      </c>
      <c r="E104" s="4"/>
      <c r="F104" s="4"/>
      <c r="G104" s="4"/>
      <c r="H104" s="55"/>
      <c r="I104" s="56"/>
      <c r="J104" s="56"/>
      <c r="K104" s="78"/>
      <c r="L104" s="57"/>
      <c r="M104" s="57"/>
    </row>
    <row r="105" spans="1:13" ht="15" customHeight="1">
      <c r="A105" s="73"/>
      <c r="B105" s="2"/>
      <c r="C105" s="2" t="s">
        <v>4351</v>
      </c>
      <c r="D105" s="2">
        <v>1</v>
      </c>
      <c r="E105" s="4"/>
      <c r="F105" s="4"/>
      <c r="G105" s="4"/>
      <c r="H105" s="55"/>
      <c r="I105" s="56"/>
      <c r="J105" s="56"/>
      <c r="K105" s="78"/>
      <c r="L105" s="57"/>
      <c r="M105" s="57"/>
    </row>
    <row r="106" spans="1:13" ht="15" customHeight="1">
      <c r="A106" s="73">
        <v>44573</v>
      </c>
      <c r="B106" s="2">
        <v>16425</v>
      </c>
      <c r="C106" s="2" t="s">
        <v>4353</v>
      </c>
      <c r="D106" s="2">
        <v>500</v>
      </c>
      <c r="E106" s="4" t="s">
        <v>4215</v>
      </c>
      <c r="F106" s="4" t="s">
        <v>4354</v>
      </c>
      <c r="G106" s="4" t="s">
        <v>4200</v>
      </c>
      <c r="H106" s="55">
        <v>76000</v>
      </c>
      <c r="I106" s="56"/>
      <c r="J106" s="56"/>
      <c r="K106" s="78"/>
      <c r="L106" s="57"/>
      <c r="M106" s="57"/>
    </row>
    <row r="107" spans="1:13" ht="15" customHeight="1">
      <c r="A107" s="73">
        <v>44573</v>
      </c>
      <c r="B107" s="2">
        <v>16426</v>
      </c>
      <c r="C107" s="2" t="s">
        <v>4206</v>
      </c>
      <c r="D107" s="2">
        <v>300</v>
      </c>
      <c r="E107" s="4" t="s">
        <v>4218</v>
      </c>
      <c r="F107" s="4" t="s">
        <v>4217</v>
      </c>
      <c r="G107" s="4" t="s">
        <v>1338</v>
      </c>
      <c r="H107" s="61">
        <v>876000</v>
      </c>
      <c r="I107" s="62"/>
      <c r="J107" s="62"/>
      <c r="K107" s="78"/>
      <c r="L107" s="57"/>
      <c r="M107" s="57"/>
    </row>
    <row r="108" spans="1:13" ht="15" customHeight="1">
      <c r="A108" s="73">
        <v>44573</v>
      </c>
      <c r="B108" s="2">
        <v>16427</v>
      </c>
      <c r="C108" s="2" t="s">
        <v>4355</v>
      </c>
      <c r="D108" s="2">
        <v>2</v>
      </c>
      <c r="E108" s="4" t="s">
        <v>4310</v>
      </c>
      <c r="F108" s="4" t="s">
        <v>4309</v>
      </c>
      <c r="G108" s="4" t="s">
        <v>1256</v>
      </c>
      <c r="H108" s="55">
        <v>3115.6298828125</v>
      </c>
      <c r="I108" s="56"/>
      <c r="J108" s="56"/>
      <c r="K108" s="78"/>
      <c r="L108" s="57"/>
      <c r="M108" s="57"/>
    </row>
    <row r="109" spans="1:13" ht="15" customHeight="1">
      <c r="A109" s="73"/>
      <c r="B109" s="2"/>
      <c r="C109" s="2" t="s">
        <v>4356</v>
      </c>
      <c r="D109" s="2">
        <v>1</v>
      </c>
      <c r="E109" s="4"/>
      <c r="F109" s="4"/>
      <c r="G109" s="4"/>
      <c r="H109" s="55"/>
      <c r="I109" s="56"/>
      <c r="J109" s="56"/>
      <c r="K109" s="78"/>
      <c r="L109" s="57"/>
      <c r="M109" s="57"/>
    </row>
    <row r="110" spans="1:13" ht="15" customHeight="1">
      <c r="A110" s="73"/>
      <c r="B110" s="2"/>
      <c r="C110" s="2" t="s">
        <v>4357</v>
      </c>
      <c r="D110" s="2">
        <v>1</v>
      </c>
      <c r="E110" s="4"/>
      <c r="F110" s="4"/>
      <c r="G110" s="4"/>
      <c r="H110" s="55"/>
      <c r="I110" s="56"/>
      <c r="J110" s="56"/>
      <c r="K110" s="78"/>
      <c r="L110" s="57"/>
      <c r="M110" s="57"/>
    </row>
    <row r="111" spans="1:13" ht="15" customHeight="1">
      <c r="A111" s="73"/>
      <c r="B111" s="2"/>
      <c r="C111" s="2" t="s">
        <v>4358</v>
      </c>
      <c r="D111" s="2">
        <v>1</v>
      </c>
      <c r="E111" s="4"/>
      <c r="F111" s="4"/>
      <c r="G111" s="4"/>
      <c r="H111" s="55"/>
      <c r="I111" s="56"/>
      <c r="J111" s="56"/>
      <c r="K111" s="78"/>
      <c r="L111" s="57"/>
      <c r="M111" s="57"/>
    </row>
    <row r="112" spans="1:13" ht="15" customHeight="1">
      <c r="A112" s="73"/>
      <c r="B112" s="2"/>
      <c r="C112" s="2" t="s">
        <v>4359</v>
      </c>
      <c r="D112" s="2">
        <v>1</v>
      </c>
      <c r="E112" s="4"/>
      <c r="F112" s="4"/>
      <c r="G112" s="4"/>
      <c r="H112" s="55"/>
      <c r="I112" s="56"/>
      <c r="J112" s="56"/>
      <c r="K112" s="78"/>
      <c r="L112" s="57"/>
      <c r="M112" s="57"/>
    </row>
    <row r="113" spans="1:13" ht="15" customHeight="1">
      <c r="A113" s="73"/>
      <c r="B113" s="2"/>
      <c r="C113" s="2" t="s">
        <v>4360</v>
      </c>
      <c r="D113" s="2">
        <v>4</v>
      </c>
      <c r="E113" s="4"/>
      <c r="F113" s="4"/>
      <c r="G113" s="4"/>
      <c r="H113" s="55"/>
      <c r="I113" s="56"/>
      <c r="J113" s="56"/>
      <c r="K113" s="78"/>
      <c r="L113" s="57"/>
      <c r="M113" s="57"/>
    </row>
    <row r="114" spans="1:13" ht="15" customHeight="1">
      <c r="A114" s="73">
        <v>44604</v>
      </c>
      <c r="B114" s="2">
        <v>16428</v>
      </c>
      <c r="C114" s="2" t="s">
        <v>4361</v>
      </c>
      <c r="D114" s="2">
        <v>5</v>
      </c>
      <c r="E114" s="4" t="s">
        <v>4264</v>
      </c>
      <c r="F114" s="4" t="s">
        <v>4301</v>
      </c>
      <c r="G114" s="4" t="s">
        <v>338</v>
      </c>
      <c r="H114" s="55">
        <v>14465</v>
      </c>
      <c r="I114" s="56"/>
      <c r="J114" s="56"/>
      <c r="K114" s="78"/>
      <c r="L114" s="57"/>
      <c r="M114" s="57"/>
    </row>
    <row r="115" spans="1:13" ht="15" customHeight="1">
      <c r="A115" s="73">
        <v>44604</v>
      </c>
      <c r="B115" s="2">
        <v>16429</v>
      </c>
      <c r="C115" s="2" t="s">
        <v>4362</v>
      </c>
      <c r="D115" s="2">
        <v>1</v>
      </c>
      <c r="E115" s="4" t="s">
        <v>4310</v>
      </c>
      <c r="F115" s="4" t="s">
        <v>4366</v>
      </c>
      <c r="G115" s="4" t="s">
        <v>3547</v>
      </c>
      <c r="H115" s="55">
        <v>6504.5498046875</v>
      </c>
      <c r="I115" s="56"/>
      <c r="J115" s="56"/>
      <c r="K115" s="78"/>
      <c r="L115" s="57"/>
      <c r="M115" s="57"/>
    </row>
    <row r="116" spans="1:13" ht="15" customHeight="1">
      <c r="A116" s="73"/>
      <c r="B116" s="2"/>
      <c r="C116" s="2" t="s">
        <v>4363</v>
      </c>
      <c r="D116" s="2">
        <v>1</v>
      </c>
      <c r="E116" s="4"/>
      <c r="F116" s="4"/>
      <c r="G116" s="4"/>
      <c r="H116" s="55"/>
      <c r="I116" s="56"/>
      <c r="J116" s="56"/>
      <c r="K116" s="78"/>
      <c r="L116" s="57"/>
      <c r="M116" s="57"/>
    </row>
    <row r="117" spans="1:13" ht="15" customHeight="1">
      <c r="A117" s="73"/>
      <c r="B117" s="2"/>
      <c r="C117" s="2" t="s">
        <v>4364</v>
      </c>
      <c r="D117" s="2">
        <v>1</v>
      </c>
      <c r="E117" s="4"/>
      <c r="F117" s="4"/>
      <c r="G117" s="4"/>
      <c r="H117" s="55"/>
      <c r="I117" s="56"/>
      <c r="J117" s="56"/>
      <c r="K117" s="78"/>
      <c r="L117" s="57"/>
      <c r="M117" s="57"/>
    </row>
    <row r="118" spans="1:13" ht="15" customHeight="1">
      <c r="A118" s="73"/>
      <c r="B118" s="2"/>
      <c r="C118" s="2" t="s">
        <v>4365</v>
      </c>
      <c r="D118" s="2">
        <v>1</v>
      </c>
      <c r="E118" s="4"/>
      <c r="F118" s="4"/>
      <c r="G118" s="4"/>
      <c r="H118" s="55"/>
      <c r="I118" s="56"/>
      <c r="J118" s="56"/>
      <c r="K118" s="78"/>
      <c r="L118" s="57"/>
      <c r="M118" s="57"/>
    </row>
    <row r="119" spans="1:13" ht="15" customHeight="1">
      <c r="A119" s="73">
        <v>44604</v>
      </c>
      <c r="B119" s="2">
        <v>16430</v>
      </c>
      <c r="C119" s="2" t="s">
        <v>4367</v>
      </c>
      <c r="D119" s="2">
        <v>1</v>
      </c>
      <c r="E119" s="4" t="s">
        <v>4371</v>
      </c>
      <c r="F119" s="4" t="s">
        <v>4309</v>
      </c>
      <c r="G119" s="4" t="s">
        <v>3547</v>
      </c>
      <c r="H119" s="55">
        <v>12868.599609375</v>
      </c>
      <c r="I119" s="56"/>
      <c r="J119" s="56"/>
      <c r="K119" s="78"/>
      <c r="L119" s="57"/>
      <c r="M119" s="57"/>
    </row>
    <row r="120" spans="1:13" ht="15" customHeight="1">
      <c r="A120" s="73"/>
      <c r="B120" s="2"/>
      <c r="C120" s="2" t="s">
        <v>4368</v>
      </c>
      <c r="D120" s="2">
        <v>1</v>
      </c>
      <c r="E120" s="4"/>
      <c r="F120" s="4"/>
      <c r="G120" s="4"/>
      <c r="H120" s="55"/>
      <c r="I120" s="56"/>
      <c r="J120" s="56"/>
      <c r="K120" s="78"/>
      <c r="L120" s="57"/>
      <c r="M120" s="57"/>
    </row>
    <row r="121" spans="1:13" ht="15" customHeight="1">
      <c r="A121" s="73"/>
      <c r="B121" s="2"/>
      <c r="C121" s="2" t="s">
        <v>4369</v>
      </c>
      <c r="D121" s="2">
        <v>1</v>
      </c>
      <c r="E121" s="4"/>
      <c r="F121" s="4"/>
      <c r="G121" s="4"/>
      <c r="H121" s="55"/>
      <c r="I121" s="56"/>
      <c r="J121" s="56"/>
      <c r="K121" s="78"/>
      <c r="L121" s="57"/>
      <c r="M121" s="57"/>
    </row>
    <row r="122" spans="1:13" ht="15" customHeight="1">
      <c r="A122" s="73"/>
      <c r="B122" s="2"/>
      <c r="C122" s="2" t="s">
        <v>4370</v>
      </c>
      <c r="D122" s="2">
        <v>1</v>
      </c>
      <c r="E122" s="4"/>
      <c r="F122" s="4"/>
      <c r="G122" s="4"/>
      <c r="H122" s="55"/>
      <c r="I122" s="56"/>
      <c r="J122" s="56"/>
      <c r="K122" s="78"/>
      <c r="L122" s="57"/>
      <c r="M122" s="57"/>
    </row>
    <row r="123" spans="1:13" ht="15" customHeight="1">
      <c r="A123" s="73">
        <v>44754</v>
      </c>
      <c r="B123" s="2">
        <v>16431</v>
      </c>
      <c r="C123" s="2" t="s">
        <v>4372</v>
      </c>
      <c r="D123" s="2">
        <v>1</v>
      </c>
      <c r="E123" s="4" t="s">
        <v>4264</v>
      </c>
      <c r="F123" s="4" t="s">
        <v>4301</v>
      </c>
      <c r="G123" s="4" t="s">
        <v>4049</v>
      </c>
      <c r="H123" s="55">
        <v>48150</v>
      </c>
      <c r="I123" s="56"/>
      <c r="J123" s="56"/>
      <c r="K123" s="78"/>
      <c r="L123" s="57"/>
      <c r="M123" s="57"/>
    </row>
    <row r="124" spans="1:13" ht="15" customHeight="1">
      <c r="A124" s="73">
        <v>44754</v>
      </c>
      <c r="B124" s="2">
        <v>16432</v>
      </c>
      <c r="C124" s="2" t="s">
        <v>4375</v>
      </c>
      <c r="D124" s="2">
        <v>1</v>
      </c>
      <c r="E124" s="4" t="s">
        <v>4264</v>
      </c>
      <c r="F124" s="4" t="s">
        <v>4301</v>
      </c>
      <c r="G124" s="4" t="s">
        <v>4374</v>
      </c>
      <c r="H124" s="55">
        <v>27100</v>
      </c>
      <c r="I124" s="56"/>
      <c r="J124" s="56"/>
      <c r="K124" s="78"/>
      <c r="L124" s="57"/>
      <c r="M124" s="57"/>
    </row>
    <row r="125" spans="1:13" ht="15" customHeight="1">
      <c r="A125" s="73">
        <v>44754</v>
      </c>
      <c r="B125" s="2">
        <v>16433</v>
      </c>
      <c r="C125" s="2" t="s">
        <v>4376</v>
      </c>
      <c r="D125" s="2">
        <v>1648.8399658203125</v>
      </c>
      <c r="E125" s="4" t="s">
        <v>4377</v>
      </c>
      <c r="F125" s="4" t="s">
        <v>4301</v>
      </c>
      <c r="G125" s="4" t="s">
        <v>4152</v>
      </c>
      <c r="H125" s="61">
        <v>527628.8125</v>
      </c>
      <c r="I125" s="62"/>
      <c r="J125" s="62"/>
      <c r="K125" s="78"/>
      <c r="L125" s="57"/>
      <c r="M125" s="57"/>
    </row>
    <row r="126" spans="1:13" ht="15" customHeight="1">
      <c r="A126" s="73">
        <v>44907</v>
      </c>
      <c r="B126" s="2">
        <v>16434</v>
      </c>
      <c r="C126" s="2" t="s">
        <v>4378</v>
      </c>
      <c r="D126" s="2">
        <v>20</v>
      </c>
      <c r="E126" s="4" t="s">
        <v>4215</v>
      </c>
      <c r="F126" s="4" t="s">
        <v>4220</v>
      </c>
      <c r="G126" s="4" t="s">
        <v>4200</v>
      </c>
      <c r="H126" s="55">
        <v>33884.3984375</v>
      </c>
      <c r="I126" s="56"/>
      <c r="J126" s="56"/>
      <c r="K126" s="78"/>
      <c r="L126" s="57"/>
      <c r="M126" s="57"/>
    </row>
    <row r="127" spans="1:13" ht="15" customHeight="1">
      <c r="A127" s="73">
        <v>44907</v>
      </c>
      <c r="B127" s="2">
        <v>16435</v>
      </c>
      <c r="C127" s="2" t="s">
        <v>4379</v>
      </c>
      <c r="D127" s="2">
        <v>1</v>
      </c>
      <c r="E127" s="4" t="s">
        <v>4377</v>
      </c>
      <c r="F127" s="4" t="s">
        <v>4227</v>
      </c>
      <c r="G127" s="4" t="s">
        <v>3063</v>
      </c>
      <c r="H127" s="61">
        <v>500000</v>
      </c>
      <c r="I127" s="62"/>
      <c r="J127" s="62"/>
      <c r="K127" s="78"/>
      <c r="L127" s="57"/>
      <c r="M127" s="57"/>
    </row>
    <row r="128" spans="1:13" ht="15" customHeight="1">
      <c r="A128" s="73">
        <v>44907</v>
      </c>
      <c r="B128" s="2">
        <v>16436</v>
      </c>
      <c r="C128" s="2" t="s">
        <v>4380</v>
      </c>
      <c r="D128" s="2">
        <v>1</v>
      </c>
      <c r="E128" s="4" t="s">
        <v>4264</v>
      </c>
      <c r="F128" s="4" t="s">
        <v>4207</v>
      </c>
      <c r="G128" s="4" t="s">
        <v>2871</v>
      </c>
      <c r="H128" s="55">
        <v>212000</v>
      </c>
      <c r="I128" s="56"/>
      <c r="J128" s="56"/>
      <c r="K128" s="78"/>
      <c r="L128" s="57"/>
      <c r="M128" s="57"/>
    </row>
    <row r="129" spans="1:13" ht="15" customHeight="1">
      <c r="A129" s="73"/>
      <c r="B129" s="2"/>
      <c r="C129" s="2" t="s">
        <v>4381</v>
      </c>
      <c r="D129" s="2">
        <v>1</v>
      </c>
      <c r="E129" s="4"/>
      <c r="F129" s="4"/>
      <c r="G129" s="4"/>
      <c r="H129" s="55"/>
      <c r="I129" s="56"/>
      <c r="J129" s="56"/>
      <c r="K129" s="78"/>
      <c r="L129" s="57"/>
      <c r="M129" s="57"/>
    </row>
    <row r="130" spans="1:13" ht="15" customHeight="1">
      <c r="A130" s="73" t="s">
        <v>4385</v>
      </c>
      <c r="B130" s="2">
        <v>16437</v>
      </c>
      <c r="C130" s="2" t="s">
        <v>4382</v>
      </c>
      <c r="D130" s="2">
        <v>6292.18017578125</v>
      </c>
      <c r="E130" s="4" t="s">
        <v>4384</v>
      </c>
      <c r="F130" s="4" t="s">
        <v>4383</v>
      </c>
      <c r="G130" s="4" t="s">
        <v>3971</v>
      </c>
      <c r="H130" s="55">
        <v>2076419.375</v>
      </c>
      <c r="I130" s="56"/>
      <c r="J130" s="56"/>
      <c r="K130" s="78"/>
      <c r="L130" s="57"/>
      <c r="M130" s="57"/>
    </row>
    <row r="131" spans="1:13" ht="15" customHeight="1">
      <c r="A131" s="73" t="s">
        <v>4385</v>
      </c>
      <c r="B131" s="2">
        <v>16438</v>
      </c>
      <c r="C131" s="2" t="s">
        <v>4386</v>
      </c>
      <c r="D131" s="2">
        <v>1</v>
      </c>
      <c r="E131" s="4" t="s">
        <v>4388</v>
      </c>
      <c r="F131" s="4" t="s">
        <v>4211</v>
      </c>
      <c r="G131" s="4" t="s">
        <v>75</v>
      </c>
      <c r="H131" s="55">
        <v>6400</v>
      </c>
      <c r="I131" s="56"/>
      <c r="J131" s="56"/>
      <c r="K131" s="78"/>
      <c r="L131" s="57"/>
      <c r="M131" s="57"/>
    </row>
    <row r="132" spans="1:13" ht="15" customHeight="1">
      <c r="A132" s="73"/>
      <c r="B132" s="2"/>
      <c r="C132" s="2" t="s">
        <v>4387</v>
      </c>
      <c r="D132" s="2">
        <v>3</v>
      </c>
      <c r="E132" s="4"/>
      <c r="F132" s="4"/>
      <c r="G132" s="4"/>
      <c r="H132" s="55"/>
      <c r="I132" s="56"/>
      <c r="J132" s="56"/>
      <c r="K132" s="78"/>
      <c r="L132" s="57"/>
      <c r="M132" s="57"/>
    </row>
    <row r="133" spans="1:13" ht="15" customHeight="1">
      <c r="A133" s="73" t="s">
        <v>4390</v>
      </c>
      <c r="B133" s="2">
        <v>16439</v>
      </c>
      <c r="C133" s="2" t="s">
        <v>4389</v>
      </c>
      <c r="D133" s="2">
        <v>300</v>
      </c>
      <c r="E133" s="4" t="s">
        <v>4377</v>
      </c>
      <c r="F133" s="4" t="s">
        <v>4227</v>
      </c>
      <c r="G133" s="4" t="s">
        <v>1338</v>
      </c>
      <c r="H133" s="61">
        <v>888000</v>
      </c>
      <c r="I133" s="62"/>
      <c r="J133" s="62"/>
      <c r="K133" s="78"/>
      <c r="L133" s="57"/>
      <c r="M133" s="57"/>
    </row>
    <row r="134" spans="1:13" ht="15" customHeight="1">
      <c r="A134" s="73" t="s">
        <v>4394</v>
      </c>
      <c r="B134" s="2">
        <v>16440</v>
      </c>
      <c r="C134" s="2" t="s">
        <v>4391</v>
      </c>
      <c r="D134" s="2">
        <v>1039.3499755859375</v>
      </c>
      <c r="E134" s="4" t="s">
        <v>4393</v>
      </c>
      <c r="F134" s="4" t="s">
        <v>4217</v>
      </c>
      <c r="G134" s="4" t="s">
        <v>4152</v>
      </c>
      <c r="H134" s="55">
        <v>489372</v>
      </c>
      <c r="I134" s="56"/>
      <c r="J134" s="56"/>
      <c r="K134" s="78"/>
      <c r="L134" s="57"/>
      <c r="M134" s="57"/>
    </row>
    <row r="135" spans="1:13" ht="15" customHeight="1">
      <c r="A135" s="73"/>
      <c r="B135" s="2"/>
      <c r="C135" s="2" t="s">
        <v>4392</v>
      </c>
      <c r="D135" s="2">
        <v>230.10000610351563</v>
      </c>
      <c r="E135" s="4"/>
      <c r="F135" s="4"/>
      <c r="G135" s="4"/>
      <c r="H135" s="55"/>
      <c r="I135" s="56"/>
      <c r="J135" s="56"/>
      <c r="K135" s="78"/>
      <c r="L135" s="57"/>
      <c r="M135" s="57"/>
    </row>
    <row r="136" spans="1:13" ht="15" customHeight="1">
      <c r="A136" s="73" t="s">
        <v>4401</v>
      </c>
      <c r="B136" s="2">
        <v>16441</v>
      </c>
      <c r="C136" s="2" t="s">
        <v>4395</v>
      </c>
      <c r="D136" s="2">
        <v>15</v>
      </c>
      <c r="E136" s="4" t="s">
        <v>4400</v>
      </c>
      <c r="F136" s="4" t="s">
        <v>4309</v>
      </c>
      <c r="G136" s="4" t="s">
        <v>3547</v>
      </c>
      <c r="H136" s="55">
        <v>7711.2099609375</v>
      </c>
      <c r="I136" s="56"/>
      <c r="J136" s="56"/>
      <c r="K136" s="78"/>
      <c r="L136" s="57"/>
      <c r="M136" s="57"/>
    </row>
    <row r="137" spans="1:13" ht="15" customHeight="1">
      <c r="A137" s="73"/>
      <c r="B137" s="2"/>
      <c r="C137" s="2" t="s">
        <v>4396</v>
      </c>
      <c r="D137" s="2">
        <v>2</v>
      </c>
      <c r="E137" s="4"/>
      <c r="F137" s="4"/>
      <c r="G137" s="4"/>
      <c r="H137" s="55"/>
      <c r="I137" s="56"/>
      <c r="J137" s="56"/>
      <c r="K137" s="78"/>
      <c r="L137" s="57"/>
      <c r="M137" s="57"/>
    </row>
    <row r="138" spans="1:13" ht="15" customHeight="1">
      <c r="A138" s="73"/>
      <c r="B138" s="2"/>
      <c r="C138" s="2" t="s">
        <v>4397</v>
      </c>
      <c r="D138" s="2">
        <v>3</v>
      </c>
      <c r="E138" s="4"/>
      <c r="F138" s="4"/>
      <c r="G138" s="4"/>
      <c r="H138" s="55"/>
      <c r="I138" s="56"/>
      <c r="J138" s="56"/>
      <c r="K138" s="78"/>
      <c r="L138" s="57"/>
      <c r="M138" s="57"/>
    </row>
    <row r="139" spans="1:13" ht="15" customHeight="1">
      <c r="A139" s="73"/>
      <c r="B139" s="2"/>
      <c r="C139" s="2" t="s">
        <v>4398</v>
      </c>
      <c r="D139" s="2">
        <v>2</v>
      </c>
      <c r="E139" s="4"/>
      <c r="F139" s="4"/>
      <c r="G139" s="4"/>
      <c r="H139" s="55"/>
      <c r="I139" s="56"/>
      <c r="J139" s="56"/>
      <c r="K139" s="78"/>
      <c r="L139" s="57"/>
      <c r="M139" s="57"/>
    </row>
    <row r="140" spans="1:13" ht="15" customHeight="1">
      <c r="A140" s="73"/>
      <c r="B140" s="2"/>
      <c r="C140" s="2" t="s">
        <v>4399</v>
      </c>
      <c r="D140" s="2">
        <v>2</v>
      </c>
      <c r="E140" s="4"/>
      <c r="F140" s="4"/>
      <c r="G140" s="4"/>
      <c r="H140" s="55"/>
      <c r="I140" s="56"/>
      <c r="J140" s="56"/>
      <c r="K140" s="78"/>
      <c r="L140" s="57"/>
      <c r="M140" s="57"/>
    </row>
    <row r="141" spans="1:13" ht="15" customHeight="1">
      <c r="A141" s="73" t="s">
        <v>4401</v>
      </c>
      <c r="B141" s="2">
        <v>16442</v>
      </c>
      <c r="C141" s="2" t="s">
        <v>4402</v>
      </c>
      <c r="D141" s="2">
        <v>2</v>
      </c>
      <c r="E141" s="4" t="s">
        <v>4406</v>
      </c>
      <c r="F141" s="4" t="s">
        <v>4309</v>
      </c>
      <c r="G141" s="4" t="s">
        <v>3547</v>
      </c>
      <c r="H141" s="55">
        <v>2537.300048828125</v>
      </c>
      <c r="I141" s="56"/>
      <c r="J141" s="56"/>
      <c r="K141" s="78"/>
      <c r="L141" s="57"/>
      <c r="M141" s="57"/>
    </row>
    <row r="142" spans="1:13" ht="15" customHeight="1">
      <c r="A142" s="73"/>
      <c r="B142" s="2"/>
      <c r="C142" s="2" t="s">
        <v>4403</v>
      </c>
      <c r="D142" s="2">
        <v>4</v>
      </c>
      <c r="E142" s="4"/>
      <c r="F142" s="4"/>
      <c r="G142" s="4"/>
      <c r="H142" s="55"/>
      <c r="I142" s="56"/>
      <c r="J142" s="56"/>
      <c r="K142" s="78"/>
      <c r="L142" s="57"/>
      <c r="M142" s="57"/>
    </row>
    <row r="143" spans="1:13" ht="15" customHeight="1">
      <c r="A143" s="73"/>
      <c r="B143" s="2"/>
      <c r="C143" s="2" t="s">
        <v>4404</v>
      </c>
      <c r="D143" s="2">
        <v>3</v>
      </c>
      <c r="E143" s="4"/>
      <c r="F143" s="4"/>
      <c r="G143" s="4"/>
      <c r="H143" s="55"/>
      <c r="I143" s="56"/>
      <c r="J143" s="56"/>
      <c r="K143" s="78"/>
      <c r="L143" s="57"/>
      <c r="M143" s="57"/>
    </row>
    <row r="144" spans="1:13" ht="15" customHeight="1">
      <c r="A144" s="73"/>
      <c r="B144" s="2"/>
      <c r="C144" s="2" t="s">
        <v>4405</v>
      </c>
      <c r="D144" s="2">
        <v>2</v>
      </c>
      <c r="E144" s="4"/>
      <c r="F144" s="4"/>
      <c r="G144" s="4"/>
      <c r="H144" s="55"/>
      <c r="I144" s="56"/>
      <c r="J144" s="56"/>
      <c r="K144" s="78"/>
      <c r="L144" s="57"/>
      <c r="M144" s="57"/>
    </row>
    <row r="145" spans="1:13" ht="15" customHeight="1">
      <c r="A145" s="73" t="s">
        <v>4401</v>
      </c>
      <c r="B145" s="2">
        <v>16443</v>
      </c>
      <c r="C145" s="2" t="s">
        <v>4407</v>
      </c>
      <c r="D145" s="2">
        <v>2</v>
      </c>
      <c r="E145" s="4" t="s">
        <v>4412</v>
      </c>
      <c r="F145" s="4" t="s">
        <v>4268</v>
      </c>
      <c r="G145" s="4" t="s">
        <v>3547</v>
      </c>
      <c r="H145" s="55">
        <v>8992.2998046875</v>
      </c>
      <c r="I145" s="56"/>
      <c r="J145" s="56"/>
      <c r="K145" s="78"/>
      <c r="L145" s="57"/>
      <c r="M145" s="57"/>
    </row>
    <row r="146" spans="1:13" ht="15" customHeight="1">
      <c r="A146" s="73"/>
      <c r="B146" s="2"/>
      <c r="C146" s="2" t="s">
        <v>4408</v>
      </c>
      <c r="D146" s="2">
        <v>20</v>
      </c>
      <c r="E146" s="4"/>
      <c r="F146" s="4"/>
      <c r="G146" s="4"/>
      <c r="H146" s="55"/>
      <c r="I146" s="56"/>
      <c r="J146" s="56"/>
      <c r="K146" s="78"/>
      <c r="L146" s="57"/>
      <c r="M146" s="57"/>
    </row>
    <row r="147" spans="1:13" ht="15" customHeight="1">
      <c r="A147" s="73"/>
      <c r="B147" s="2"/>
      <c r="C147" s="2" t="s">
        <v>4410</v>
      </c>
      <c r="D147" s="2">
        <v>4</v>
      </c>
      <c r="E147" s="4"/>
      <c r="F147" s="4"/>
      <c r="G147" s="4"/>
      <c r="H147" s="55"/>
      <c r="I147" s="56"/>
      <c r="J147" s="56"/>
      <c r="K147" s="78"/>
      <c r="L147" s="57"/>
      <c r="M147" s="57"/>
    </row>
    <row r="148" spans="1:13" ht="15" customHeight="1">
      <c r="A148" s="73"/>
      <c r="B148" s="2"/>
      <c r="C148" s="2" t="s">
        <v>4411</v>
      </c>
      <c r="D148" s="2">
        <v>2</v>
      </c>
      <c r="E148" s="4"/>
      <c r="F148" s="4"/>
      <c r="G148" s="4"/>
      <c r="H148" s="55"/>
      <c r="I148" s="56"/>
      <c r="J148" s="56"/>
      <c r="K148" s="78"/>
      <c r="L148" s="57"/>
      <c r="M148" s="57"/>
    </row>
    <row r="149" spans="1:13" ht="15" customHeight="1">
      <c r="A149" s="73"/>
      <c r="B149" s="2"/>
      <c r="C149" s="2" t="s">
        <v>4409</v>
      </c>
      <c r="D149" s="2">
        <v>3</v>
      </c>
      <c r="E149" s="4"/>
      <c r="F149" s="4"/>
      <c r="G149" s="4"/>
      <c r="H149" s="55"/>
      <c r="I149" s="56"/>
      <c r="J149" s="56"/>
      <c r="K149" s="78"/>
      <c r="L149" s="57"/>
      <c r="M149" s="57"/>
    </row>
    <row r="150" spans="1:13" ht="15" customHeight="1">
      <c r="A150" s="73" t="s">
        <v>4401</v>
      </c>
      <c r="B150" s="2">
        <v>16444</v>
      </c>
      <c r="C150" s="2" t="s">
        <v>4413</v>
      </c>
      <c r="D150" s="2">
        <v>5</v>
      </c>
      <c r="E150" s="4" t="s">
        <v>4264</v>
      </c>
      <c r="F150" s="4" t="s">
        <v>4414</v>
      </c>
      <c r="G150" s="4" t="s">
        <v>2115</v>
      </c>
      <c r="H150" s="55">
        <v>3500</v>
      </c>
      <c r="I150" s="56"/>
      <c r="J150" s="56"/>
      <c r="K150" s="78"/>
      <c r="L150" s="57"/>
      <c r="M150" s="57"/>
    </row>
    <row r="151" spans="1:13" ht="15" customHeight="1">
      <c r="A151" s="73" t="s">
        <v>4417</v>
      </c>
      <c r="B151" s="2">
        <v>16445</v>
      </c>
      <c r="C151" s="2" t="s">
        <v>4415</v>
      </c>
      <c r="D151" s="2">
        <v>300</v>
      </c>
      <c r="E151" s="4" t="s">
        <v>4215</v>
      </c>
      <c r="F151" s="4" t="s">
        <v>4212</v>
      </c>
      <c r="G151" s="4" t="s">
        <v>4200</v>
      </c>
      <c r="H151" s="55">
        <v>60494.69921875</v>
      </c>
      <c r="I151" s="56"/>
      <c r="J151" s="56"/>
      <c r="K151" s="78"/>
      <c r="L151" s="57"/>
      <c r="M151" s="57"/>
    </row>
    <row r="152" spans="1:13" ht="15" customHeight="1">
      <c r="A152" s="73"/>
      <c r="B152" s="2"/>
      <c r="C152" s="2" t="s">
        <v>4416</v>
      </c>
      <c r="D152" s="2">
        <v>30</v>
      </c>
      <c r="E152" s="4"/>
      <c r="F152" s="4"/>
      <c r="G152" s="4"/>
      <c r="H152" s="55"/>
      <c r="I152" s="56"/>
      <c r="J152" s="56"/>
      <c r="K152" s="78"/>
      <c r="L152" s="57"/>
      <c r="M152" s="57"/>
    </row>
    <row r="153" spans="1:13" ht="15" customHeight="1">
      <c r="A153" s="73" t="s">
        <v>4419</v>
      </c>
      <c r="B153" s="2">
        <v>16446</v>
      </c>
      <c r="C153" s="2" t="s">
        <v>4418</v>
      </c>
      <c r="D153" s="2">
        <v>1</v>
      </c>
      <c r="E153" s="4" t="s">
        <v>4310</v>
      </c>
      <c r="F153" s="4" t="s">
        <v>4309</v>
      </c>
      <c r="G153" s="4" t="s">
        <v>2208</v>
      </c>
      <c r="H153" s="55">
        <v>6704.47998046875</v>
      </c>
      <c r="I153" s="56"/>
      <c r="J153" s="56"/>
      <c r="K153" s="78"/>
      <c r="L153" s="57"/>
      <c r="M153" s="57"/>
    </row>
    <row r="154" spans="1:13" ht="15" customHeight="1">
      <c r="A154" s="73" t="s">
        <v>4419</v>
      </c>
      <c r="B154" s="2">
        <v>16447</v>
      </c>
      <c r="C154" s="2" t="s">
        <v>4420</v>
      </c>
      <c r="D154" s="2">
        <v>1</v>
      </c>
      <c r="E154" s="4" t="s">
        <v>4422</v>
      </c>
      <c r="F154" s="4" t="s">
        <v>4421</v>
      </c>
      <c r="G154" s="4" t="s">
        <v>2208</v>
      </c>
      <c r="H154" s="55">
        <v>4404.9501953125</v>
      </c>
      <c r="I154" s="56"/>
      <c r="J154" s="56"/>
      <c r="K154" s="78"/>
      <c r="L154" s="57"/>
      <c r="M154" s="57"/>
    </row>
    <row r="155" spans="1:13" ht="15" customHeight="1">
      <c r="A155" s="73" t="s">
        <v>4419</v>
      </c>
      <c r="B155" s="2">
        <v>16448</v>
      </c>
      <c r="C155" s="2" t="s">
        <v>4420</v>
      </c>
      <c r="D155" s="2">
        <v>1</v>
      </c>
      <c r="E155" s="4" t="s">
        <v>4406</v>
      </c>
      <c r="F155" s="4" t="s">
        <v>4309</v>
      </c>
      <c r="G155" s="4" t="s">
        <v>2208</v>
      </c>
      <c r="H155" s="55">
        <v>4595.0400390625</v>
      </c>
      <c r="I155" s="56"/>
      <c r="J155" s="56"/>
      <c r="K155" s="78"/>
      <c r="L155" s="57"/>
      <c r="M155" s="57"/>
    </row>
    <row r="156" spans="1:13" ht="15" customHeight="1">
      <c r="A156" s="73" t="s">
        <v>4419</v>
      </c>
      <c r="B156" s="2">
        <v>16449</v>
      </c>
      <c r="C156" s="2" t="s">
        <v>4423</v>
      </c>
      <c r="D156" s="2">
        <v>2</v>
      </c>
      <c r="E156" s="4" t="s">
        <v>4424</v>
      </c>
      <c r="F156" s="4" t="s">
        <v>4220</v>
      </c>
      <c r="G156" s="4" t="s">
        <v>3653</v>
      </c>
      <c r="H156" s="55">
        <v>48215.05859375</v>
      </c>
      <c r="I156" s="56"/>
      <c r="J156" s="56"/>
      <c r="K156" s="78"/>
      <c r="L156" s="57"/>
      <c r="M156" s="57"/>
    </row>
    <row r="157" spans="1:13" ht="15" customHeight="1">
      <c r="A157" s="73" t="s">
        <v>4419</v>
      </c>
      <c r="B157" s="2">
        <v>16450</v>
      </c>
      <c r="C157" s="2" t="s">
        <v>4425</v>
      </c>
      <c r="D157" s="2">
        <v>300</v>
      </c>
      <c r="E157" s="4" t="s">
        <v>4426</v>
      </c>
      <c r="F157" s="4" t="s">
        <v>4217</v>
      </c>
      <c r="G157" s="4" t="s">
        <v>1338</v>
      </c>
      <c r="H157" s="55">
        <v>956700</v>
      </c>
      <c r="I157" s="56"/>
      <c r="J157" s="56"/>
      <c r="K157" s="78"/>
      <c r="L157" s="57"/>
      <c r="M157" s="57"/>
    </row>
    <row r="158" spans="1:13" ht="15" customHeight="1">
      <c r="A158" s="73" t="s">
        <v>4429</v>
      </c>
      <c r="B158" s="2">
        <v>16451</v>
      </c>
      <c r="C158" s="2" t="s">
        <v>4427</v>
      </c>
      <c r="D158" s="2">
        <v>2</v>
      </c>
      <c r="E158" s="4" t="s">
        <v>4215</v>
      </c>
      <c r="F158" s="4" t="s">
        <v>4428</v>
      </c>
      <c r="G158" s="4" t="s">
        <v>4200</v>
      </c>
      <c r="H158" s="55">
        <v>9586.7763671875</v>
      </c>
      <c r="I158" s="56"/>
      <c r="J158" s="56"/>
      <c r="K158" s="78"/>
      <c r="L158" s="57"/>
      <c r="M158" s="57"/>
    </row>
    <row r="159" spans="1:13" ht="15" customHeight="1">
      <c r="A159" s="73" t="s">
        <v>4429</v>
      </c>
      <c r="B159" s="2">
        <v>16452</v>
      </c>
      <c r="C159" s="2" t="s">
        <v>4430</v>
      </c>
      <c r="D159" s="2">
        <v>4</v>
      </c>
      <c r="E159" s="4" t="s">
        <v>4406</v>
      </c>
      <c r="F159" s="4" t="s">
        <v>4309</v>
      </c>
      <c r="G159" s="4" t="s">
        <v>3547</v>
      </c>
      <c r="H159" s="55">
        <v>11339.4697265625</v>
      </c>
      <c r="I159" s="56"/>
      <c r="J159" s="56"/>
      <c r="K159" s="78"/>
      <c r="L159" s="57"/>
      <c r="M159" s="57"/>
    </row>
    <row r="160" spans="1:13" ht="15" customHeight="1">
      <c r="A160" s="73"/>
      <c r="B160" s="2"/>
      <c r="C160" s="2" t="s">
        <v>4431</v>
      </c>
      <c r="D160" s="2">
        <v>20</v>
      </c>
      <c r="E160" s="4"/>
      <c r="F160" s="4"/>
      <c r="G160" s="4"/>
      <c r="H160" s="55"/>
      <c r="I160" s="56"/>
      <c r="J160" s="56"/>
      <c r="K160" s="78"/>
      <c r="L160" s="57"/>
      <c r="M160" s="57"/>
    </row>
    <row r="161" spans="1:13" ht="15" customHeight="1">
      <c r="A161" s="73"/>
      <c r="B161" s="2"/>
      <c r="C161" s="2" t="s">
        <v>4432</v>
      </c>
      <c r="D161" s="2">
        <v>1</v>
      </c>
      <c r="E161" s="4"/>
      <c r="F161" s="4"/>
      <c r="G161" s="4"/>
      <c r="H161" s="55"/>
      <c r="I161" s="56"/>
      <c r="J161" s="56"/>
      <c r="K161" s="78"/>
      <c r="L161" s="57"/>
      <c r="M161" s="57"/>
    </row>
    <row r="162" spans="1:13" ht="15" customHeight="1">
      <c r="A162" s="73"/>
      <c r="B162" s="2"/>
      <c r="C162" s="2" t="s">
        <v>4433</v>
      </c>
      <c r="D162" s="2">
        <v>4</v>
      </c>
      <c r="E162" s="4"/>
      <c r="F162" s="4"/>
      <c r="G162" s="4"/>
      <c r="H162" s="55"/>
      <c r="I162" s="56"/>
      <c r="J162" s="56"/>
      <c r="K162" s="78"/>
      <c r="L162" s="57"/>
      <c r="M162" s="57"/>
    </row>
    <row r="163" spans="1:13" ht="15" customHeight="1">
      <c r="A163" s="73"/>
      <c r="B163" s="2"/>
      <c r="C163" s="2" t="s">
        <v>4434</v>
      </c>
      <c r="D163" s="2">
        <v>2</v>
      </c>
      <c r="E163" s="4"/>
      <c r="F163" s="4"/>
      <c r="G163" s="4"/>
      <c r="H163" s="55"/>
      <c r="I163" s="56"/>
      <c r="J163" s="56"/>
      <c r="K163" s="78"/>
      <c r="L163" s="57"/>
      <c r="M163" s="57"/>
    </row>
    <row r="164" spans="1:13" ht="15" customHeight="1">
      <c r="A164" s="73" t="s">
        <v>4429</v>
      </c>
      <c r="B164" s="2">
        <v>16453</v>
      </c>
      <c r="C164" s="2" t="s">
        <v>4206</v>
      </c>
      <c r="D164" s="2">
        <v>300</v>
      </c>
      <c r="E164" s="4" t="s">
        <v>4218</v>
      </c>
      <c r="F164" s="4" t="s">
        <v>4217</v>
      </c>
      <c r="G164" s="4" t="s">
        <v>1338</v>
      </c>
      <c r="H164" s="61">
        <v>901500</v>
      </c>
      <c r="I164" s="62"/>
      <c r="J164" s="62"/>
      <c r="K164" s="78"/>
      <c r="L164" s="57"/>
      <c r="M164" s="57"/>
    </row>
    <row r="165" spans="1:13" ht="15" customHeight="1">
      <c r="A165" s="73" t="s">
        <v>4437</v>
      </c>
      <c r="B165" s="2">
        <v>16454</v>
      </c>
      <c r="C165" s="2" t="s">
        <v>4435</v>
      </c>
      <c r="D165" s="2">
        <v>90</v>
      </c>
      <c r="E165" s="4" t="s">
        <v>4436</v>
      </c>
      <c r="F165" s="4" t="s">
        <v>4217</v>
      </c>
      <c r="G165" s="4" t="s">
        <v>3692</v>
      </c>
      <c r="H165" s="55">
        <v>2738520</v>
      </c>
      <c r="I165" s="56"/>
      <c r="J165" s="56"/>
      <c r="K165" s="78"/>
      <c r="L165" s="57"/>
      <c r="M165" s="57"/>
    </row>
    <row r="166" spans="1:13" ht="15" customHeight="1">
      <c r="A166" s="73" t="s">
        <v>4437</v>
      </c>
      <c r="B166" s="2">
        <v>16455</v>
      </c>
      <c r="C166" s="2" t="s">
        <v>4438</v>
      </c>
      <c r="D166" s="2">
        <v>1000</v>
      </c>
      <c r="E166" s="4" t="s">
        <v>4412</v>
      </c>
      <c r="F166" s="4" t="s">
        <v>4234</v>
      </c>
      <c r="G166" s="4" t="s">
        <v>1793</v>
      </c>
      <c r="H166" s="55">
        <v>949000</v>
      </c>
      <c r="I166" s="56"/>
      <c r="J166" s="56"/>
      <c r="K166" s="78"/>
      <c r="L166" s="57"/>
      <c r="M166" s="57"/>
    </row>
    <row r="167" spans="1:13" ht="15" customHeight="1">
      <c r="A167" s="73"/>
      <c r="B167" s="2"/>
      <c r="C167" s="2" t="s">
        <v>4439</v>
      </c>
      <c r="D167" s="2">
        <v>25</v>
      </c>
      <c r="E167" s="4"/>
      <c r="F167" s="4"/>
      <c r="G167" s="4"/>
      <c r="H167" s="55"/>
      <c r="I167" s="56"/>
      <c r="J167" s="56"/>
      <c r="K167" s="78"/>
      <c r="L167" s="57"/>
      <c r="M167" s="57"/>
    </row>
    <row r="168" spans="1:13" ht="15" customHeight="1">
      <c r="A168" s="73"/>
      <c r="B168" s="2"/>
      <c r="C168" s="2" t="s">
        <v>4440</v>
      </c>
      <c r="D168" s="2">
        <v>50</v>
      </c>
      <c r="E168" s="4"/>
      <c r="F168" s="4"/>
      <c r="G168" s="4"/>
      <c r="H168" s="55"/>
      <c r="I168" s="56"/>
      <c r="J168" s="56"/>
      <c r="K168" s="78"/>
      <c r="L168" s="57"/>
      <c r="M168" s="57"/>
    </row>
    <row r="169" spans="1:13" ht="15" customHeight="1">
      <c r="A169" s="73" t="s">
        <v>4443</v>
      </c>
      <c r="B169" s="2">
        <v>16456</v>
      </c>
      <c r="C169" s="2" t="s">
        <v>4441</v>
      </c>
      <c r="D169" s="2">
        <v>1</v>
      </c>
      <c r="E169" s="4" t="s">
        <v>4442</v>
      </c>
      <c r="F169" s="4" t="s">
        <v>4211</v>
      </c>
      <c r="G169" s="4" t="s">
        <v>3453</v>
      </c>
      <c r="H169" s="55">
        <v>0</v>
      </c>
      <c r="I169" s="56"/>
      <c r="J169" s="56"/>
      <c r="K169" s="78"/>
      <c r="L169" s="57"/>
      <c r="M169" s="57"/>
    </row>
    <row r="170" spans="1:13" ht="15" customHeight="1">
      <c r="A170" s="73" t="s">
        <v>4446</v>
      </c>
      <c r="B170" s="2">
        <v>16457</v>
      </c>
      <c r="C170" s="2" t="s">
        <v>4444</v>
      </c>
      <c r="D170" s="2">
        <v>532.03997802734375</v>
      </c>
      <c r="E170" s="4" t="s">
        <v>4218</v>
      </c>
      <c r="F170" s="4" t="s">
        <v>4207</v>
      </c>
      <c r="G170" s="4" t="s">
        <v>4152</v>
      </c>
      <c r="H170" s="61">
        <v>185452.796875</v>
      </c>
      <c r="I170" s="62"/>
      <c r="J170" s="62"/>
      <c r="K170" s="78"/>
      <c r="L170" s="57"/>
      <c r="M170" s="57"/>
    </row>
    <row r="171" spans="1:13" ht="15" customHeight="1">
      <c r="A171" s="73"/>
      <c r="B171" s="2"/>
      <c r="C171" s="2" t="s">
        <v>4445</v>
      </c>
      <c r="D171" s="2">
        <v>38</v>
      </c>
      <c r="E171" s="4"/>
      <c r="F171" s="4"/>
      <c r="G171" s="4"/>
      <c r="H171" s="55"/>
      <c r="I171" s="56"/>
      <c r="J171" s="56"/>
      <c r="K171" s="78"/>
      <c r="L171" s="57"/>
      <c r="M171" s="57"/>
    </row>
    <row r="172" spans="1:13" ht="15" customHeight="1">
      <c r="A172" s="73" t="s">
        <v>4446</v>
      </c>
      <c r="B172" s="2">
        <v>16458</v>
      </c>
      <c r="C172" s="2" t="s">
        <v>4447</v>
      </c>
      <c r="D172" s="2">
        <v>1</v>
      </c>
      <c r="E172" s="4" t="s">
        <v>4264</v>
      </c>
      <c r="F172" s="4" t="s">
        <v>4207</v>
      </c>
      <c r="G172" s="4" t="s">
        <v>2620</v>
      </c>
      <c r="H172" s="55">
        <v>94000</v>
      </c>
      <c r="I172" s="56"/>
      <c r="J172" s="56"/>
      <c r="K172" s="78"/>
      <c r="L172" s="57"/>
      <c r="M172" s="57"/>
    </row>
    <row r="173" spans="1:13" ht="15" customHeight="1">
      <c r="A173" s="73" t="s">
        <v>4446</v>
      </c>
      <c r="B173" s="2">
        <v>16459</v>
      </c>
      <c r="C173" s="2" t="s">
        <v>4425</v>
      </c>
      <c r="D173" s="2">
        <v>300</v>
      </c>
      <c r="E173" s="4" t="s">
        <v>4218</v>
      </c>
      <c r="F173" s="4" t="s">
        <v>4217</v>
      </c>
      <c r="G173" s="4" t="s">
        <v>1338</v>
      </c>
      <c r="H173" s="61">
        <v>972600</v>
      </c>
      <c r="I173" s="62"/>
      <c r="J173" s="62"/>
      <c r="K173" s="78"/>
      <c r="L173" s="57"/>
      <c r="M173" s="57"/>
    </row>
    <row r="174" spans="1:13" ht="15" customHeight="1">
      <c r="A174" s="73" t="s">
        <v>4450</v>
      </c>
      <c r="B174" s="2">
        <v>16460</v>
      </c>
      <c r="C174" s="2" t="s">
        <v>4448</v>
      </c>
      <c r="D174" s="2">
        <v>12</v>
      </c>
      <c r="E174" s="4" t="s">
        <v>4264</v>
      </c>
      <c r="F174" s="4" t="s">
        <v>4207</v>
      </c>
      <c r="G174" s="4" t="s">
        <v>1434</v>
      </c>
      <c r="H174" s="55">
        <v>1044</v>
      </c>
      <c r="I174" s="56"/>
      <c r="J174" s="56"/>
      <c r="K174" s="78"/>
      <c r="L174" s="57"/>
      <c r="M174" s="57"/>
    </row>
    <row r="175" spans="1:13" ht="15" customHeight="1">
      <c r="A175" s="73"/>
      <c r="B175" s="2"/>
      <c r="C175" s="2" t="s">
        <v>4449</v>
      </c>
      <c r="D175" s="2">
        <v>12</v>
      </c>
      <c r="E175" s="4"/>
      <c r="F175" s="4"/>
      <c r="G175" s="4"/>
      <c r="H175" s="55"/>
      <c r="I175" s="56"/>
      <c r="J175" s="56"/>
      <c r="K175" s="78"/>
      <c r="L175" s="57"/>
      <c r="M175" s="57"/>
    </row>
    <row r="176" spans="1:13" ht="15" customHeight="1">
      <c r="A176" s="73" t="s">
        <v>4450</v>
      </c>
      <c r="B176" s="2">
        <v>16461</v>
      </c>
      <c r="C176" s="2" t="s">
        <v>4451</v>
      </c>
      <c r="D176" s="2">
        <v>2</v>
      </c>
      <c r="E176" s="4" t="s">
        <v>4264</v>
      </c>
      <c r="F176" s="4" t="s">
        <v>4207</v>
      </c>
      <c r="G176" s="4" t="s">
        <v>1642</v>
      </c>
      <c r="H176" s="55">
        <v>464396.6875</v>
      </c>
      <c r="I176" s="56"/>
      <c r="J176" s="56"/>
      <c r="K176" s="78"/>
      <c r="L176" s="57"/>
      <c r="M176" s="57"/>
    </row>
    <row r="177" spans="1:13" ht="15" customHeight="1">
      <c r="A177" s="73"/>
      <c r="B177" s="2"/>
      <c r="C177" s="2" t="s">
        <v>4452</v>
      </c>
      <c r="D177" s="2">
        <v>4</v>
      </c>
      <c r="E177" s="4"/>
      <c r="F177" s="4"/>
      <c r="G177" s="4"/>
      <c r="H177" s="55"/>
      <c r="I177" s="56"/>
      <c r="J177" s="56"/>
      <c r="K177" s="78"/>
      <c r="L177" s="57"/>
      <c r="M177" s="57"/>
    </row>
    <row r="178" spans="1:13" ht="15" customHeight="1">
      <c r="A178" s="73"/>
      <c r="B178" s="2"/>
      <c r="C178" s="2" t="s">
        <v>4453</v>
      </c>
      <c r="D178" s="2">
        <v>4</v>
      </c>
      <c r="E178" s="4"/>
      <c r="F178" s="4"/>
      <c r="G178" s="4"/>
      <c r="H178" s="55"/>
      <c r="I178" s="56"/>
      <c r="J178" s="56"/>
      <c r="K178" s="78"/>
      <c r="L178" s="57"/>
      <c r="M178" s="57"/>
    </row>
    <row r="179" spans="1:13" ht="15" customHeight="1">
      <c r="A179" s="73" t="s">
        <v>4450</v>
      </c>
      <c r="B179" s="2">
        <v>16462</v>
      </c>
      <c r="C179" s="2" t="s">
        <v>4454</v>
      </c>
      <c r="D179" s="2">
        <v>160</v>
      </c>
      <c r="E179" s="4" t="s">
        <v>4455</v>
      </c>
      <c r="F179" s="4" t="s">
        <v>4211</v>
      </c>
      <c r="G179" s="4" t="s">
        <v>3692</v>
      </c>
      <c r="H179" s="55">
        <v>549406.375</v>
      </c>
      <c r="I179" s="56"/>
      <c r="J179" s="56"/>
      <c r="K179" s="78"/>
      <c r="L179" s="57"/>
      <c r="M179" s="57"/>
    </row>
    <row r="180" spans="1:13" ht="15" customHeight="1">
      <c r="A180" s="73">
        <v>44958</v>
      </c>
      <c r="B180" s="2">
        <v>16463</v>
      </c>
      <c r="C180" s="2" t="s">
        <v>4456</v>
      </c>
      <c r="D180" s="2">
        <v>8000</v>
      </c>
      <c r="E180" s="4" t="s">
        <v>4237</v>
      </c>
      <c r="F180" s="4" t="s">
        <v>4212</v>
      </c>
      <c r="G180" s="4" t="s">
        <v>1409</v>
      </c>
      <c r="H180" s="55">
        <v>2880000</v>
      </c>
      <c r="I180" s="56"/>
      <c r="J180" s="56"/>
      <c r="K180" s="78"/>
      <c r="L180" s="57"/>
      <c r="M180" s="57"/>
    </row>
    <row r="181" spans="1:13" ht="15" customHeight="1">
      <c r="A181" s="73">
        <v>44958</v>
      </c>
      <c r="B181" s="2">
        <v>16464</v>
      </c>
      <c r="C181" s="2" t="s">
        <v>4457</v>
      </c>
      <c r="D181" s="2">
        <v>2</v>
      </c>
      <c r="E181" s="4" t="s">
        <v>4465</v>
      </c>
      <c r="F181" s="4" t="s">
        <v>4301</v>
      </c>
      <c r="G181" s="4" t="s">
        <v>2077</v>
      </c>
      <c r="H181" s="55">
        <v>120000</v>
      </c>
      <c r="I181" s="56"/>
      <c r="J181" s="56"/>
      <c r="K181" s="78"/>
      <c r="L181" s="57"/>
      <c r="M181" s="57"/>
    </row>
    <row r="182" spans="1:13" ht="15" customHeight="1">
      <c r="A182" s="73"/>
      <c r="B182" s="2"/>
      <c r="C182" s="2" t="s">
        <v>4458</v>
      </c>
      <c r="D182" s="2">
        <v>1</v>
      </c>
      <c r="E182" s="4"/>
      <c r="F182" s="4"/>
      <c r="G182" s="4"/>
      <c r="H182" s="55"/>
      <c r="I182" s="56"/>
      <c r="J182" s="56"/>
      <c r="K182" s="78"/>
      <c r="L182" s="57"/>
      <c r="M182" s="57"/>
    </row>
    <row r="183" spans="1:13" ht="15" customHeight="1">
      <c r="A183" s="73"/>
      <c r="B183" s="2"/>
      <c r="C183" s="2" t="s">
        <v>4459</v>
      </c>
      <c r="D183" s="2">
        <v>1</v>
      </c>
      <c r="E183" s="4"/>
      <c r="F183" s="4"/>
      <c r="G183" s="4"/>
      <c r="H183" s="55"/>
      <c r="I183" s="56"/>
      <c r="J183" s="56"/>
      <c r="K183" s="78"/>
      <c r="L183" s="57"/>
      <c r="M183" s="57"/>
    </row>
    <row r="184" spans="1:13" ht="15" customHeight="1">
      <c r="A184" s="73"/>
      <c r="B184" s="2"/>
      <c r="C184" s="2" t="s">
        <v>4460</v>
      </c>
      <c r="D184" s="2">
        <v>12</v>
      </c>
      <c r="E184" s="4"/>
      <c r="F184" s="4"/>
      <c r="G184" s="4"/>
      <c r="H184" s="55"/>
      <c r="I184" s="56"/>
      <c r="J184" s="56"/>
      <c r="K184" s="78"/>
      <c r="L184" s="57"/>
      <c r="M184" s="57"/>
    </row>
    <row r="185" spans="1:13" ht="15" customHeight="1">
      <c r="A185" s="73"/>
      <c r="B185" s="2"/>
      <c r="C185" s="2" t="s">
        <v>4461</v>
      </c>
      <c r="D185" s="2">
        <v>1</v>
      </c>
      <c r="E185" s="4"/>
      <c r="F185" s="4"/>
      <c r="G185" s="4"/>
      <c r="H185" s="55"/>
      <c r="I185" s="56"/>
      <c r="J185" s="56"/>
      <c r="K185" s="78"/>
      <c r="L185" s="57"/>
      <c r="M185" s="57"/>
    </row>
    <row r="186" spans="1:13" ht="15" customHeight="1">
      <c r="A186" s="73"/>
      <c r="B186" s="2"/>
      <c r="C186" s="2" t="s">
        <v>4462</v>
      </c>
      <c r="D186" s="2">
        <v>6</v>
      </c>
      <c r="E186" s="4"/>
      <c r="F186" s="4"/>
      <c r="G186" s="4"/>
      <c r="H186" s="55"/>
      <c r="I186" s="56"/>
      <c r="J186" s="56"/>
      <c r="K186" s="78"/>
      <c r="L186" s="57"/>
      <c r="M186" s="57"/>
    </row>
    <row r="187" spans="1:13" ht="15" customHeight="1">
      <c r="A187" s="73"/>
      <c r="B187" s="2"/>
      <c r="C187" s="2" t="s">
        <v>4463</v>
      </c>
      <c r="D187" s="2">
        <v>6</v>
      </c>
      <c r="E187" s="4"/>
      <c r="F187" s="4"/>
      <c r="G187" s="4"/>
      <c r="H187" s="55"/>
      <c r="I187" s="56"/>
      <c r="J187" s="56"/>
      <c r="K187" s="78"/>
      <c r="L187" s="57"/>
      <c r="M187" s="57"/>
    </row>
    <row r="188" spans="1:13" ht="15" customHeight="1">
      <c r="A188" s="73"/>
      <c r="B188" s="2"/>
      <c r="C188" s="2" t="s">
        <v>4464</v>
      </c>
      <c r="D188" s="2">
        <v>1</v>
      </c>
      <c r="E188" s="4"/>
      <c r="F188" s="4"/>
      <c r="G188" s="4"/>
      <c r="H188" s="55"/>
      <c r="I188" s="56"/>
      <c r="J188" s="56"/>
      <c r="K188" s="78"/>
      <c r="L188" s="57"/>
      <c r="M188" s="57"/>
    </row>
    <row r="189" spans="1:13" ht="15" customHeight="1">
      <c r="A189" s="73">
        <v>44986</v>
      </c>
      <c r="B189" s="2">
        <v>16465</v>
      </c>
      <c r="C189" s="2" t="s">
        <v>4457</v>
      </c>
      <c r="D189" s="2">
        <v>1</v>
      </c>
      <c r="E189" s="4" t="s">
        <v>4465</v>
      </c>
      <c r="F189" s="4" t="s">
        <v>4301</v>
      </c>
      <c r="G189" s="4" t="s">
        <v>2077</v>
      </c>
      <c r="H189" s="55">
        <v>47680</v>
      </c>
      <c r="I189" s="56"/>
      <c r="J189" s="56"/>
      <c r="K189" s="78"/>
      <c r="L189" s="57"/>
      <c r="M189" s="57"/>
    </row>
    <row r="190" spans="1:13" ht="15" customHeight="1">
      <c r="A190" s="73">
        <v>44986</v>
      </c>
      <c r="B190" s="2">
        <v>16466</v>
      </c>
      <c r="C190" s="2" t="s">
        <v>4466</v>
      </c>
      <c r="D190" s="2">
        <v>1</v>
      </c>
      <c r="E190" s="4" t="s">
        <v>4377</v>
      </c>
      <c r="F190" s="4" t="s">
        <v>4227</v>
      </c>
      <c r="G190" s="4" t="s">
        <v>3063</v>
      </c>
      <c r="H190" s="61">
        <v>2885000</v>
      </c>
      <c r="I190" s="62"/>
      <c r="J190" s="62"/>
      <c r="K190" s="78"/>
      <c r="L190" s="57"/>
      <c r="M190" s="57"/>
    </row>
    <row r="191" spans="1:13" ht="15" customHeight="1">
      <c r="A191" s="73"/>
      <c r="B191" s="2"/>
      <c r="C191" s="2" t="s">
        <v>4467</v>
      </c>
      <c r="D191" s="2">
        <v>1</v>
      </c>
      <c r="E191" s="4"/>
      <c r="F191" s="4"/>
      <c r="G191" s="4"/>
      <c r="H191" s="55"/>
      <c r="I191" s="56"/>
      <c r="J191" s="56"/>
      <c r="K191" s="78"/>
      <c r="L191" s="57"/>
      <c r="M191" s="57"/>
    </row>
    <row r="192" spans="1:13" ht="15" customHeight="1">
      <c r="A192" s="73">
        <v>45047</v>
      </c>
      <c r="B192" s="2">
        <v>16467</v>
      </c>
      <c r="C192" s="2" t="s">
        <v>4468</v>
      </c>
      <c r="D192" s="2">
        <v>6</v>
      </c>
      <c r="E192" s="4" t="s">
        <v>4474</v>
      </c>
      <c r="F192" s="4" t="s">
        <v>4234</v>
      </c>
      <c r="G192" s="4" t="s">
        <v>2835</v>
      </c>
      <c r="H192" s="55">
        <v>911466</v>
      </c>
      <c r="I192" s="56"/>
      <c r="J192" s="56"/>
      <c r="K192" s="78"/>
      <c r="L192" s="57"/>
      <c r="M192" s="57"/>
    </row>
    <row r="193" spans="1:13" ht="15" customHeight="1">
      <c r="A193" s="73"/>
      <c r="B193" s="2"/>
      <c r="C193" s="2" t="s">
        <v>4469</v>
      </c>
      <c r="D193" s="2">
        <v>6</v>
      </c>
      <c r="E193" s="4"/>
      <c r="F193" s="4"/>
      <c r="G193" s="4"/>
      <c r="H193" s="55"/>
      <c r="I193" s="56"/>
      <c r="J193" s="56"/>
      <c r="K193" s="78"/>
      <c r="L193" s="57"/>
      <c r="M193" s="57"/>
    </row>
    <row r="194" spans="1:13" ht="15" customHeight="1">
      <c r="A194" s="73"/>
      <c r="B194" s="2"/>
      <c r="C194" s="2" t="s">
        <v>4470</v>
      </c>
      <c r="D194" s="2">
        <v>13</v>
      </c>
      <c r="E194" s="4"/>
      <c r="F194" s="4"/>
      <c r="G194" s="4"/>
      <c r="H194" s="55"/>
      <c r="I194" s="56"/>
      <c r="J194" s="56"/>
      <c r="K194" s="78"/>
      <c r="L194" s="57"/>
      <c r="M194" s="57"/>
    </row>
    <row r="195" spans="1:13" ht="15" customHeight="1">
      <c r="A195" s="73"/>
      <c r="B195" s="2"/>
      <c r="C195" s="2" t="s">
        <v>4471</v>
      </c>
      <c r="D195" s="2">
        <v>8</v>
      </c>
      <c r="E195" s="4"/>
      <c r="F195" s="4"/>
      <c r="G195" s="4"/>
      <c r="H195" s="55"/>
      <c r="I195" s="56"/>
      <c r="J195" s="56"/>
      <c r="K195" s="78"/>
      <c r="L195" s="57"/>
      <c r="M195" s="57"/>
    </row>
    <row r="196" spans="1:13" ht="15" customHeight="1">
      <c r="A196" s="73"/>
      <c r="B196" s="2"/>
      <c r="C196" s="2" t="s">
        <v>4472</v>
      </c>
      <c r="D196" s="2">
        <v>11</v>
      </c>
      <c r="E196" s="4"/>
      <c r="F196" s="4"/>
      <c r="G196" s="4"/>
      <c r="H196" s="55"/>
      <c r="I196" s="56"/>
      <c r="J196" s="56"/>
      <c r="K196" s="78"/>
      <c r="L196" s="57"/>
      <c r="M196" s="57"/>
    </row>
    <row r="197" spans="1:13" ht="15" customHeight="1">
      <c r="A197" s="73"/>
      <c r="B197" s="2"/>
      <c r="C197" s="2" t="s">
        <v>4473</v>
      </c>
      <c r="D197" s="2">
        <v>5</v>
      </c>
      <c r="E197" s="4"/>
      <c r="F197" s="4"/>
      <c r="G197" s="4"/>
      <c r="H197" s="55"/>
      <c r="I197" s="56"/>
      <c r="J197" s="56"/>
      <c r="K197" s="78"/>
      <c r="L197" s="57"/>
      <c r="M197" s="57"/>
    </row>
    <row r="198" spans="1:13" ht="15" customHeight="1">
      <c r="A198" s="73">
        <v>45047</v>
      </c>
      <c r="B198" s="2">
        <v>16468</v>
      </c>
      <c r="C198" s="2" t="s">
        <v>4475</v>
      </c>
      <c r="D198" s="2">
        <v>2</v>
      </c>
      <c r="E198" s="4" t="s">
        <v>4264</v>
      </c>
      <c r="F198" s="4" t="s">
        <v>4301</v>
      </c>
      <c r="G198" s="4" t="s">
        <v>2990</v>
      </c>
      <c r="H198" s="55">
        <v>32100</v>
      </c>
      <c r="I198" s="56"/>
      <c r="J198" s="56"/>
      <c r="K198" s="78"/>
      <c r="L198" s="57"/>
      <c r="M198" s="57"/>
    </row>
    <row r="199" spans="1:13" ht="15" customHeight="1">
      <c r="A199" s="73"/>
      <c r="B199" s="2"/>
      <c r="C199" s="2" t="s">
        <v>4476</v>
      </c>
      <c r="D199" s="2">
        <v>1</v>
      </c>
      <c r="E199" s="4"/>
      <c r="F199" s="4"/>
      <c r="G199" s="4"/>
      <c r="H199" s="55"/>
      <c r="I199" s="56"/>
      <c r="J199" s="56"/>
      <c r="K199" s="78"/>
      <c r="L199" s="57"/>
      <c r="M199" s="57"/>
    </row>
    <row r="200" spans="1:13" ht="15" customHeight="1">
      <c r="A200" s="73"/>
      <c r="B200" s="2"/>
      <c r="C200" s="2" t="s">
        <v>4477</v>
      </c>
      <c r="D200" s="2">
        <v>5</v>
      </c>
      <c r="E200" s="4"/>
      <c r="F200" s="4"/>
      <c r="G200" s="4"/>
      <c r="H200" s="55"/>
      <c r="I200" s="56"/>
      <c r="J200" s="56"/>
      <c r="K200" s="78"/>
      <c r="L200" s="57"/>
      <c r="M200" s="57"/>
    </row>
    <row r="201" spans="1:13" ht="15" customHeight="1">
      <c r="A201" s="73"/>
      <c r="B201" s="2"/>
      <c r="C201" s="2" t="s">
        <v>4478</v>
      </c>
      <c r="D201" s="2">
        <v>9</v>
      </c>
      <c r="E201" s="4"/>
      <c r="F201" s="4"/>
      <c r="G201" s="4"/>
      <c r="H201" s="55"/>
      <c r="I201" s="56"/>
      <c r="J201" s="56"/>
      <c r="K201" s="78"/>
      <c r="L201" s="57"/>
      <c r="M201" s="57"/>
    </row>
    <row r="202" spans="1:13" ht="15" customHeight="1">
      <c r="A202" s="73"/>
      <c r="B202" s="2"/>
      <c r="C202" s="2" t="s">
        <v>4479</v>
      </c>
      <c r="D202" s="2">
        <v>4</v>
      </c>
      <c r="E202" s="4"/>
      <c r="F202" s="4"/>
      <c r="G202" s="4"/>
      <c r="H202" s="55"/>
      <c r="I202" s="56"/>
      <c r="J202" s="56"/>
      <c r="K202" s="78"/>
      <c r="L202" s="57"/>
      <c r="M202" s="57"/>
    </row>
    <row r="203" spans="1:13" ht="15" customHeight="1">
      <c r="A203" s="73">
        <v>45078</v>
      </c>
      <c r="B203" s="2">
        <v>16469</v>
      </c>
      <c r="C203" s="2" t="s">
        <v>4372</v>
      </c>
      <c r="D203" s="2">
        <v>1</v>
      </c>
      <c r="E203" s="4" t="s">
        <v>4264</v>
      </c>
      <c r="F203" s="4" t="s">
        <v>4301</v>
      </c>
      <c r="G203" s="4" t="s">
        <v>4374</v>
      </c>
      <c r="H203" s="55">
        <v>55900</v>
      </c>
      <c r="I203" s="56"/>
      <c r="J203" s="56"/>
      <c r="K203" s="78"/>
      <c r="L203" s="57"/>
      <c r="M203" s="57"/>
    </row>
    <row r="204" spans="1:13" ht="15" customHeight="1">
      <c r="A204" s="73">
        <v>45078</v>
      </c>
      <c r="B204" s="2">
        <v>16470</v>
      </c>
      <c r="C204" s="2" t="s">
        <v>4480</v>
      </c>
      <c r="D204" s="2">
        <v>1</v>
      </c>
      <c r="E204" s="4" t="s">
        <v>4264</v>
      </c>
      <c r="F204" s="4" t="s">
        <v>4301</v>
      </c>
      <c r="G204" s="4" t="s">
        <v>3883</v>
      </c>
      <c r="H204" s="55">
        <v>53456.5</v>
      </c>
      <c r="I204" s="56"/>
      <c r="J204" s="56"/>
      <c r="K204" s="78"/>
      <c r="L204" s="57"/>
      <c r="M204" s="57"/>
    </row>
    <row r="205" spans="1:13" ht="15" customHeight="1">
      <c r="A205" s="73">
        <v>45078</v>
      </c>
      <c r="B205" s="2">
        <v>16471</v>
      </c>
      <c r="C205" s="2" t="s">
        <v>4481</v>
      </c>
      <c r="D205" s="2">
        <v>1</v>
      </c>
      <c r="E205" s="4" t="s">
        <v>4218</v>
      </c>
      <c r="F205" s="4" t="s">
        <v>4227</v>
      </c>
      <c r="G205" s="4" t="s">
        <v>3270</v>
      </c>
      <c r="H205" s="61">
        <v>147938.40625</v>
      </c>
      <c r="I205" s="62"/>
      <c r="J205" s="62"/>
      <c r="K205" s="78"/>
      <c r="L205" s="57"/>
      <c r="M205" s="57"/>
    </row>
    <row r="206" spans="1:13" ht="15" customHeight="1">
      <c r="A206" s="73">
        <v>45231</v>
      </c>
      <c r="B206" s="2">
        <v>16472</v>
      </c>
      <c r="C206" s="2" t="s">
        <v>4372</v>
      </c>
      <c r="D206" s="2">
        <v>1</v>
      </c>
      <c r="E206" s="4" t="s">
        <v>4264</v>
      </c>
      <c r="F206" s="4" t="s">
        <v>4301</v>
      </c>
      <c r="G206" s="4" t="s">
        <v>4049</v>
      </c>
      <c r="H206" s="55">
        <v>63300</v>
      </c>
      <c r="I206" s="56"/>
      <c r="J206" s="56"/>
      <c r="K206" s="78"/>
      <c r="L206" s="57"/>
      <c r="M206" s="57"/>
    </row>
    <row r="207" spans="1:13" ht="15" customHeight="1">
      <c r="A207" s="73">
        <v>45231</v>
      </c>
      <c r="B207" s="2">
        <v>16473</v>
      </c>
      <c r="C207" s="2" t="s">
        <v>4482</v>
      </c>
      <c r="D207" s="2">
        <v>1</v>
      </c>
      <c r="E207" s="4" t="s">
        <v>4264</v>
      </c>
      <c r="F207" s="4" t="s">
        <v>4301</v>
      </c>
      <c r="G207" s="4" t="s">
        <v>2620</v>
      </c>
      <c r="H207" s="55">
        <v>62500</v>
      </c>
      <c r="I207" s="56"/>
      <c r="J207" s="56"/>
      <c r="K207" s="78"/>
      <c r="L207" s="57"/>
      <c r="M207" s="57"/>
    </row>
    <row r="208" spans="1:13" ht="15" customHeight="1">
      <c r="A208" s="73">
        <v>45231</v>
      </c>
      <c r="B208" s="2">
        <v>16474</v>
      </c>
      <c r="C208" s="2" t="s">
        <v>4483</v>
      </c>
      <c r="D208" s="2">
        <v>1</v>
      </c>
      <c r="E208" s="4" t="s">
        <v>4264</v>
      </c>
      <c r="F208" s="4" t="s">
        <v>4207</v>
      </c>
      <c r="G208" s="4" t="s">
        <v>2620</v>
      </c>
      <c r="H208" s="55">
        <v>11200</v>
      </c>
      <c r="I208" s="56"/>
      <c r="J208" s="56"/>
      <c r="K208" s="78"/>
      <c r="L208" s="57"/>
      <c r="M208" s="57"/>
    </row>
    <row r="209" spans="1:13" ht="15" customHeight="1">
      <c r="A209" s="73">
        <v>45231</v>
      </c>
      <c r="B209" s="2">
        <v>16475</v>
      </c>
      <c r="C209" s="2" t="s">
        <v>4484</v>
      </c>
      <c r="D209" s="2">
        <v>4</v>
      </c>
      <c r="E209" s="4" t="s">
        <v>4264</v>
      </c>
      <c r="F209" s="4" t="s">
        <v>4207</v>
      </c>
      <c r="G209" s="4" t="s">
        <v>3830</v>
      </c>
      <c r="H209" s="55">
        <v>52317.4296875</v>
      </c>
      <c r="I209" s="56"/>
      <c r="J209" s="56"/>
      <c r="K209" s="78"/>
      <c r="L209" s="57"/>
      <c r="M209" s="57"/>
    </row>
    <row r="210" spans="1:13" ht="15" customHeight="1">
      <c r="A210" s="73"/>
      <c r="B210" s="2"/>
      <c r="C210" s="2" t="s">
        <v>4484</v>
      </c>
      <c r="D210" s="2">
        <v>2</v>
      </c>
      <c r="E210" s="4"/>
      <c r="F210" s="4"/>
      <c r="G210" s="4"/>
      <c r="H210" s="55"/>
      <c r="I210" s="56"/>
      <c r="J210" s="56"/>
      <c r="K210" s="78"/>
      <c r="L210" s="57"/>
      <c r="M210" s="57"/>
    </row>
    <row r="211" spans="1:13" ht="15" customHeight="1">
      <c r="A211" s="73"/>
      <c r="B211" s="2"/>
      <c r="C211" s="2" t="s">
        <v>4485</v>
      </c>
      <c r="D211" s="2">
        <v>4</v>
      </c>
      <c r="E211" s="4"/>
      <c r="F211" s="4"/>
      <c r="G211" s="4"/>
      <c r="H211" s="55"/>
      <c r="I211" s="56"/>
      <c r="J211" s="56"/>
      <c r="K211" s="78"/>
      <c r="L211" s="57"/>
      <c r="M211" s="57"/>
    </row>
    <row r="212" spans="1:13" ht="15" customHeight="1">
      <c r="A212" s="73"/>
      <c r="B212" s="2"/>
      <c r="C212" s="2" t="s">
        <v>4486</v>
      </c>
      <c r="D212" s="2">
        <v>4</v>
      </c>
      <c r="E212" s="4"/>
      <c r="F212" s="4"/>
      <c r="G212" s="4"/>
      <c r="H212" s="55"/>
      <c r="I212" s="56"/>
      <c r="J212" s="56"/>
      <c r="K212" s="78"/>
      <c r="L212" s="57"/>
      <c r="M212" s="57"/>
    </row>
    <row r="213" spans="1:13" ht="15" customHeight="1">
      <c r="A213" s="73"/>
      <c r="B213" s="2"/>
      <c r="C213" s="2" t="s">
        <v>4487</v>
      </c>
      <c r="D213" s="2">
        <v>5</v>
      </c>
      <c r="E213" s="4"/>
      <c r="F213" s="4"/>
      <c r="G213" s="4"/>
      <c r="H213" s="55"/>
      <c r="I213" s="56"/>
      <c r="J213" s="56"/>
      <c r="K213" s="78"/>
      <c r="L213" s="57"/>
      <c r="M213" s="57"/>
    </row>
    <row r="214" spans="1:13" ht="15" customHeight="1">
      <c r="A214" s="73"/>
      <c r="B214" s="2"/>
      <c r="C214" s="2" t="s">
        <v>4488</v>
      </c>
      <c r="D214" s="2">
        <v>10</v>
      </c>
      <c r="E214" s="4"/>
      <c r="F214" s="4"/>
      <c r="G214" s="4"/>
      <c r="H214" s="55"/>
      <c r="I214" s="56"/>
      <c r="J214" s="56"/>
      <c r="K214" s="78"/>
      <c r="L214" s="57"/>
      <c r="M214" s="57"/>
    </row>
    <row r="215" spans="1:13" ht="15" customHeight="1">
      <c r="A215" s="73">
        <v>45261</v>
      </c>
      <c r="B215" s="2">
        <v>16476</v>
      </c>
      <c r="C215" s="2" t="s">
        <v>4489</v>
      </c>
      <c r="D215" s="2">
        <v>15</v>
      </c>
      <c r="E215" s="4" t="s">
        <v>4246</v>
      </c>
      <c r="F215" s="4" t="s">
        <v>4211</v>
      </c>
      <c r="G215" s="4" t="s">
        <v>655</v>
      </c>
      <c r="H215" s="55">
        <v>20950.349609375</v>
      </c>
      <c r="I215" s="56"/>
      <c r="J215" s="56"/>
      <c r="K215" s="78"/>
      <c r="L215" s="57"/>
      <c r="M215" s="57"/>
    </row>
    <row r="216" spans="1:13" ht="15" customHeight="1">
      <c r="A216" s="73" t="s">
        <v>4492</v>
      </c>
      <c r="B216" s="2">
        <v>16477</v>
      </c>
      <c r="C216" s="2" t="s">
        <v>4430</v>
      </c>
      <c r="D216" s="2">
        <v>2</v>
      </c>
      <c r="E216" s="4" t="s">
        <v>4310</v>
      </c>
      <c r="F216" s="4" t="s">
        <v>4366</v>
      </c>
      <c r="G216" s="4" t="s">
        <v>3547</v>
      </c>
      <c r="H216" s="55">
        <v>6413.580078125</v>
      </c>
      <c r="I216" s="56"/>
      <c r="J216" s="56"/>
      <c r="K216" s="78"/>
      <c r="L216" s="57"/>
      <c r="M216" s="57"/>
    </row>
    <row r="217" spans="1:13" ht="15" customHeight="1">
      <c r="A217" s="73"/>
      <c r="B217" s="2"/>
      <c r="C217" s="2" t="s">
        <v>4490</v>
      </c>
      <c r="D217" s="2">
        <v>6</v>
      </c>
      <c r="E217" s="4"/>
      <c r="F217" s="4"/>
      <c r="G217" s="4"/>
      <c r="H217" s="55"/>
      <c r="I217" s="56"/>
      <c r="J217" s="56"/>
      <c r="K217" s="78"/>
      <c r="L217" s="57"/>
      <c r="M217" s="57"/>
    </row>
    <row r="218" spans="1:13" ht="15" customHeight="1">
      <c r="A218" s="73"/>
      <c r="B218" s="2"/>
      <c r="C218" s="2" t="s">
        <v>4491</v>
      </c>
      <c r="D218" s="2">
        <v>4</v>
      </c>
      <c r="E218" s="4"/>
      <c r="F218" s="4"/>
      <c r="G218" s="4"/>
      <c r="H218" s="55"/>
      <c r="I218" s="56"/>
      <c r="J218" s="56"/>
      <c r="K218" s="78"/>
      <c r="L218" s="57"/>
      <c r="M218" s="57"/>
    </row>
    <row r="219" spans="1:13" ht="15" customHeight="1">
      <c r="A219" s="73" t="s">
        <v>4496</v>
      </c>
      <c r="B219" s="2">
        <v>16478</v>
      </c>
      <c r="C219" s="2" t="s">
        <v>4378</v>
      </c>
      <c r="D219" s="2">
        <v>20</v>
      </c>
      <c r="E219" s="4" t="s">
        <v>4215</v>
      </c>
      <c r="F219" s="4" t="s">
        <v>4212</v>
      </c>
      <c r="G219" s="4" t="s">
        <v>4200</v>
      </c>
      <c r="H219" s="55">
        <v>67273.359375</v>
      </c>
      <c r="I219" s="56"/>
      <c r="J219" s="56"/>
      <c r="K219" s="78"/>
      <c r="L219" s="57"/>
      <c r="M219" s="57"/>
    </row>
    <row r="220" spans="1:13" ht="15" customHeight="1">
      <c r="A220" s="73"/>
      <c r="B220" s="2"/>
      <c r="C220" s="2" t="s">
        <v>4493</v>
      </c>
      <c r="D220" s="2">
        <v>3</v>
      </c>
      <c r="E220" s="4"/>
      <c r="F220" s="4"/>
      <c r="G220" s="4"/>
      <c r="H220" s="55"/>
      <c r="I220" s="56"/>
      <c r="J220" s="56"/>
      <c r="K220" s="78"/>
      <c r="L220" s="57"/>
      <c r="M220" s="57"/>
    </row>
    <row r="221" spans="1:13" ht="15" customHeight="1">
      <c r="A221" s="73"/>
      <c r="B221" s="2"/>
      <c r="C221" s="2" t="s">
        <v>4494</v>
      </c>
      <c r="D221" s="2">
        <v>1</v>
      </c>
      <c r="E221" s="4"/>
      <c r="F221" s="4"/>
      <c r="G221" s="4"/>
      <c r="H221" s="55"/>
      <c r="I221" s="56"/>
      <c r="J221" s="56"/>
      <c r="K221" s="78"/>
      <c r="L221" s="57"/>
      <c r="M221" s="57"/>
    </row>
    <row r="222" spans="1:13" ht="15" customHeight="1">
      <c r="A222" s="73"/>
      <c r="B222" s="2"/>
      <c r="C222" s="2" t="s">
        <v>4495</v>
      </c>
      <c r="D222" s="2">
        <v>2</v>
      </c>
      <c r="E222" s="4"/>
      <c r="F222" s="4"/>
      <c r="G222" s="4"/>
      <c r="H222" s="55"/>
      <c r="I222" s="56"/>
      <c r="J222" s="56"/>
      <c r="K222" s="78"/>
      <c r="L222" s="57"/>
      <c r="M222" s="57"/>
    </row>
    <row r="223" spans="1:13" ht="15" customHeight="1">
      <c r="A223" s="73" t="s">
        <v>4496</v>
      </c>
      <c r="B223" s="2">
        <v>16479</v>
      </c>
      <c r="C223" s="2" t="s">
        <v>4497</v>
      </c>
      <c r="D223" s="2">
        <v>6</v>
      </c>
      <c r="E223" s="4" t="s">
        <v>4498</v>
      </c>
      <c r="F223" s="4" t="s">
        <v>4259</v>
      </c>
      <c r="G223" s="4" t="s">
        <v>3265</v>
      </c>
      <c r="H223" s="55">
        <v>254845.5625</v>
      </c>
      <c r="I223" s="56"/>
      <c r="J223" s="56"/>
      <c r="K223" s="78"/>
      <c r="L223" s="57"/>
      <c r="M223" s="57"/>
    </row>
    <row r="224" spans="1:13" ht="15" customHeight="1">
      <c r="A224" s="73" t="s">
        <v>4496</v>
      </c>
      <c r="B224" s="2">
        <v>16480</v>
      </c>
      <c r="C224" s="2" t="s">
        <v>4499</v>
      </c>
      <c r="D224" s="2">
        <v>2</v>
      </c>
      <c r="E224" s="4" t="s">
        <v>4218</v>
      </c>
      <c r="F224" s="4" t="s">
        <v>4259</v>
      </c>
      <c r="G224" s="4" t="s">
        <v>2776</v>
      </c>
      <c r="H224" s="61">
        <v>178837.59375</v>
      </c>
      <c r="I224" s="62"/>
      <c r="J224" s="62"/>
      <c r="K224" s="78"/>
      <c r="L224" s="57"/>
      <c r="M224" s="57"/>
    </row>
    <row r="225" spans="1:13" ht="15" customHeight="1">
      <c r="A225" s="73" t="s">
        <v>4496</v>
      </c>
      <c r="B225" s="2">
        <v>16481</v>
      </c>
      <c r="C225" s="2" t="s">
        <v>4501</v>
      </c>
      <c r="D225" s="2">
        <v>20</v>
      </c>
      <c r="E225" s="4" t="s">
        <v>4498</v>
      </c>
      <c r="F225" s="4" t="s">
        <v>4259</v>
      </c>
      <c r="G225" s="4" t="s">
        <v>3265</v>
      </c>
      <c r="H225" s="55">
        <v>0</v>
      </c>
      <c r="I225" s="56"/>
      <c r="J225" s="56"/>
      <c r="K225" s="78"/>
      <c r="L225" s="57"/>
      <c r="M225" s="57"/>
    </row>
    <row r="226" spans="1:13" ht="15" customHeight="1">
      <c r="A226" s="73"/>
      <c r="B226" s="2"/>
      <c r="C226" s="2" t="s">
        <v>4500</v>
      </c>
      <c r="D226" s="2">
        <v>2</v>
      </c>
      <c r="E226" s="4"/>
      <c r="F226" s="4"/>
      <c r="G226" s="4"/>
      <c r="H226" s="55"/>
      <c r="I226" s="56"/>
      <c r="J226" s="56"/>
      <c r="K226" s="78"/>
      <c r="L226" s="57"/>
      <c r="M226" s="57"/>
    </row>
    <row r="227" spans="1:13" ht="15" customHeight="1">
      <c r="A227" s="73" t="s">
        <v>4506</v>
      </c>
      <c r="B227" s="2">
        <v>16482</v>
      </c>
      <c r="C227" s="2" t="s">
        <v>4502</v>
      </c>
      <c r="D227" s="2">
        <v>20</v>
      </c>
      <c r="E227" s="4" t="s">
        <v>4498</v>
      </c>
      <c r="F227" s="4" t="s">
        <v>4259</v>
      </c>
      <c r="G227" s="4" t="s">
        <v>3265</v>
      </c>
      <c r="H227" s="55">
        <v>258809.84375</v>
      </c>
      <c r="I227" s="56"/>
      <c r="J227" s="56"/>
      <c r="K227" s="78"/>
      <c r="L227" s="57"/>
      <c r="M227" s="57"/>
    </row>
    <row r="228" spans="1:13" ht="15" customHeight="1">
      <c r="A228" s="73"/>
      <c r="B228" s="2"/>
      <c r="C228" s="2" t="s">
        <v>4503</v>
      </c>
      <c r="D228" s="2">
        <v>2</v>
      </c>
      <c r="E228" s="4"/>
      <c r="F228" s="4"/>
      <c r="G228" s="4"/>
      <c r="H228" s="55"/>
      <c r="I228" s="56"/>
      <c r="J228" s="56"/>
      <c r="K228" s="78"/>
      <c r="L228" s="57"/>
      <c r="M228" s="57"/>
    </row>
    <row r="229" spans="1:13" ht="15" customHeight="1">
      <c r="A229" s="73"/>
      <c r="B229" s="2"/>
      <c r="C229" s="2" t="s">
        <v>4504</v>
      </c>
      <c r="D229" s="2">
        <v>6</v>
      </c>
      <c r="E229" s="4"/>
      <c r="F229" s="4"/>
      <c r="G229" s="4"/>
      <c r="H229" s="55"/>
      <c r="I229" s="56"/>
      <c r="J229" s="56"/>
      <c r="K229" s="78"/>
      <c r="L229" s="57"/>
      <c r="M229" s="57"/>
    </row>
    <row r="230" spans="1:13" ht="15" customHeight="1">
      <c r="A230" s="73"/>
      <c r="B230" s="2"/>
      <c r="C230" s="2" t="s">
        <v>4505</v>
      </c>
      <c r="D230" s="2">
        <v>2</v>
      </c>
      <c r="E230" s="4"/>
      <c r="F230" s="4"/>
      <c r="G230" s="4"/>
      <c r="H230" s="55"/>
      <c r="I230" s="56"/>
      <c r="J230" s="56"/>
      <c r="K230" s="78"/>
      <c r="L230" s="57"/>
      <c r="M230" s="57"/>
    </row>
    <row r="231" spans="1:13" ht="15" customHeight="1">
      <c r="A231" s="73" t="s">
        <v>4506</v>
      </c>
      <c r="B231" s="2">
        <v>16483</v>
      </c>
      <c r="C231" s="2" t="s">
        <v>4507</v>
      </c>
      <c r="D231" s="2">
        <v>2</v>
      </c>
      <c r="E231" s="4" t="s">
        <v>4498</v>
      </c>
      <c r="F231" s="4" t="s">
        <v>4259</v>
      </c>
      <c r="G231" s="4" t="s">
        <v>3265</v>
      </c>
      <c r="H231" s="55">
        <v>0</v>
      </c>
      <c r="I231" s="56"/>
      <c r="J231" s="56"/>
      <c r="K231" s="78"/>
      <c r="L231" s="57"/>
      <c r="M231" s="57"/>
    </row>
    <row r="232" spans="1:13" ht="15" customHeight="1">
      <c r="A232" s="73" t="s">
        <v>4514</v>
      </c>
      <c r="B232" s="2">
        <v>16484</v>
      </c>
      <c r="C232" s="2" t="s">
        <v>4513</v>
      </c>
      <c r="D232" s="2">
        <v>5</v>
      </c>
      <c r="E232" s="4" t="s">
        <v>4264</v>
      </c>
      <c r="F232" s="4" t="s">
        <v>4207</v>
      </c>
      <c r="G232" s="4" t="s">
        <v>4508</v>
      </c>
      <c r="H232" s="55">
        <v>75535</v>
      </c>
      <c r="I232" s="56"/>
      <c r="J232" s="56"/>
      <c r="K232" s="78"/>
      <c r="L232" s="57"/>
      <c r="M232" s="57"/>
    </row>
    <row r="233" spans="1:13" ht="15" customHeight="1">
      <c r="A233" s="73"/>
      <c r="B233" s="2"/>
      <c r="C233" s="2" t="s">
        <v>4511</v>
      </c>
      <c r="D233" s="2">
        <v>6</v>
      </c>
      <c r="E233" s="4"/>
      <c r="F233" s="4"/>
      <c r="G233" s="4"/>
      <c r="H233" s="55"/>
      <c r="I233" s="56"/>
      <c r="J233" s="56"/>
      <c r="K233" s="78"/>
      <c r="L233" s="57"/>
      <c r="M233" s="57"/>
    </row>
    <row r="234" spans="1:13" ht="15" customHeight="1">
      <c r="A234" s="73"/>
      <c r="B234" s="2"/>
      <c r="C234" s="2" t="s">
        <v>4512</v>
      </c>
      <c r="D234" s="2">
        <v>2</v>
      </c>
      <c r="E234" s="4"/>
      <c r="F234" s="4"/>
      <c r="G234" s="4"/>
      <c r="H234" s="55"/>
      <c r="I234" s="56"/>
      <c r="J234" s="56"/>
      <c r="K234" s="78"/>
      <c r="L234" s="57"/>
      <c r="M234" s="57"/>
    </row>
    <row r="235" spans="1:13" ht="15" customHeight="1">
      <c r="A235" s="73" t="s">
        <v>4514</v>
      </c>
      <c r="B235" s="2">
        <v>16485</v>
      </c>
      <c r="C235" s="2" t="s">
        <v>4515</v>
      </c>
      <c r="D235" s="2">
        <v>2</v>
      </c>
      <c r="E235" s="4" t="s">
        <v>4498</v>
      </c>
      <c r="F235" s="4" t="s">
        <v>4259</v>
      </c>
      <c r="G235" s="4" t="s">
        <v>3265</v>
      </c>
      <c r="H235" s="55">
        <v>0</v>
      </c>
      <c r="I235" s="56"/>
      <c r="J235" s="56"/>
      <c r="K235" s="78"/>
      <c r="L235" s="57"/>
      <c r="M235" s="57"/>
    </row>
    <row r="236" spans="1:13" ht="15" customHeight="1">
      <c r="A236" s="73" t="s">
        <v>4514</v>
      </c>
      <c r="B236" s="2">
        <v>16486</v>
      </c>
      <c r="C236" s="2" t="s">
        <v>4516</v>
      </c>
      <c r="D236" s="2">
        <v>5</v>
      </c>
      <c r="E236" s="4" t="s">
        <v>4264</v>
      </c>
      <c r="F236" s="4" t="s">
        <v>4207</v>
      </c>
      <c r="G236" s="4" t="s">
        <v>338</v>
      </c>
      <c r="H236" s="55">
        <v>37395</v>
      </c>
      <c r="I236" s="56"/>
      <c r="J236" s="56"/>
      <c r="K236" s="78"/>
      <c r="L236" s="57"/>
      <c r="M236" s="57"/>
    </row>
    <row r="237" spans="1:13" ht="15" customHeight="1">
      <c r="A237" s="73"/>
      <c r="B237" s="2"/>
      <c r="C237" s="2" t="s">
        <v>4516</v>
      </c>
      <c r="D237" s="2">
        <v>1</v>
      </c>
      <c r="E237" s="4"/>
      <c r="F237" s="4"/>
      <c r="G237" s="4"/>
      <c r="H237" s="55"/>
      <c r="I237" s="56"/>
      <c r="J237" s="56"/>
      <c r="K237" s="78"/>
      <c r="L237" s="57"/>
      <c r="M237" s="57"/>
    </row>
    <row r="238" spans="1:13" ht="15" customHeight="1">
      <c r="A238" s="73" t="s">
        <v>4522</v>
      </c>
      <c r="B238" s="2">
        <v>16487</v>
      </c>
      <c r="C238" s="2" t="s">
        <v>4517</v>
      </c>
      <c r="D238" s="2">
        <v>1</v>
      </c>
      <c r="E238" s="4" t="s">
        <v>4264</v>
      </c>
      <c r="F238" s="4" t="s">
        <v>4207</v>
      </c>
      <c r="G238" s="4" t="s">
        <v>3411</v>
      </c>
      <c r="H238" s="55">
        <v>15239.6796875</v>
      </c>
      <c r="I238" s="56"/>
      <c r="J238" s="56"/>
      <c r="K238" s="78"/>
      <c r="L238" s="57"/>
      <c r="M238" s="57"/>
    </row>
    <row r="239" spans="1:13" ht="15" customHeight="1">
      <c r="A239" s="73"/>
      <c r="B239" s="2"/>
      <c r="C239" s="2" t="s">
        <v>4518</v>
      </c>
      <c r="D239" s="2">
        <v>1</v>
      </c>
      <c r="E239" s="4"/>
      <c r="F239" s="4"/>
      <c r="G239" s="4"/>
      <c r="H239" s="55"/>
      <c r="I239" s="56"/>
      <c r="J239" s="56"/>
      <c r="K239" s="78"/>
      <c r="L239" s="57"/>
      <c r="M239" s="57"/>
    </row>
    <row r="240" spans="1:13" ht="15" customHeight="1">
      <c r="A240" s="73"/>
      <c r="B240" s="2"/>
      <c r="C240" s="2" t="s">
        <v>4519</v>
      </c>
      <c r="D240" s="2">
        <v>1</v>
      </c>
      <c r="E240" s="4"/>
      <c r="F240" s="4"/>
      <c r="G240" s="4"/>
      <c r="H240" s="55"/>
      <c r="I240" s="56"/>
      <c r="J240" s="56"/>
      <c r="K240" s="78"/>
      <c r="L240" s="57"/>
      <c r="M240" s="57"/>
    </row>
    <row r="241" spans="1:13" ht="15" customHeight="1">
      <c r="A241" s="73"/>
      <c r="B241" s="2"/>
      <c r="C241" s="2" t="s">
        <v>4520</v>
      </c>
      <c r="D241" s="2">
        <v>8</v>
      </c>
      <c r="E241" s="4"/>
      <c r="F241" s="4"/>
      <c r="G241" s="4"/>
      <c r="H241" s="55"/>
      <c r="I241" s="56"/>
      <c r="J241" s="56"/>
      <c r="K241" s="78"/>
      <c r="L241" s="57"/>
      <c r="M241" s="57"/>
    </row>
    <row r="242" spans="1:13" ht="15" customHeight="1">
      <c r="A242" s="73"/>
      <c r="B242" s="2"/>
      <c r="C242" s="2" t="s">
        <v>4521</v>
      </c>
      <c r="D242" s="2">
        <v>1</v>
      </c>
      <c r="E242" s="4"/>
      <c r="F242" s="4"/>
      <c r="G242" s="4"/>
      <c r="H242" s="55"/>
      <c r="I242" s="56"/>
      <c r="J242" s="56"/>
      <c r="K242" s="78"/>
      <c r="L242" s="57"/>
      <c r="M242" s="57"/>
    </row>
    <row r="243" spans="1:13" ht="15" customHeight="1">
      <c r="A243" s="73"/>
      <c r="B243" s="2"/>
      <c r="C243" s="2" t="s">
        <v>4521</v>
      </c>
      <c r="D243" s="2">
        <v>1</v>
      </c>
      <c r="E243" s="4"/>
      <c r="F243" s="4"/>
      <c r="G243" s="4"/>
      <c r="H243" s="55"/>
      <c r="I243" s="56"/>
      <c r="J243" s="56"/>
      <c r="K243" s="78"/>
      <c r="L243" s="57"/>
      <c r="M243" s="57"/>
    </row>
    <row r="244" spans="1:13" ht="15" customHeight="1">
      <c r="A244" s="73" t="s">
        <v>4522</v>
      </c>
      <c r="B244" s="2">
        <v>16487</v>
      </c>
      <c r="C244" s="2" t="s">
        <v>4517</v>
      </c>
      <c r="D244" s="2">
        <v>1</v>
      </c>
      <c r="E244" s="4" t="s">
        <v>4264</v>
      </c>
      <c r="F244" s="4" t="s">
        <v>4207</v>
      </c>
      <c r="G244" s="4" t="s">
        <v>3411</v>
      </c>
      <c r="H244" s="55">
        <v>15239.6796875</v>
      </c>
      <c r="I244" s="56"/>
      <c r="J244" s="56"/>
      <c r="K244" s="78"/>
      <c r="L244" s="57"/>
      <c r="M244" s="57"/>
    </row>
    <row r="245" spans="1:13" ht="15" customHeight="1">
      <c r="A245" s="73"/>
      <c r="B245" s="2"/>
      <c r="C245" s="2" t="s">
        <v>4518</v>
      </c>
      <c r="D245" s="2">
        <v>1</v>
      </c>
      <c r="E245" s="4"/>
      <c r="F245" s="4"/>
      <c r="G245" s="4"/>
      <c r="H245" s="55"/>
      <c r="I245" s="56"/>
      <c r="J245" s="56"/>
      <c r="K245" s="78"/>
      <c r="L245" s="57"/>
      <c r="M245" s="57"/>
    </row>
    <row r="246" spans="1:13" ht="15" customHeight="1">
      <c r="A246" s="73"/>
      <c r="B246" s="2"/>
      <c r="C246" s="2" t="s">
        <v>4519</v>
      </c>
      <c r="D246" s="2">
        <v>1</v>
      </c>
      <c r="E246" s="4"/>
      <c r="F246" s="4"/>
      <c r="G246" s="4"/>
      <c r="H246" s="55"/>
      <c r="I246" s="56"/>
      <c r="J246" s="56"/>
      <c r="K246" s="78"/>
      <c r="L246" s="57"/>
      <c r="M246" s="57"/>
    </row>
    <row r="247" spans="1:13" ht="15" customHeight="1">
      <c r="A247" s="73"/>
      <c r="B247" s="2"/>
      <c r="C247" s="2" t="s">
        <v>4520</v>
      </c>
      <c r="D247" s="2">
        <v>8</v>
      </c>
      <c r="E247" s="4"/>
      <c r="F247" s="4"/>
      <c r="G247" s="4"/>
      <c r="H247" s="55"/>
      <c r="I247" s="56"/>
      <c r="J247" s="56"/>
      <c r="K247" s="78"/>
      <c r="L247" s="57"/>
      <c r="M247" s="57"/>
    </row>
    <row r="248" spans="1:13" ht="15" customHeight="1">
      <c r="A248" s="73"/>
      <c r="B248" s="2"/>
      <c r="C248" s="2" t="s">
        <v>4521</v>
      </c>
      <c r="D248" s="2">
        <v>1</v>
      </c>
      <c r="E248" s="4"/>
      <c r="F248" s="4"/>
      <c r="G248" s="4"/>
      <c r="H248" s="55"/>
      <c r="I248" s="56"/>
      <c r="J248" s="56"/>
      <c r="K248" s="78"/>
      <c r="L248" s="57"/>
      <c r="M248" s="57"/>
    </row>
    <row r="249" spans="1:13" ht="15" customHeight="1">
      <c r="A249" s="73"/>
      <c r="B249" s="2"/>
      <c r="C249" s="2" t="s">
        <v>4521</v>
      </c>
      <c r="D249" s="2">
        <v>1</v>
      </c>
      <c r="E249" s="4"/>
      <c r="F249" s="4"/>
      <c r="G249" s="4"/>
      <c r="H249" s="55"/>
      <c r="I249" s="56"/>
      <c r="J249" s="56"/>
      <c r="K249" s="78"/>
      <c r="L249" s="57"/>
      <c r="M249" s="57"/>
    </row>
    <row r="250" spans="1:13" ht="15" customHeight="1">
      <c r="A250" s="73" t="s">
        <v>4522</v>
      </c>
      <c r="B250" s="2">
        <v>16487</v>
      </c>
      <c r="C250" s="2" t="s">
        <v>4517</v>
      </c>
      <c r="D250" s="2">
        <v>1</v>
      </c>
      <c r="E250" s="4" t="s">
        <v>4264</v>
      </c>
      <c r="F250" s="4" t="s">
        <v>4207</v>
      </c>
      <c r="G250" s="4" t="s">
        <v>3411</v>
      </c>
      <c r="H250" s="55">
        <v>15239.6796875</v>
      </c>
      <c r="I250" s="56"/>
      <c r="J250" s="56"/>
      <c r="K250" s="78"/>
      <c r="L250" s="57"/>
      <c r="M250" s="57"/>
    </row>
    <row r="251" spans="1:13" ht="15" customHeight="1">
      <c r="A251" s="73"/>
      <c r="B251" s="2"/>
      <c r="C251" s="2" t="s">
        <v>4518</v>
      </c>
      <c r="D251" s="2">
        <v>1</v>
      </c>
      <c r="E251" s="4"/>
      <c r="F251" s="4"/>
      <c r="G251" s="4"/>
      <c r="H251" s="55"/>
      <c r="I251" s="56"/>
      <c r="J251" s="56"/>
      <c r="K251" s="78"/>
      <c r="L251" s="57"/>
      <c r="M251" s="57"/>
    </row>
    <row r="252" spans="1:13" ht="15" customHeight="1">
      <c r="A252" s="73"/>
      <c r="B252" s="2"/>
      <c r="C252" s="2" t="s">
        <v>4519</v>
      </c>
      <c r="D252" s="2">
        <v>1</v>
      </c>
      <c r="E252" s="4"/>
      <c r="F252" s="4"/>
      <c r="G252" s="4"/>
      <c r="H252" s="55"/>
      <c r="I252" s="56"/>
      <c r="J252" s="56"/>
      <c r="K252" s="78"/>
      <c r="L252" s="57"/>
      <c r="M252" s="57"/>
    </row>
    <row r="253" spans="1:13" ht="15" customHeight="1">
      <c r="A253" s="73"/>
      <c r="B253" s="2"/>
      <c r="C253" s="2" t="s">
        <v>4520</v>
      </c>
      <c r="D253" s="2">
        <v>8</v>
      </c>
      <c r="E253" s="4"/>
      <c r="F253" s="4"/>
      <c r="G253" s="4"/>
      <c r="H253" s="55"/>
      <c r="I253" s="56"/>
      <c r="J253" s="56"/>
      <c r="K253" s="78"/>
      <c r="L253" s="57"/>
      <c r="M253" s="57"/>
    </row>
    <row r="254" spans="1:13" ht="15" customHeight="1">
      <c r="A254" s="73"/>
      <c r="B254" s="2"/>
      <c r="C254" s="2" t="s">
        <v>4521</v>
      </c>
      <c r="D254" s="2">
        <v>1</v>
      </c>
      <c r="E254" s="4"/>
      <c r="F254" s="4"/>
      <c r="G254" s="4"/>
      <c r="H254" s="55"/>
      <c r="I254" s="56"/>
      <c r="J254" s="56"/>
      <c r="K254" s="78"/>
      <c r="L254" s="57"/>
      <c r="M254" s="57"/>
    </row>
    <row r="255" spans="1:13" ht="15" customHeight="1">
      <c r="A255" s="73"/>
      <c r="B255" s="2"/>
      <c r="C255" s="2" t="s">
        <v>4521</v>
      </c>
      <c r="D255" s="2">
        <v>1</v>
      </c>
      <c r="E255" s="4"/>
      <c r="F255" s="4"/>
      <c r="G255" s="4"/>
      <c r="H255" s="55"/>
      <c r="I255" s="56"/>
      <c r="J255" s="56"/>
      <c r="K255" s="78"/>
      <c r="L255" s="57"/>
      <c r="M255" s="57"/>
    </row>
    <row r="256" spans="1:13" ht="15" customHeight="1">
      <c r="A256" s="73" t="s">
        <v>4522</v>
      </c>
      <c r="B256" s="2">
        <v>16487</v>
      </c>
      <c r="C256" s="2" t="s">
        <v>4517</v>
      </c>
      <c r="D256" s="2">
        <v>1</v>
      </c>
      <c r="E256" s="4" t="s">
        <v>4264</v>
      </c>
      <c r="F256" s="4" t="s">
        <v>4207</v>
      </c>
      <c r="G256" s="4" t="s">
        <v>3411</v>
      </c>
      <c r="H256" s="55">
        <v>15239.6796875</v>
      </c>
      <c r="I256" s="56"/>
      <c r="J256" s="56"/>
      <c r="K256" s="78"/>
      <c r="L256" s="57"/>
      <c r="M256" s="57"/>
    </row>
    <row r="257" spans="1:13" ht="15" customHeight="1">
      <c r="A257" s="73"/>
      <c r="B257" s="2"/>
      <c r="C257" s="2" t="s">
        <v>4518</v>
      </c>
      <c r="D257" s="2">
        <v>1</v>
      </c>
      <c r="E257" s="4"/>
      <c r="F257" s="4"/>
      <c r="G257" s="4"/>
      <c r="H257" s="55"/>
      <c r="I257" s="56"/>
      <c r="J257" s="56"/>
      <c r="K257" s="78"/>
      <c r="L257" s="57"/>
      <c r="M257" s="57"/>
    </row>
    <row r="258" spans="1:13" ht="15" customHeight="1">
      <c r="A258" s="73"/>
      <c r="B258" s="2"/>
      <c r="C258" s="2" t="s">
        <v>4519</v>
      </c>
      <c r="D258" s="2">
        <v>1</v>
      </c>
      <c r="E258" s="4"/>
      <c r="F258" s="4"/>
      <c r="G258" s="4"/>
      <c r="H258" s="55"/>
      <c r="I258" s="56"/>
      <c r="J258" s="56"/>
      <c r="K258" s="78"/>
      <c r="L258" s="57"/>
      <c r="M258" s="57"/>
    </row>
    <row r="259" spans="1:13" ht="15" customHeight="1">
      <c r="A259" s="73"/>
      <c r="B259" s="2"/>
      <c r="C259" s="2" t="s">
        <v>4520</v>
      </c>
      <c r="D259" s="2">
        <v>8</v>
      </c>
      <c r="E259" s="4"/>
      <c r="F259" s="4"/>
      <c r="G259" s="4"/>
      <c r="H259" s="55"/>
      <c r="I259" s="56"/>
      <c r="J259" s="56"/>
      <c r="K259" s="78"/>
      <c r="L259" s="57"/>
      <c r="M259" s="57"/>
    </row>
    <row r="260" spans="1:13" ht="15" customHeight="1">
      <c r="A260" s="73"/>
      <c r="B260" s="2"/>
      <c r="C260" s="2" t="s">
        <v>4521</v>
      </c>
      <c r="D260" s="2">
        <v>1</v>
      </c>
      <c r="E260" s="4"/>
      <c r="F260" s="4"/>
      <c r="G260" s="4"/>
      <c r="H260" s="55"/>
      <c r="I260" s="56"/>
      <c r="J260" s="56"/>
      <c r="K260" s="78"/>
      <c r="L260" s="57"/>
      <c r="M260" s="57"/>
    </row>
    <row r="261" spans="1:13" ht="15" customHeight="1">
      <c r="A261" s="73"/>
      <c r="B261" s="2"/>
      <c r="C261" s="2" t="s">
        <v>4521</v>
      </c>
      <c r="D261" s="2">
        <v>1</v>
      </c>
      <c r="E261" s="4"/>
      <c r="F261" s="4"/>
      <c r="G261" s="4"/>
      <c r="H261" s="55"/>
      <c r="I261" s="56"/>
      <c r="J261" s="56"/>
      <c r="K261" s="78"/>
      <c r="L261" s="57"/>
      <c r="M261" s="57"/>
    </row>
    <row r="262" spans="1:13" ht="15" customHeight="1">
      <c r="A262" s="73" t="s">
        <v>4522</v>
      </c>
      <c r="B262" s="2">
        <v>16487</v>
      </c>
      <c r="C262" s="2" t="s">
        <v>4517</v>
      </c>
      <c r="D262" s="2">
        <v>1</v>
      </c>
      <c r="E262" s="4" t="s">
        <v>4264</v>
      </c>
      <c r="F262" s="4" t="s">
        <v>4207</v>
      </c>
      <c r="G262" s="4" t="s">
        <v>3411</v>
      </c>
      <c r="H262" s="55">
        <v>15239.6796875</v>
      </c>
      <c r="I262" s="56"/>
      <c r="J262" s="56"/>
      <c r="K262" s="78"/>
      <c r="L262" s="57"/>
      <c r="M262" s="57"/>
    </row>
    <row r="263" spans="1:13" ht="15" customHeight="1">
      <c r="A263" s="73"/>
      <c r="B263" s="2"/>
      <c r="C263" s="2" t="s">
        <v>4518</v>
      </c>
      <c r="D263" s="2">
        <v>1</v>
      </c>
      <c r="E263" s="4"/>
      <c r="F263" s="4"/>
      <c r="G263" s="4"/>
      <c r="H263" s="55"/>
      <c r="I263" s="56"/>
      <c r="J263" s="56"/>
      <c r="K263" s="78"/>
      <c r="L263" s="57"/>
      <c r="M263" s="57"/>
    </row>
    <row r="264" spans="1:13" ht="15" customHeight="1">
      <c r="A264" s="73"/>
      <c r="B264" s="2"/>
      <c r="C264" s="2" t="s">
        <v>4519</v>
      </c>
      <c r="D264" s="2">
        <v>1</v>
      </c>
      <c r="E264" s="4"/>
      <c r="F264" s="4"/>
      <c r="G264" s="4"/>
      <c r="H264" s="55"/>
      <c r="I264" s="56"/>
      <c r="J264" s="56"/>
      <c r="K264" s="78"/>
      <c r="L264" s="57"/>
      <c r="M264" s="57"/>
    </row>
    <row r="265" spans="1:13" ht="15" customHeight="1">
      <c r="A265" s="73"/>
      <c r="B265" s="2"/>
      <c r="C265" s="2" t="s">
        <v>4520</v>
      </c>
      <c r="D265" s="2">
        <v>8</v>
      </c>
      <c r="E265" s="4"/>
      <c r="F265" s="4"/>
      <c r="G265" s="4"/>
      <c r="H265" s="55"/>
      <c r="I265" s="56"/>
      <c r="J265" s="56"/>
      <c r="K265" s="78"/>
      <c r="L265" s="57"/>
      <c r="M265" s="57"/>
    </row>
    <row r="266" spans="1:13" ht="15" customHeight="1">
      <c r="A266" s="73"/>
      <c r="B266" s="2"/>
      <c r="C266" s="2" t="s">
        <v>4521</v>
      </c>
      <c r="D266" s="2">
        <v>1</v>
      </c>
      <c r="E266" s="4"/>
      <c r="F266" s="4"/>
      <c r="G266" s="4"/>
      <c r="H266" s="55"/>
      <c r="I266" s="56"/>
      <c r="J266" s="56"/>
      <c r="K266" s="78"/>
      <c r="L266" s="57"/>
      <c r="M266" s="57"/>
    </row>
    <row r="267" spans="1:13" ht="15" customHeight="1">
      <c r="A267" s="73"/>
      <c r="B267" s="2"/>
      <c r="C267" s="2" t="s">
        <v>4521</v>
      </c>
      <c r="D267" s="2">
        <v>1</v>
      </c>
      <c r="E267" s="4"/>
      <c r="F267" s="4"/>
      <c r="G267" s="4"/>
      <c r="H267" s="55"/>
      <c r="I267" s="56"/>
      <c r="J267" s="56"/>
      <c r="K267" s="78"/>
      <c r="L267" s="57"/>
      <c r="M267" s="57"/>
    </row>
    <row r="268" spans="1:13" ht="15" customHeight="1">
      <c r="A268" s="73" t="s">
        <v>4522</v>
      </c>
      <c r="B268" s="2">
        <v>16487</v>
      </c>
      <c r="C268" s="2" t="s">
        <v>4517</v>
      </c>
      <c r="D268" s="2">
        <v>1</v>
      </c>
      <c r="E268" s="4" t="s">
        <v>4264</v>
      </c>
      <c r="F268" s="4" t="s">
        <v>4207</v>
      </c>
      <c r="G268" s="4" t="s">
        <v>3411</v>
      </c>
      <c r="H268" s="55">
        <v>15239.6796875</v>
      </c>
      <c r="I268" s="56"/>
      <c r="J268" s="56"/>
      <c r="K268" s="78"/>
      <c r="L268" s="57"/>
      <c r="M268" s="57"/>
    </row>
    <row r="269" spans="1:13" ht="15" customHeight="1">
      <c r="A269" s="73"/>
      <c r="B269" s="2"/>
      <c r="C269" s="2" t="s">
        <v>4518</v>
      </c>
      <c r="D269" s="2">
        <v>1</v>
      </c>
      <c r="E269" s="4"/>
      <c r="F269" s="4"/>
      <c r="G269" s="4"/>
      <c r="H269" s="55"/>
      <c r="I269" s="56"/>
      <c r="J269" s="56"/>
      <c r="K269" s="78"/>
      <c r="L269" s="57"/>
      <c r="M269" s="57"/>
    </row>
    <row r="270" spans="1:13" ht="15" customHeight="1">
      <c r="A270" s="73"/>
      <c r="B270" s="2"/>
      <c r="C270" s="2" t="s">
        <v>4519</v>
      </c>
      <c r="D270" s="2">
        <v>1</v>
      </c>
      <c r="E270" s="4"/>
      <c r="F270" s="4"/>
      <c r="G270" s="4"/>
      <c r="H270" s="55"/>
      <c r="I270" s="56"/>
      <c r="J270" s="56"/>
      <c r="K270" s="78"/>
      <c r="L270" s="57"/>
      <c r="M270" s="57"/>
    </row>
    <row r="271" spans="1:13" ht="15" customHeight="1">
      <c r="A271" s="73"/>
      <c r="B271" s="2"/>
      <c r="C271" s="2" t="s">
        <v>4520</v>
      </c>
      <c r="D271" s="2">
        <v>8</v>
      </c>
      <c r="E271" s="4"/>
      <c r="F271" s="4"/>
      <c r="G271" s="4"/>
      <c r="H271" s="55"/>
      <c r="I271" s="56"/>
      <c r="J271" s="56"/>
      <c r="K271" s="78"/>
      <c r="L271" s="57"/>
      <c r="M271" s="57"/>
    </row>
    <row r="272" spans="1:13" ht="15" customHeight="1">
      <c r="A272" s="73"/>
      <c r="B272" s="2"/>
      <c r="C272" s="2" t="s">
        <v>4521</v>
      </c>
      <c r="D272" s="2">
        <v>1</v>
      </c>
      <c r="E272" s="4"/>
      <c r="F272" s="4"/>
      <c r="G272" s="4"/>
      <c r="H272" s="55"/>
      <c r="I272" s="56"/>
      <c r="J272" s="56"/>
      <c r="K272" s="78"/>
      <c r="L272" s="57"/>
      <c r="M272" s="57"/>
    </row>
    <row r="273" spans="1:13" ht="15" customHeight="1">
      <c r="A273" s="73"/>
      <c r="B273" s="2"/>
      <c r="C273" s="2" t="s">
        <v>4521</v>
      </c>
      <c r="D273" s="2">
        <v>1</v>
      </c>
      <c r="E273" s="4"/>
      <c r="F273" s="4"/>
      <c r="G273" s="4"/>
      <c r="H273" s="55"/>
      <c r="I273" s="56"/>
      <c r="J273" s="56"/>
      <c r="K273" s="78"/>
      <c r="L273" s="57"/>
      <c r="M273" s="57"/>
    </row>
    <row r="274" spans="1:13" ht="15" customHeight="1">
      <c r="A274" s="73" t="s">
        <v>4522</v>
      </c>
      <c r="B274" s="2">
        <v>16488</v>
      </c>
      <c r="C274" s="2" t="s">
        <v>4523</v>
      </c>
      <c r="D274" s="2">
        <v>1</v>
      </c>
      <c r="E274" s="4" t="s">
        <v>4264</v>
      </c>
      <c r="F274" s="4" t="s">
        <v>4207</v>
      </c>
      <c r="G274" s="4" t="s">
        <v>1753</v>
      </c>
      <c r="H274" s="55">
        <v>623.3599853515625</v>
      </c>
      <c r="I274" s="56"/>
      <c r="J274" s="56"/>
      <c r="K274" s="78"/>
      <c r="L274" s="57"/>
      <c r="M274" s="57"/>
    </row>
    <row r="275" spans="1:13" ht="15" customHeight="1">
      <c r="A275" s="73" t="s">
        <v>4522</v>
      </c>
      <c r="B275" s="2">
        <v>16489</v>
      </c>
      <c r="C275" s="2" t="s">
        <v>4524</v>
      </c>
      <c r="D275" s="2">
        <v>1</v>
      </c>
      <c r="E275" s="4" t="s">
        <v>4341</v>
      </c>
      <c r="F275" s="4" t="s">
        <v>4207</v>
      </c>
      <c r="G275" s="4" t="s">
        <v>1753</v>
      </c>
      <c r="H275" s="55">
        <v>0.28999999165534973</v>
      </c>
      <c r="I275" s="56"/>
      <c r="J275" s="56"/>
      <c r="K275" s="78"/>
      <c r="L275" s="57"/>
      <c r="M275" s="57"/>
    </row>
    <row r="276" spans="1:13" ht="15" customHeight="1">
      <c r="A276" s="73"/>
      <c r="B276" s="2"/>
      <c r="C276" s="2" t="s">
        <v>4525</v>
      </c>
      <c r="D276" s="2">
        <v>1</v>
      </c>
      <c r="E276" s="4"/>
      <c r="F276" s="4"/>
      <c r="G276" s="4"/>
      <c r="H276" s="55"/>
      <c r="I276" s="56"/>
      <c r="J276" s="56"/>
      <c r="K276" s="78"/>
      <c r="L276" s="57"/>
      <c r="M276" s="57"/>
    </row>
    <row r="277" spans="1:13" ht="15" customHeight="1">
      <c r="A277" s="73" t="s">
        <v>4522</v>
      </c>
      <c r="B277" s="2">
        <v>16490</v>
      </c>
      <c r="C277" s="2" t="s">
        <v>4526</v>
      </c>
      <c r="D277" s="2">
        <v>4</v>
      </c>
      <c r="E277" s="4" t="s">
        <v>4264</v>
      </c>
      <c r="F277" s="4" t="s">
        <v>4207</v>
      </c>
      <c r="G277" s="4" t="s">
        <v>1642</v>
      </c>
      <c r="H277" s="55">
        <v>714049.625</v>
      </c>
      <c r="I277" s="56"/>
      <c r="J277" s="56"/>
      <c r="K277" s="78"/>
      <c r="L277" s="57"/>
      <c r="M277" s="57"/>
    </row>
    <row r="278" spans="1:13" ht="15" customHeight="1">
      <c r="A278" s="73" t="s">
        <v>4522</v>
      </c>
      <c r="B278" s="2">
        <v>16491</v>
      </c>
      <c r="C278" s="2" t="s">
        <v>4527</v>
      </c>
      <c r="D278" s="2">
        <v>1</v>
      </c>
      <c r="E278" s="4" t="s">
        <v>4264</v>
      </c>
      <c r="F278" s="4" t="s">
        <v>4211</v>
      </c>
      <c r="G278" s="4" t="s">
        <v>3676</v>
      </c>
      <c r="H278" s="55">
        <v>32776.12109375</v>
      </c>
      <c r="I278" s="56"/>
      <c r="J278" s="56"/>
      <c r="K278" s="78"/>
      <c r="L278" s="57"/>
      <c r="M278" s="57"/>
    </row>
    <row r="279" spans="1:13" ht="15" customHeight="1">
      <c r="A279" s="73" t="s">
        <v>4532</v>
      </c>
      <c r="B279" s="2">
        <v>16492</v>
      </c>
      <c r="C279" s="2" t="s">
        <v>4528</v>
      </c>
      <c r="D279" s="2">
        <v>4</v>
      </c>
      <c r="E279" s="4" t="s">
        <v>4310</v>
      </c>
      <c r="F279" s="4" t="s">
        <v>4309</v>
      </c>
      <c r="G279" s="4" t="s">
        <v>1256</v>
      </c>
      <c r="H279" s="55">
        <v>3644.969970703125</v>
      </c>
      <c r="I279" s="56"/>
      <c r="J279" s="56"/>
      <c r="K279" s="78"/>
      <c r="L279" s="57"/>
      <c r="M279" s="57"/>
    </row>
    <row r="280" spans="1:13" ht="15" customHeight="1">
      <c r="A280" s="73"/>
      <c r="B280" s="2"/>
      <c r="C280" s="2" t="s">
        <v>4529</v>
      </c>
      <c r="D280" s="2">
        <v>2</v>
      </c>
      <c r="E280" s="4"/>
      <c r="F280" s="4"/>
      <c r="G280" s="4"/>
      <c r="H280" s="55"/>
      <c r="I280" s="56"/>
      <c r="J280" s="56"/>
      <c r="K280" s="78"/>
      <c r="L280" s="57"/>
      <c r="M280" s="57"/>
    </row>
    <row r="281" spans="1:13" ht="15" customHeight="1">
      <c r="A281" s="73"/>
      <c r="B281" s="2"/>
      <c r="C281" s="2" t="s">
        <v>4530</v>
      </c>
      <c r="D281" s="2">
        <v>1</v>
      </c>
      <c r="E281" s="4"/>
      <c r="F281" s="4"/>
      <c r="G281" s="4"/>
      <c r="H281" s="55"/>
      <c r="I281" s="56"/>
      <c r="J281" s="56"/>
      <c r="K281" s="78"/>
      <c r="L281" s="57"/>
      <c r="M281" s="57"/>
    </row>
    <row r="282" spans="1:13" ht="15" customHeight="1">
      <c r="A282" s="73"/>
      <c r="B282" s="2"/>
      <c r="C282" s="2" t="s">
        <v>4531</v>
      </c>
      <c r="D282" s="2">
        <v>1</v>
      </c>
      <c r="E282" s="4"/>
      <c r="F282" s="4"/>
      <c r="G282" s="4"/>
      <c r="H282" s="55"/>
      <c r="I282" s="56"/>
      <c r="J282" s="56"/>
      <c r="K282" s="78"/>
      <c r="L282" s="57"/>
      <c r="M282" s="57"/>
    </row>
    <row r="283" spans="1:13" ht="15" customHeight="1">
      <c r="A283" s="73" t="s">
        <v>4536</v>
      </c>
      <c r="B283" s="2">
        <v>16493</v>
      </c>
      <c r="C283" s="2" t="s">
        <v>4533</v>
      </c>
      <c r="D283" s="2">
        <v>1</v>
      </c>
      <c r="E283" s="4" t="s">
        <v>4535</v>
      </c>
      <c r="F283" s="4" t="s">
        <v>4534</v>
      </c>
      <c r="G283" s="4" t="s">
        <v>1248</v>
      </c>
      <c r="H283" s="55">
        <v>0</v>
      </c>
      <c r="I283" s="56"/>
      <c r="J283" s="56"/>
      <c r="K283" s="78"/>
      <c r="L283" s="57"/>
      <c r="M283" s="57"/>
    </row>
    <row r="284" spans="1:13" ht="15" customHeight="1">
      <c r="A284" s="73" t="s">
        <v>4536</v>
      </c>
      <c r="B284" s="2">
        <v>16494</v>
      </c>
      <c r="C284" s="2" t="s">
        <v>4537</v>
      </c>
      <c r="D284" s="2">
        <v>31</v>
      </c>
      <c r="E284" s="4" t="s">
        <v>4310</v>
      </c>
      <c r="F284" s="4" t="s">
        <v>4309</v>
      </c>
      <c r="G284" s="4" t="s">
        <v>3547</v>
      </c>
      <c r="H284" s="55">
        <v>5239.97998046875</v>
      </c>
      <c r="I284" s="56"/>
      <c r="J284" s="56"/>
      <c r="K284" s="78"/>
      <c r="L284" s="57"/>
      <c r="M284" s="57"/>
    </row>
    <row r="285" spans="1:13" ht="15" customHeight="1">
      <c r="A285" s="73"/>
      <c r="B285" s="2"/>
      <c r="C285" s="2" t="s">
        <v>4409</v>
      </c>
      <c r="D285" s="2">
        <v>3</v>
      </c>
      <c r="E285" s="4"/>
      <c r="F285" s="4"/>
      <c r="G285" s="4"/>
      <c r="H285" s="55"/>
      <c r="I285" s="56"/>
      <c r="J285" s="56"/>
      <c r="K285" s="78"/>
      <c r="L285" s="57"/>
      <c r="M285" s="57"/>
    </row>
    <row r="286" spans="1:13" ht="15" customHeight="1">
      <c r="A286" s="73"/>
      <c r="B286" s="2"/>
      <c r="C286" s="2" t="s">
        <v>4538</v>
      </c>
      <c r="D286" s="2">
        <v>3</v>
      </c>
      <c r="E286" s="4"/>
      <c r="F286" s="4"/>
      <c r="G286" s="4"/>
      <c r="H286" s="55"/>
      <c r="I286" s="56"/>
      <c r="J286" s="56"/>
      <c r="K286" s="78"/>
      <c r="L286" s="57"/>
      <c r="M286" s="57"/>
    </row>
    <row r="287" spans="1:13" ht="15" customHeight="1">
      <c r="A287" s="73" t="s">
        <v>4536</v>
      </c>
      <c r="B287" s="2">
        <v>16495</v>
      </c>
      <c r="C287" s="2" t="s">
        <v>4430</v>
      </c>
      <c r="D287" s="2">
        <v>2</v>
      </c>
      <c r="E287" s="4" t="s">
        <v>4412</v>
      </c>
      <c r="F287" s="4" t="s">
        <v>4268</v>
      </c>
      <c r="G287" s="4" t="s">
        <v>3547</v>
      </c>
      <c r="H287" s="55">
        <v>6413.580078125</v>
      </c>
      <c r="I287" s="56"/>
      <c r="J287" s="56"/>
      <c r="K287" s="78"/>
      <c r="L287" s="57"/>
      <c r="M287" s="57"/>
    </row>
    <row r="288" spans="1:13" ht="15" customHeight="1">
      <c r="A288" s="73"/>
      <c r="B288" s="2"/>
      <c r="C288" s="2" t="s">
        <v>4490</v>
      </c>
      <c r="D288" s="2">
        <v>6</v>
      </c>
      <c r="E288" s="4"/>
      <c r="F288" s="4"/>
      <c r="G288" s="4"/>
      <c r="H288" s="55"/>
      <c r="I288" s="56"/>
      <c r="J288" s="56"/>
      <c r="K288" s="78"/>
      <c r="L288" s="57"/>
      <c r="M288" s="57"/>
    </row>
    <row r="289" spans="1:13" ht="15" customHeight="1">
      <c r="A289" s="73"/>
      <c r="B289" s="2"/>
      <c r="C289" s="2" t="s">
        <v>4411</v>
      </c>
      <c r="D289" s="2">
        <v>4</v>
      </c>
      <c r="E289" s="4"/>
      <c r="F289" s="4"/>
      <c r="G289" s="4"/>
      <c r="H289" s="55"/>
      <c r="I289" s="56"/>
      <c r="J289" s="56"/>
      <c r="K289" s="78"/>
      <c r="L289" s="57"/>
      <c r="M289" s="57"/>
    </row>
    <row r="290" spans="1:13" ht="15" customHeight="1">
      <c r="A290" s="73" t="s">
        <v>4543</v>
      </c>
      <c r="B290" s="2">
        <v>16496</v>
      </c>
      <c r="C290" s="2" t="s">
        <v>4542</v>
      </c>
      <c r="D290" s="2">
        <v>40</v>
      </c>
      <c r="E290" s="4" t="s">
        <v>4246</v>
      </c>
      <c r="F290" s="4" t="s">
        <v>4297</v>
      </c>
      <c r="G290" s="4" t="s">
        <v>4541</v>
      </c>
      <c r="H290" s="55">
        <v>580</v>
      </c>
      <c r="I290" s="56"/>
      <c r="J290" s="56"/>
      <c r="K290" s="78"/>
      <c r="L290" s="57"/>
      <c r="M290" s="57"/>
    </row>
    <row r="291" spans="1:13" ht="15" customHeight="1">
      <c r="A291" s="73" t="s">
        <v>4543</v>
      </c>
      <c r="B291" s="2">
        <v>16497</v>
      </c>
      <c r="C291" s="2" t="s">
        <v>4544</v>
      </c>
      <c r="D291" s="2">
        <v>1</v>
      </c>
      <c r="E291" s="4" t="s">
        <v>4264</v>
      </c>
      <c r="F291" s="4" t="s">
        <v>4301</v>
      </c>
      <c r="G291" s="4" t="s">
        <v>2858</v>
      </c>
      <c r="H291" s="55">
        <v>311490.09375</v>
      </c>
      <c r="I291" s="56"/>
      <c r="J291" s="56"/>
      <c r="K291" s="78"/>
      <c r="L291" s="57"/>
      <c r="M291" s="57"/>
    </row>
    <row r="292" spans="1:13" ht="15" customHeight="1">
      <c r="A292" s="73" t="s">
        <v>4547</v>
      </c>
      <c r="B292" s="2">
        <v>16498</v>
      </c>
      <c r="C292" s="2" t="s">
        <v>4545</v>
      </c>
      <c r="D292" s="2">
        <v>1</v>
      </c>
      <c r="E292" s="4" t="s">
        <v>4546</v>
      </c>
      <c r="F292" s="4" t="s">
        <v>4217</v>
      </c>
      <c r="G292" s="4" t="s">
        <v>3692</v>
      </c>
      <c r="H292" s="55">
        <v>347107.9375</v>
      </c>
      <c r="I292" s="56"/>
      <c r="J292" s="56"/>
      <c r="K292" s="78"/>
      <c r="L292" s="57"/>
      <c r="M292" s="57"/>
    </row>
    <row r="293" spans="1:13" ht="15" customHeight="1">
      <c r="A293" s="73" t="s">
        <v>4547</v>
      </c>
      <c r="B293" s="2">
        <v>16499</v>
      </c>
      <c r="C293" s="2" t="s">
        <v>4548</v>
      </c>
      <c r="D293" s="2">
        <v>1</v>
      </c>
      <c r="E293" s="4" t="s">
        <v>4546</v>
      </c>
      <c r="F293" s="4" t="s">
        <v>4217</v>
      </c>
      <c r="G293" s="4" t="s">
        <v>3692</v>
      </c>
      <c r="H293" s="55">
        <v>347107.9375</v>
      </c>
      <c r="I293" s="56"/>
      <c r="J293" s="56"/>
      <c r="K293" s="78"/>
      <c r="L293" s="57"/>
      <c r="M293" s="57"/>
    </row>
    <row r="294" spans="1:13" ht="15" customHeight="1">
      <c r="A294" s="73" t="s">
        <v>4547</v>
      </c>
      <c r="B294" s="2">
        <v>16501</v>
      </c>
      <c r="C294" s="2" t="s">
        <v>4549</v>
      </c>
      <c r="D294" s="2">
        <v>2</v>
      </c>
      <c r="E294" s="4" t="s">
        <v>4341</v>
      </c>
      <c r="F294" s="4" t="s">
        <v>4207</v>
      </c>
      <c r="G294" s="4" t="s">
        <v>2919</v>
      </c>
      <c r="H294" s="55">
        <v>127800</v>
      </c>
      <c r="I294" s="56"/>
      <c r="J294" s="56"/>
      <c r="K294" s="78"/>
      <c r="L294" s="57"/>
      <c r="M294" s="57"/>
    </row>
    <row r="295" spans="1:13" ht="15" customHeight="1">
      <c r="A295" s="73" t="s">
        <v>4547</v>
      </c>
      <c r="B295" s="2">
        <v>16502</v>
      </c>
      <c r="C295" s="2" t="s">
        <v>4550</v>
      </c>
      <c r="D295" s="2">
        <v>210</v>
      </c>
      <c r="E295" s="4" t="s">
        <v>4237</v>
      </c>
      <c r="F295" s="4" t="s">
        <v>4217</v>
      </c>
      <c r="G295" s="4" t="s">
        <v>1338</v>
      </c>
      <c r="H295" s="55">
        <v>1212900</v>
      </c>
      <c r="I295" s="56"/>
      <c r="J295" s="56"/>
      <c r="K295" s="78"/>
      <c r="L295" s="57"/>
      <c r="M295" s="57"/>
    </row>
    <row r="296" spans="1:13" ht="15" customHeight="1">
      <c r="A296" s="73"/>
      <c r="B296" s="2"/>
      <c r="C296" s="2" t="s">
        <v>4551</v>
      </c>
      <c r="D296" s="2">
        <v>300</v>
      </c>
      <c r="E296" s="4"/>
      <c r="F296" s="4"/>
      <c r="G296" s="4"/>
      <c r="H296" s="55"/>
      <c r="I296" s="56"/>
      <c r="J296" s="56"/>
      <c r="K296" s="78"/>
      <c r="L296" s="57"/>
      <c r="M296" s="57"/>
    </row>
    <row r="297" spans="1:13" ht="15" customHeight="1">
      <c r="A297" s="73" t="s">
        <v>4553</v>
      </c>
      <c r="B297" s="2">
        <v>16503</v>
      </c>
      <c r="C297" s="2" t="s">
        <v>4552</v>
      </c>
      <c r="D297" s="2">
        <v>6</v>
      </c>
      <c r="E297" s="4" t="s">
        <v>4237</v>
      </c>
      <c r="F297" s="4" t="s">
        <v>4227</v>
      </c>
      <c r="G297" s="4" t="s">
        <v>3658</v>
      </c>
      <c r="H297" s="55">
        <v>0</v>
      </c>
      <c r="I297" s="56"/>
      <c r="J297" s="56"/>
      <c r="K297" s="78"/>
      <c r="L297" s="57"/>
      <c r="M297" s="57"/>
    </row>
    <row r="298" spans="1:13" ht="15" customHeight="1">
      <c r="A298" s="73" t="s">
        <v>4557</v>
      </c>
      <c r="B298" s="2">
        <v>16504</v>
      </c>
      <c r="C298" s="2" t="s">
        <v>4554</v>
      </c>
      <c r="D298" s="2">
        <v>1</v>
      </c>
      <c r="E298" s="4" t="s">
        <v>4264</v>
      </c>
      <c r="F298" s="4" t="s">
        <v>4309</v>
      </c>
      <c r="G298" s="4" t="s">
        <v>2338</v>
      </c>
      <c r="H298" s="55">
        <v>25000</v>
      </c>
      <c r="I298" s="56"/>
      <c r="J298" s="56"/>
      <c r="K298" s="78"/>
      <c r="L298" s="57"/>
      <c r="M298" s="57"/>
    </row>
    <row r="299" spans="1:13" ht="15" customHeight="1">
      <c r="A299" s="73"/>
      <c r="B299" s="2"/>
      <c r="C299" s="2" t="s">
        <v>4555</v>
      </c>
      <c r="D299" s="2">
        <v>1</v>
      </c>
      <c r="E299" s="4"/>
      <c r="F299" s="4"/>
      <c r="G299" s="4"/>
      <c r="H299" s="55"/>
      <c r="I299" s="56"/>
      <c r="J299" s="56"/>
      <c r="K299" s="78"/>
      <c r="L299" s="57"/>
      <c r="M299" s="57"/>
    </row>
    <row r="300" spans="1:13" ht="15" customHeight="1">
      <c r="A300" s="73"/>
      <c r="B300" s="2"/>
      <c r="C300" s="2" t="s">
        <v>4556</v>
      </c>
      <c r="D300" s="2">
        <v>1</v>
      </c>
      <c r="E300" s="4"/>
      <c r="F300" s="4"/>
      <c r="G300" s="4"/>
      <c r="H300" s="55"/>
      <c r="I300" s="56"/>
      <c r="J300" s="56"/>
      <c r="K300" s="78"/>
      <c r="L300" s="57"/>
      <c r="M300" s="57"/>
    </row>
    <row r="301" spans="1:13" ht="15" customHeight="1">
      <c r="A301" s="73" t="s">
        <v>4563</v>
      </c>
      <c r="B301" s="2">
        <v>16505</v>
      </c>
      <c r="C301" s="2" t="s">
        <v>4558</v>
      </c>
      <c r="D301" s="2">
        <v>1</v>
      </c>
      <c r="E301" s="4" t="s">
        <v>4264</v>
      </c>
      <c r="F301" s="4" t="s">
        <v>4414</v>
      </c>
      <c r="G301" s="4" t="s">
        <v>4181</v>
      </c>
      <c r="H301" s="55">
        <v>591900</v>
      </c>
      <c r="I301" s="56"/>
      <c r="J301" s="56"/>
      <c r="K301" s="78"/>
      <c r="L301" s="57"/>
      <c r="M301" s="57"/>
    </row>
    <row r="302" spans="1:13" ht="15" customHeight="1">
      <c r="A302" s="73"/>
      <c r="B302" s="2"/>
      <c r="C302" s="2" t="s">
        <v>4559</v>
      </c>
      <c r="D302" s="2">
        <v>2</v>
      </c>
      <c r="E302" s="4"/>
      <c r="F302" s="4"/>
      <c r="G302" s="4"/>
      <c r="H302" s="55"/>
      <c r="I302" s="56"/>
      <c r="J302" s="56"/>
      <c r="K302" s="78"/>
      <c r="L302" s="57"/>
      <c r="M302" s="57"/>
    </row>
    <row r="303" spans="1:13" ht="15" customHeight="1">
      <c r="A303" s="73"/>
      <c r="B303" s="2"/>
      <c r="C303" s="2" t="s">
        <v>4560</v>
      </c>
      <c r="D303" s="2">
        <v>10</v>
      </c>
      <c r="E303" s="4"/>
      <c r="F303" s="4"/>
      <c r="G303" s="4"/>
      <c r="H303" s="55"/>
      <c r="I303" s="56"/>
      <c r="J303" s="56"/>
      <c r="K303" s="78"/>
      <c r="L303" s="57"/>
      <c r="M303" s="57"/>
    </row>
    <row r="304" spans="1:13" ht="15" customHeight="1">
      <c r="A304" s="73"/>
      <c r="B304" s="2"/>
      <c r="C304" s="2" t="s">
        <v>4562</v>
      </c>
      <c r="D304" s="2">
        <v>2</v>
      </c>
      <c r="E304" s="4"/>
      <c r="F304" s="4"/>
      <c r="G304" s="4"/>
      <c r="H304" s="55"/>
      <c r="I304" s="56"/>
      <c r="J304" s="56"/>
      <c r="K304" s="78"/>
      <c r="L304" s="57"/>
      <c r="M304" s="57"/>
    </row>
    <row r="305" spans="1:13" ht="15" customHeight="1">
      <c r="A305" s="73"/>
      <c r="B305" s="2"/>
      <c r="C305" s="2" t="s">
        <v>4561</v>
      </c>
      <c r="D305" s="2">
        <v>6</v>
      </c>
      <c r="E305" s="4"/>
      <c r="F305" s="4"/>
      <c r="G305" s="4"/>
      <c r="H305" s="55"/>
      <c r="I305" s="56"/>
      <c r="J305" s="56"/>
      <c r="K305" s="78"/>
      <c r="L305" s="57"/>
      <c r="M305" s="57"/>
    </row>
    <row r="306" spans="1:13" ht="15" customHeight="1">
      <c r="A306" s="73" t="s">
        <v>4568</v>
      </c>
      <c r="B306" s="2">
        <v>16506</v>
      </c>
      <c r="C306" s="2" t="s">
        <v>4564</v>
      </c>
      <c r="D306" s="2">
        <v>3</v>
      </c>
      <c r="E306" s="4" t="s">
        <v>4412</v>
      </c>
      <c r="F306" s="4" t="s">
        <v>4268</v>
      </c>
      <c r="G306" s="4" t="s">
        <v>3547</v>
      </c>
      <c r="H306" s="55">
        <v>6008.68017578125</v>
      </c>
      <c r="I306" s="56"/>
      <c r="J306" s="56"/>
      <c r="K306" s="78"/>
      <c r="L306" s="57"/>
      <c r="M306" s="57"/>
    </row>
    <row r="307" spans="1:13" ht="15" customHeight="1">
      <c r="A307" s="73"/>
      <c r="B307" s="2"/>
      <c r="C307" s="2" t="s">
        <v>4565</v>
      </c>
      <c r="D307" s="2">
        <v>2</v>
      </c>
      <c r="E307" s="4"/>
      <c r="F307" s="4"/>
      <c r="G307" s="4"/>
      <c r="H307" s="55"/>
      <c r="I307" s="56"/>
      <c r="J307" s="56"/>
      <c r="K307" s="78"/>
      <c r="L307" s="57"/>
      <c r="M307" s="57"/>
    </row>
    <row r="308" spans="1:13" ht="15" customHeight="1">
      <c r="A308" s="73"/>
      <c r="B308" s="2"/>
      <c r="C308" s="2" t="s">
        <v>4566</v>
      </c>
      <c r="D308" s="2">
        <v>4</v>
      </c>
      <c r="E308" s="4"/>
      <c r="F308" s="4"/>
      <c r="G308" s="4"/>
      <c r="H308" s="55"/>
      <c r="I308" s="56"/>
      <c r="J308" s="56"/>
      <c r="K308" s="78"/>
      <c r="L308" s="57"/>
      <c r="M308" s="57"/>
    </row>
    <row r="309" spans="1:13" ht="15" customHeight="1">
      <c r="A309" s="73"/>
      <c r="B309" s="2"/>
      <c r="C309" s="2" t="s">
        <v>4567</v>
      </c>
      <c r="D309" s="2">
        <v>1</v>
      </c>
      <c r="E309" s="4"/>
      <c r="F309" s="4"/>
      <c r="G309" s="4"/>
      <c r="H309" s="55"/>
      <c r="I309" s="56"/>
      <c r="J309" s="56"/>
      <c r="K309" s="78"/>
      <c r="L309" s="57"/>
      <c r="M309" s="57"/>
    </row>
    <row r="310" spans="1:13" ht="15" customHeight="1">
      <c r="A310" s="73"/>
      <c r="B310" s="2"/>
      <c r="C310" s="2" t="s">
        <v>4408</v>
      </c>
      <c r="D310" s="2">
        <v>3</v>
      </c>
      <c r="E310" s="4"/>
      <c r="F310" s="4"/>
      <c r="G310" s="4"/>
      <c r="H310" s="55"/>
      <c r="I310" s="56"/>
      <c r="J310" s="56"/>
      <c r="K310" s="78"/>
      <c r="L310" s="57"/>
      <c r="M310" s="57"/>
    </row>
    <row r="311" spans="1:13" ht="15" customHeight="1">
      <c r="A311" s="73"/>
      <c r="B311" s="2"/>
      <c r="C311" s="2" t="s">
        <v>4430</v>
      </c>
      <c r="D311" s="2">
        <v>2</v>
      </c>
      <c r="E311" s="4"/>
      <c r="F311" s="4"/>
      <c r="G311" s="4"/>
      <c r="H311" s="55"/>
      <c r="I311" s="56"/>
      <c r="J311" s="56"/>
      <c r="K311" s="78"/>
      <c r="L311" s="57"/>
      <c r="M311" s="57"/>
    </row>
    <row r="312" spans="1:13" ht="15" customHeight="1">
      <c r="A312" s="73" t="s">
        <v>4572</v>
      </c>
      <c r="B312" s="2">
        <v>16507</v>
      </c>
      <c r="C312" s="2" t="s">
        <v>4569</v>
      </c>
      <c r="D312" s="2">
        <v>1</v>
      </c>
      <c r="E312" s="4" t="s">
        <v>4571</v>
      </c>
      <c r="F312" s="4" t="s">
        <v>4212</v>
      </c>
      <c r="G312" s="4" t="s">
        <v>3692</v>
      </c>
      <c r="H312" s="55">
        <v>58354.48828125</v>
      </c>
      <c r="I312" s="56"/>
      <c r="J312" s="56"/>
      <c r="K312" s="78"/>
      <c r="L312" s="57"/>
      <c r="M312" s="57"/>
    </row>
    <row r="313" spans="1:13" ht="15" customHeight="1">
      <c r="A313" s="73"/>
      <c r="B313" s="2"/>
      <c r="C313" s="2" t="s">
        <v>4255</v>
      </c>
      <c r="D313" s="2">
        <v>1</v>
      </c>
      <c r="E313" s="4"/>
      <c r="F313" s="4"/>
      <c r="G313" s="4"/>
      <c r="H313" s="55"/>
      <c r="I313" s="56"/>
      <c r="J313" s="56"/>
      <c r="K313" s="78"/>
      <c r="L313" s="57"/>
      <c r="M313" s="57"/>
    </row>
    <row r="314" spans="1:13" ht="15" customHeight="1">
      <c r="A314" s="73"/>
      <c r="B314" s="2"/>
      <c r="C314" s="2" t="s">
        <v>4570</v>
      </c>
      <c r="D314" s="2">
        <v>1</v>
      </c>
      <c r="E314" s="4"/>
      <c r="F314" s="4"/>
      <c r="G314" s="4"/>
      <c r="H314" s="55"/>
      <c r="I314" s="56"/>
      <c r="J314" s="56"/>
      <c r="K314" s="78"/>
      <c r="L314" s="57"/>
      <c r="M314" s="57"/>
    </row>
    <row r="315" spans="1:13" ht="15" customHeight="1">
      <c r="A315" s="73" t="s">
        <v>4572</v>
      </c>
      <c r="B315" s="2">
        <v>16508</v>
      </c>
      <c r="C315" s="2" t="s">
        <v>4573</v>
      </c>
      <c r="D315" s="2">
        <v>2</v>
      </c>
      <c r="E315" s="4" t="s">
        <v>4264</v>
      </c>
      <c r="F315" s="4" t="s">
        <v>4207</v>
      </c>
      <c r="G315" s="4" t="s">
        <v>2919</v>
      </c>
      <c r="H315" s="55">
        <v>127800</v>
      </c>
      <c r="I315" s="56"/>
      <c r="J315" s="56"/>
      <c r="K315" s="78"/>
      <c r="L315" s="57"/>
      <c r="M315" s="57"/>
    </row>
    <row r="316" spans="1:13" ht="15" customHeight="1">
      <c r="A316" s="73">
        <v>44928</v>
      </c>
      <c r="B316" s="2">
        <v>16509</v>
      </c>
      <c r="C316" s="2" t="s">
        <v>4574</v>
      </c>
      <c r="D316" s="2">
        <v>1</v>
      </c>
      <c r="E316" s="4" t="s">
        <v>4264</v>
      </c>
      <c r="F316" s="4" t="s">
        <v>4207</v>
      </c>
      <c r="G316" s="4" t="s">
        <v>502</v>
      </c>
      <c r="H316" s="55">
        <v>9760.0302734375</v>
      </c>
      <c r="I316" s="56"/>
      <c r="J316" s="56"/>
      <c r="K316" s="78"/>
      <c r="L316" s="57"/>
      <c r="M316" s="57"/>
    </row>
    <row r="317" spans="1:13" ht="15" customHeight="1">
      <c r="A317" s="73"/>
      <c r="B317" s="2"/>
      <c r="C317" s="2" t="s">
        <v>4574</v>
      </c>
      <c r="D317" s="2">
        <v>1</v>
      </c>
      <c r="E317" s="4"/>
      <c r="F317" s="4"/>
      <c r="G317" s="4"/>
      <c r="H317" s="55"/>
      <c r="I317" s="56"/>
      <c r="J317" s="56"/>
      <c r="K317" s="78"/>
      <c r="L317" s="57"/>
      <c r="M317" s="57"/>
    </row>
    <row r="318" spans="1:13" ht="15" customHeight="1">
      <c r="A318" s="73">
        <v>44959</v>
      </c>
      <c r="B318" s="2">
        <v>16510</v>
      </c>
      <c r="C318" s="2" t="s">
        <v>4575</v>
      </c>
      <c r="D318" s="2">
        <v>10</v>
      </c>
      <c r="E318" s="4" t="s">
        <v>4246</v>
      </c>
      <c r="F318" s="4" t="s">
        <v>4211</v>
      </c>
      <c r="G318" s="4" t="s">
        <v>4175</v>
      </c>
      <c r="H318" s="55">
        <v>216</v>
      </c>
      <c r="I318" s="56"/>
      <c r="J318" s="56"/>
      <c r="K318" s="78"/>
      <c r="L318" s="57"/>
      <c r="M318" s="57"/>
    </row>
    <row r="319" spans="1:13" ht="15" customHeight="1">
      <c r="A319" s="73">
        <v>44987</v>
      </c>
      <c r="B319" s="2">
        <v>16511</v>
      </c>
      <c r="C319" s="2" t="s">
        <v>4576</v>
      </c>
      <c r="D319" s="2">
        <v>5</v>
      </c>
      <c r="E319" s="4" t="s">
        <v>4215</v>
      </c>
      <c r="F319" s="4" t="s">
        <v>4578</v>
      </c>
      <c r="G319" s="4" t="s">
        <v>3265</v>
      </c>
      <c r="H319" s="55">
        <v>372561.6875</v>
      </c>
      <c r="I319" s="56"/>
      <c r="J319" s="56"/>
      <c r="K319" s="78"/>
      <c r="L319" s="57"/>
      <c r="M319" s="57"/>
    </row>
    <row r="320" spans="1:13" ht="15" customHeight="1">
      <c r="A320" s="73"/>
      <c r="B320" s="2"/>
      <c r="C320" s="2" t="s">
        <v>4577</v>
      </c>
      <c r="D320" s="2">
        <v>5</v>
      </c>
      <c r="E320" s="4"/>
      <c r="F320" s="4"/>
      <c r="G320" s="4"/>
      <c r="H320" s="55"/>
      <c r="I320" s="56"/>
      <c r="J320" s="56"/>
      <c r="K320" s="78"/>
      <c r="L320" s="57"/>
      <c r="M320" s="57"/>
    </row>
    <row r="321" spans="1:13" ht="15" customHeight="1">
      <c r="A321" s="73">
        <v>45109</v>
      </c>
      <c r="B321" s="2">
        <v>16512</v>
      </c>
      <c r="C321" s="2" t="s">
        <v>4372</v>
      </c>
      <c r="D321" s="2">
        <v>1</v>
      </c>
      <c r="E321" s="4" t="s">
        <v>4264</v>
      </c>
      <c r="F321" s="4" t="s">
        <v>4301</v>
      </c>
      <c r="G321" s="4" t="s">
        <v>4049</v>
      </c>
      <c r="H321" s="55">
        <v>34500</v>
      </c>
      <c r="I321" s="56"/>
      <c r="J321" s="56"/>
      <c r="K321" s="78"/>
      <c r="L321" s="57"/>
      <c r="M321" s="57"/>
    </row>
    <row r="322" spans="1:13" ht="15" customHeight="1">
      <c r="A322" s="73">
        <v>45109</v>
      </c>
      <c r="B322" s="2">
        <v>16512</v>
      </c>
      <c r="C322" s="2" t="s">
        <v>4372</v>
      </c>
      <c r="D322" s="2">
        <v>1</v>
      </c>
      <c r="E322" s="4" t="s">
        <v>4264</v>
      </c>
      <c r="F322" s="4" t="s">
        <v>4301</v>
      </c>
      <c r="G322" s="4" t="s">
        <v>4049</v>
      </c>
      <c r="H322" s="55">
        <v>34500</v>
      </c>
      <c r="I322" s="56"/>
      <c r="J322" s="56"/>
      <c r="K322" s="78"/>
      <c r="L322" s="57"/>
      <c r="M322" s="57"/>
    </row>
    <row r="323" spans="1:13" ht="15" customHeight="1">
      <c r="A323" s="73">
        <v>45109</v>
      </c>
      <c r="B323" s="2">
        <v>16512</v>
      </c>
      <c r="C323" s="2" t="s">
        <v>4372</v>
      </c>
      <c r="D323" s="2">
        <v>1</v>
      </c>
      <c r="E323" s="4" t="s">
        <v>4264</v>
      </c>
      <c r="F323" s="4" t="s">
        <v>4301</v>
      </c>
      <c r="G323" s="4" t="s">
        <v>4049</v>
      </c>
      <c r="H323" s="55">
        <v>34500</v>
      </c>
      <c r="I323" s="56"/>
      <c r="J323" s="56"/>
      <c r="K323" s="78"/>
      <c r="L323" s="57"/>
      <c r="M323" s="57"/>
    </row>
    <row r="324" spans="1:13" ht="15" customHeight="1">
      <c r="A324" s="73">
        <v>45109</v>
      </c>
      <c r="B324" s="2">
        <v>16512</v>
      </c>
      <c r="C324" s="2" t="s">
        <v>4372</v>
      </c>
      <c r="D324" s="2">
        <v>1</v>
      </c>
      <c r="E324" s="4" t="s">
        <v>4264</v>
      </c>
      <c r="F324" s="4" t="s">
        <v>4301</v>
      </c>
      <c r="G324" s="4" t="s">
        <v>4049</v>
      </c>
      <c r="H324" s="55">
        <v>34500</v>
      </c>
      <c r="I324" s="56"/>
      <c r="J324" s="56"/>
      <c r="K324" s="78"/>
      <c r="L324" s="57"/>
      <c r="M324" s="57"/>
    </row>
    <row r="325" spans="1:13" ht="15" customHeight="1">
      <c r="A325" s="73">
        <v>45109</v>
      </c>
      <c r="B325" s="2">
        <v>16512</v>
      </c>
      <c r="C325" s="2" t="s">
        <v>4372</v>
      </c>
      <c r="D325" s="2">
        <v>1</v>
      </c>
      <c r="E325" s="4" t="s">
        <v>4264</v>
      </c>
      <c r="F325" s="4" t="s">
        <v>4301</v>
      </c>
      <c r="G325" s="4" t="s">
        <v>4049</v>
      </c>
      <c r="H325" s="55">
        <v>34500</v>
      </c>
      <c r="I325" s="56"/>
      <c r="J325" s="56"/>
      <c r="K325" s="78"/>
      <c r="L325" s="57"/>
      <c r="M325" s="57"/>
    </row>
    <row r="326" spans="1:13" ht="15" customHeight="1">
      <c r="A326" s="73">
        <v>45109</v>
      </c>
      <c r="B326" s="2">
        <v>16512</v>
      </c>
      <c r="C326" s="2" t="s">
        <v>4372</v>
      </c>
      <c r="D326" s="2">
        <v>1</v>
      </c>
      <c r="E326" s="4" t="s">
        <v>4264</v>
      </c>
      <c r="F326" s="4" t="s">
        <v>4301</v>
      </c>
      <c r="G326" s="4" t="s">
        <v>4049</v>
      </c>
      <c r="H326" s="55">
        <v>34500</v>
      </c>
      <c r="I326" s="56"/>
      <c r="J326" s="56"/>
      <c r="K326" s="78"/>
      <c r="L326" s="57"/>
      <c r="M326" s="57"/>
    </row>
    <row r="327" spans="1:13" ht="15" customHeight="1">
      <c r="A327" s="73">
        <v>45140</v>
      </c>
      <c r="B327" s="2">
        <v>16512</v>
      </c>
      <c r="C327" s="2" t="s">
        <v>4372</v>
      </c>
      <c r="D327" s="2">
        <v>1</v>
      </c>
      <c r="E327" s="4" t="s">
        <v>4264</v>
      </c>
      <c r="F327" s="4" t="s">
        <v>4301</v>
      </c>
      <c r="G327" s="4" t="s">
        <v>4049</v>
      </c>
      <c r="H327" s="55">
        <v>34500</v>
      </c>
      <c r="I327" s="56"/>
      <c r="J327" s="56"/>
      <c r="K327" s="78"/>
      <c r="L327" s="57"/>
      <c r="M327" s="57"/>
    </row>
    <row r="328" spans="1:13" ht="15" customHeight="1">
      <c r="A328" s="73">
        <v>45140</v>
      </c>
      <c r="B328" s="2">
        <v>16512</v>
      </c>
      <c r="C328" s="2" t="s">
        <v>4372</v>
      </c>
      <c r="D328" s="2">
        <v>1</v>
      </c>
      <c r="E328" s="4" t="s">
        <v>4264</v>
      </c>
      <c r="F328" s="4" t="s">
        <v>4301</v>
      </c>
      <c r="G328" s="4" t="s">
        <v>4049</v>
      </c>
      <c r="H328" s="55">
        <v>34500</v>
      </c>
      <c r="I328" s="56"/>
      <c r="J328" s="56"/>
      <c r="K328" s="78"/>
      <c r="L328" s="57"/>
      <c r="M328" s="57"/>
    </row>
    <row r="329" spans="1:13" ht="15" customHeight="1">
      <c r="A329" s="73">
        <v>45140</v>
      </c>
      <c r="B329" s="2">
        <v>16512</v>
      </c>
      <c r="C329" s="2" t="s">
        <v>4372</v>
      </c>
      <c r="D329" s="2">
        <v>1</v>
      </c>
      <c r="E329" s="4" t="s">
        <v>4264</v>
      </c>
      <c r="F329" s="4" t="s">
        <v>4301</v>
      </c>
      <c r="G329" s="4" t="s">
        <v>4049</v>
      </c>
      <c r="H329" s="55">
        <v>34500</v>
      </c>
      <c r="I329" s="56"/>
      <c r="J329" s="56"/>
      <c r="K329" s="78"/>
      <c r="L329" s="57"/>
      <c r="M329" s="57"/>
    </row>
    <row r="330" spans="1:13" ht="15" customHeight="1">
      <c r="A330" s="73">
        <v>45140</v>
      </c>
      <c r="B330" s="2">
        <v>16513</v>
      </c>
      <c r="C330" s="2" t="s">
        <v>4375</v>
      </c>
      <c r="D330" s="2">
        <v>1</v>
      </c>
      <c r="E330" s="4" t="s">
        <v>4264</v>
      </c>
      <c r="F330" s="4" t="s">
        <v>4301</v>
      </c>
      <c r="G330" s="4" t="s">
        <v>4049</v>
      </c>
      <c r="H330" s="55">
        <v>34500</v>
      </c>
      <c r="I330" s="56"/>
      <c r="J330" s="56"/>
      <c r="K330" s="78"/>
      <c r="L330" s="57"/>
      <c r="M330" s="57"/>
    </row>
    <row r="331" spans="1:13" ht="15" customHeight="1">
      <c r="A331" s="73">
        <v>45140</v>
      </c>
      <c r="B331" s="2">
        <v>16514</v>
      </c>
      <c r="C331" s="2" t="s">
        <v>4579</v>
      </c>
      <c r="D331" s="2">
        <v>1</v>
      </c>
      <c r="E331" s="4" t="s">
        <v>4246</v>
      </c>
      <c r="F331" s="4" t="s">
        <v>4211</v>
      </c>
      <c r="G331" s="4" t="s">
        <v>1753</v>
      </c>
      <c r="H331" s="55">
        <v>243.63999938964844</v>
      </c>
      <c r="I331" s="56"/>
      <c r="J331" s="56"/>
      <c r="K331" s="78"/>
      <c r="L331" s="57"/>
      <c r="M331" s="57"/>
    </row>
    <row r="332" spans="1:13" ht="15" customHeight="1">
      <c r="A332" s="73">
        <v>45201</v>
      </c>
      <c r="B332" s="2">
        <v>16516</v>
      </c>
      <c r="C332" s="2" t="s">
        <v>4581</v>
      </c>
      <c r="D332" s="2">
        <v>1</v>
      </c>
      <c r="E332" s="4" t="s">
        <v>4264</v>
      </c>
      <c r="F332" s="4" t="s">
        <v>4207</v>
      </c>
      <c r="G332" s="4" t="s">
        <v>2620</v>
      </c>
      <c r="H332" s="55">
        <v>45000</v>
      </c>
      <c r="I332" s="56"/>
      <c r="J332" s="56"/>
      <c r="K332" s="78"/>
      <c r="L332" s="57"/>
      <c r="M332" s="57"/>
    </row>
    <row r="333" spans="1:13" ht="15" customHeight="1">
      <c r="A333" s="73">
        <v>45201</v>
      </c>
      <c r="B333" s="2">
        <v>16517</v>
      </c>
      <c r="C333" s="2" t="s">
        <v>4582</v>
      </c>
      <c r="D333" s="2">
        <v>1</v>
      </c>
      <c r="E333" s="4" t="s">
        <v>4264</v>
      </c>
      <c r="F333" s="4" t="s">
        <v>4207</v>
      </c>
      <c r="G333" s="4" t="s">
        <v>4111</v>
      </c>
      <c r="H333" s="55">
        <v>64350</v>
      </c>
      <c r="I333" s="56"/>
      <c r="J333" s="56"/>
      <c r="K333" s="78"/>
      <c r="L333" s="57"/>
      <c r="M333" s="57"/>
    </row>
    <row r="334" spans="1:13" ht="15" customHeight="1">
      <c r="A334" s="73">
        <v>45171</v>
      </c>
      <c r="B334" s="2">
        <v>16515</v>
      </c>
      <c r="C334" s="2" t="s">
        <v>4580</v>
      </c>
      <c r="D334" s="2">
        <v>1</v>
      </c>
      <c r="E334" s="4" t="s">
        <v>4246</v>
      </c>
      <c r="F334" s="4" t="s">
        <v>4211</v>
      </c>
      <c r="G334" s="4" t="s">
        <v>1753</v>
      </c>
      <c r="H334" s="55">
        <v>95.25</v>
      </c>
      <c r="I334" s="56"/>
      <c r="J334" s="56"/>
      <c r="K334" s="78"/>
      <c r="L334" s="57"/>
      <c r="M334" s="57"/>
    </row>
    <row r="335" spans="1:13" ht="15" customHeight="1">
      <c r="A335" s="73" t="s">
        <v>4584</v>
      </c>
      <c r="B335" s="2">
        <v>16518</v>
      </c>
      <c r="C335" s="2" t="s">
        <v>4583</v>
      </c>
      <c r="D335" s="2">
        <v>1</v>
      </c>
      <c r="E335" s="4" t="s">
        <v>4264</v>
      </c>
      <c r="F335" s="4" t="s">
        <v>4414</v>
      </c>
      <c r="G335" s="4" t="s">
        <v>3547</v>
      </c>
      <c r="H335" s="55">
        <v>10889.1396484375</v>
      </c>
      <c r="I335" s="56"/>
      <c r="J335" s="56"/>
      <c r="K335" s="78"/>
      <c r="L335" s="57"/>
      <c r="M335" s="57"/>
    </row>
    <row r="336" spans="1:13" ht="15" customHeight="1">
      <c r="A336" s="73" t="s">
        <v>4584</v>
      </c>
      <c r="B336" s="2">
        <v>16519</v>
      </c>
      <c r="C336" s="2" t="s">
        <v>4585</v>
      </c>
      <c r="D336" s="2">
        <v>1</v>
      </c>
      <c r="E336" s="4" t="s">
        <v>4264</v>
      </c>
      <c r="F336" s="4" t="s">
        <v>4207</v>
      </c>
      <c r="G336" s="4" t="s">
        <v>2620</v>
      </c>
      <c r="H336" s="55">
        <v>7500</v>
      </c>
      <c r="I336" s="56"/>
      <c r="J336" s="56"/>
      <c r="K336" s="78"/>
      <c r="L336" s="57"/>
      <c r="M336" s="57"/>
    </row>
    <row r="337" spans="1:13" ht="15" customHeight="1">
      <c r="A337" s="73" t="s">
        <v>4587</v>
      </c>
      <c r="B337" s="2">
        <v>16520</v>
      </c>
      <c r="C337" s="2" t="s">
        <v>4586</v>
      </c>
      <c r="D337" s="2">
        <v>1</v>
      </c>
      <c r="E337" s="4" t="s">
        <v>4215</v>
      </c>
      <c r="F337" s="4" t="s">
        <v>4245</v>
      </c>
      <c r="G337" s="4" t="s">
        <v>3692</v>
      </c>
      <c r="H337" s="55">
        <v>407322.9375</v>
      </c>
      <c r="I337" s="56"/>
      <c r="J337" s="56"/>
      <c r="K337" s="78"/>
      <c r="L337" s="57"/>
      <c r="M337" s="57"/>
    </row>
    <row r="338" spans="1:13" ht="15" customHeight="1">
      <c r="A338" s="73" t="s">
        <v>4587</v>
      </c>
      <c r="B338" s="2">
        <v>16521</v>
      </c>
      <c r="C338" s="2" t="s">
        <v>4588</v>
      </c>
      <c r="D338" s="2">
        <v>1</v>
      </c>
      <c r="E338" s="4" t="s">
        <v>4215</v>
      </c>
      <c r="F338" s="4" t="s">
        <v>4220</v>
      </c>
      <c r="G338" s="4" t="s">
        <v>3265</v>
      </c>
      <c r="H338" s="55">
        <v>21787.01953125</v>
      </c>
      <c r="I338" s="56"/>
      <c r="J338" s="56"/>
      <c r="K338" s="78"/>
      <c r="L338" s="57"/>
      <c r="M338" s="57"/>
    </row>
    <row r="339" spans="1:13" ht="15" customHeight="1">
      <c r="A339" s="73" t="s">
        <v>4591</v>
      </c>
      <c r="B339" s="2">
        <v>16522</v>
      </c>
      <c r="C339" s="2" t="s">
        <v>4589</v>
      </c>
      <c r="D339" s="2">
        <v>10</v>
      </c>
      <c r="E339" s="4" t="s">
        <v>4264</v>
      </c>
      <c r="F339" s="4" t="s">
        <v>4414</v>
      </c>
      <c r="G339" s="4" t="s">
        <v>3547</v>
      </c>
      <c r="H339" s="55">
        <v>3802</v>
      </c>
      <c r="I339" s="56"/>
      <c r="J339" s="56"/>
      <c r="K339" s="78"/>
      <c r="L339" s="57"/>
      <c r="M339" s="57"/>
    </row>
    <row r="340" spans="1:13" ht="15" customHeight="1">
      <c r="A340" s="73"/>
      <c r="B340" s="2"/>
      <c r="C340" s="2" t="s">
        <v>4590</v>
      </c>
      <c r="D340" s="2">
        <v>10</v>
      </c>
      <c r="E340" s="4"/>
      <c r="F340" s="4"/>
      <c r="G340" s="4"/>
      <c r="H340" s="55"/>
      <c r="I340" s="56"/>
      <c r="J340" s="56"/>
      <c r="K340" s="78"/>
      <c r="L340" s="57"/>
      <c r="M340" s="57"/>
    </row>
    <row r="341" spans="1:13" ht="15" customHeight="1">
      <c r="A341" s="73" t="s">
        <v>4591</v>
      </c>
      <c r="B341" s="2">
        <v>16523</v>
      </c>
      <c r="C341" s="2" t="s">
        <v>4592</v>
      </c>
      <c r="D341" s="2">
        <v>153</v>
      </c>
      <c r="E341" s="4" t="s">
        <v>4264</v>
      </c>
      <c r="F341" s="4" t="s">
        <v>4211</v>
      </c>
      <c r="G341" s="4" t="s">
        <v>3752</v>
      </c>
      <c r="H341" s="55">
        <v>111272.3125</v>
      </c>
      <c r="I341" s="56"/>
      <c r="J341" s="56"/>
      <c r="K341" s="78"/>
      <c r="L341" s="57"/>
      <c r="M341" s="57"/>
    </row>
    <row r="342" spans="1:13" ht="15" customHeight="1">
      <c r="A342" s="73" t="s">
        <v>4591</v>
      </c>
      <c r="B342" s="2">
        <v>16524</v>
      </c>
      <c r="C342" s="2" t="s">
        <v>4593</v>
      </c>
      <c r="D342" s="2">
        <v>1</v>
      </c>
      <c r="E342" s="4" t="s">
        <v>4264</v>
      </c>
      <c r="F342" s="4" t="s">
        <v>4211</v>
      </c>
      <c r="G342" s="4" t="s">
        <v>3941</v>
      </c>
      <c r="H342" s="55">
        <v>6000</v>
      </c>
      <c r="I342" s="56"/>
      <c r="J342" s="56"/>
      <c r="K342" s="78"/>
      <c r="L342" s="57"/>
      <c r="M342" s="57"/>
    </row>
    <row r="343" spans="1:13" ht="15" customHeight="1">
      <c r="A343" s="73" t="s">
        <v>4591</v>
      </c>
      <c r="B343" s="2">
        <v>16525</v>
      </c>
      <c r="C343" s="2" t="s">
        <v>4594</v>
      </c>
      <c r="D343" s="2">
        <v>1</v>
      </c>
      <c r="E343" s="4" t="s">
        <v>4596</v>
      </c>
      <c r="F343" s="4" t="s">
        <v>4211</v>
      </c>
      <c r="G343" s="4" t="s">
        <v>4095</v>
      </c>
      <c r="H343" s="55">
        <v>42000</v>
      </c>
      <c r="I343" s="56"/>
      <c r="J343" s="56"/>
      <c r="K343" s="78"/>
      <c r="L343" s="57"/>
      <c r="M343" s="57"/>
    </row>
    <row r="344" spans="1:13" ht="15" customHeight="1">
      <c r="A344" s="73"/>
      <c r="B344" s="2"/>
      <c r="C344" s="2" t="s">
        <v>4595</v>
      </c>
      <c r="D344" s="2">
        <v>2</v>
      </c>
      <c r="E344" s="4"/>
      <c r="F344" s="4"/>
      <c r="G344" s="4"/>
      <c r="H344" s="55"/>
      <c r="I344" s="56"/>
      <c r="J344" s="56"/>
      <c r="K344" s="78"/>
      <c r="L344" s="57"/>
      <c r="M344" s="57"/>
    </row>
    <row r="345" spans="1:13" ht="15" customHeight="1">
      <c r="A345" s="73" t="s">
        <v>4591</v>
      </c>
      <c r="B345" s="2">
        <v>16525</v>
      </c>
      <c r="C345" s="2" t="s">
        <v>4594</v>
      </c>
      <c r="D345" s="2">
        <v>1</v>
      </c>
      <c r="E345" s="4" t="s">
        <v>4264</v>
      </c>
      <c r="F345" s="4" t="s">
        <v>4211</v>
      </c>
      <c r="G345" s="4" t="s">
        <v>4095</v>
      </c>
      <c r="H345" s="55">
        <v>42000</v>
      </c>
      <c r="I345" s="56"/>
      <c r="J345" s="56"/>
      <c r="K345" s="78"/>
      <c r="L345" s="57"/>
      <c r="M345" s="57"/>
    </row>
    <row r="346" spans="1:13" ht="15" customHeight="1">
      <c r="A346" s="73"/>
      <c r="B346" s="2"/>
      <c r="C346" s="2" t="s">
        <v>4595</v>
      </c>
      <c r="D346" s="2">
        <v>2</v>
      </c>
      <c r="E346" s="4"/>
      <c r="F346" s="4"/>
      <c r="G346" s="4"/>
      <c r="H346" s="55"/>
      <c r="I346" s="56"/>
      <c r="J346" s="56"/>
      <c r="K346" s="78"/>
      <c r="L346" s="57"/>
      <c r="M346" s="57"/>
    </row>
    <row r="347" spans="1:13" ht="15" customHeight="1">
      <c r="A347" s="73" t="s">
        <v>4591</v>
      </c>
      <c r="B347" s="2">
        <v>16526</v>
      </c>
      <c r="C347" s="2" t="s">
        <v>4597</v>
      </c>
      <c r="D347" s="2">
        <v>347</v>
      </c>
      <c r="E347" s="4" t="s">
        <v>4246</v>
      </c>
      <c r="F347" s="4" t="s">
        <v>4211</v>
      </c>
      <c r="G347" s="4" t="s">
        <v>4124</v>
      </c>
      <c r="H347" s="55">
        <v>608780</v>
      </c>
      <c r="I347" s="56"/>
      <c r="J347" s="56"/>
      <c r="K347" s="78"/>
      <c r="L347" s="57"/>
      <c r="M347" s="57"/>
    </row>
    <row r="348" spans="1:13" ht="15" customHeight="1">
      <c r="A348" s="73"/>
      <c r="B348" s="2"/>
      <c r="C348" s="2" t="s">
        <v>4598</v>
      </c>
      <c r="D348" s="2">
        <v>960</v>
      </c>
      <c r="E348" s="4"/>
      <c r="F348" s="4"/>
      <c r="G348" s="4"/>
      <c r="H348" s="55"/>
      <c r="I348" s="56"/>
      <c r="J348" s="56"/>
      <c r="K348" s="78"/>
      <c r="L348" s="57"/>
      <c r="M348" s="57"/>
    </row>
    <row r="349" spans="1:13" ht="15" customHeight="1">
      <c r="A349" s="73"/>
      <c r="B349" s="2"/>
      <c r="C349" s="2" t="s">
        <v>4599</v>
      </c>
      <c r="D349" s="2">
        <v>65</v>
      </c>
      <c r="E349" s="4"/>
      <c r="F349" s="4"/>
      <c r="G349" s="4"/>
      <c r="H349" s="55"/>
      <c r="I349" s="56"/>
      <c r="J349" s="56"/>
      <c r="K349" s="78"/>
      <c r="L349" s="57"/>
      <c r="M349" s="57"/>
    </row>
    <row r="350" spans="1:13" ht="15" customHeight="1">
      <c r="A350" s="73"/>
      <c r="B350" s="2"/>
      <c r="C350" s="2" t="s">
        <v>4600</v>
      </c>
      <c r="D350" s="2">
        <v>4</v>
      </c>
      <c r="E350" s="4"/>
      <c r="F350" s="4"/>
      <c r="G350" s="4"/>
      <c r="H350" s="55"/>
      <c r="I350" s="56"/>
      <c r="J350" s="56"/>
      <c r="K350" s="78"/>
      <c r="L350" s="57"/>
      <c r="M350" s="57"/>
    </row>
    <row r="351" spans="1:13" ht="15" customHeight="1">
      <c r="A351" s="73" t="s">
        <v>4603</v>
      </c>
      <c r="B351" s="2">
        <v>16527</v>
      </c>
      <c r="C351" s="2" t="s">
        <v>4601</v>
      </c>
      <c r="D351" s="2">
        <v>12</v>
      </c>
      <c r="E351" s="4" t="s">
        <v>4264</v>
      </c>
      <c r="F351" s="4" t="s">
        <v>4207</v>
      </c>
      <c r="G351" s="4" t="s">
        <v>4111</v>
      </c>
      <c r="H351" s="55">
        <v>61200</v>
      </c>
      <c r="I351" s="56"/>
      <c r="J351" s="56"/>
      <c r="K351" s="78"/>
      <c r="L351" s="57"/>
      <c r="M351" s="57"/>
    </row>
    <row r="352" spans="1:13" ht="15" customHeight="1">
      <c r="A352" s="73"/>
      <c r="B352" s="2"/>
      <c r="C352" s="2" t="s">
        <v>4602</v>
      </c>
      <c r="D352" s="2">
        <v>12</v>
      </c>
      <c r="E352" s="4"/>
      <c r="F352" s="4"/>
      <c r="G352" s="4"/>
      <c r="H352" s="55"/>
      <c r="I352" s="56"/>
      <c r="J352" s="56"/>
      <c r="K352" s="78"/>
      <c r="L352" s="57"/>
      <c r="M352" s="57"/>
    </row>
    <row r="353" spans="1:13" ht="15" customHeight="1">
      <c r="A353" s="73" t="s">
        <v>4603</v>
      </c>
      <c r="B353" s="2">
        <v>16528</v>
      </c>
      <c r="C353" s="2" t="s">
        <v>4604</v>
      </c>
      <c r="D353" s="2">
        <v>300</v>
      </c>
      <c r="E353" s="4" t="s">
        <v>4237</v>
      </c>
      <c r="F353" s="4" t="s">
        <v>4217</v>
      </c>
      <c r="G353" s="4" t="s">
        <v>3738</v>
      </c>
      <c r="H353" s="55">
        <v>2985000</v>
      </c>
      <c r="I353" s="56"/>
      <c r="J353" s="56"/>
      <c r="K353" s="78"/>
      <c r="L353" s="57"/>
      <c r="M353" s="57"/>
    </row>
    <row r="354" spans="1:13" ht="15" customHeight="1">
      <c r="A354" s="73"/>
      <c r="B354" s="2"/>
      <c r="C354" s="2" t="s">
        <v>4605</v>
      </c>
      <c r="D354" s="2">
        <v>300</v>
      </c>
      <c r="E354" s="4"/>
      <c r="F354" s="4"/>
      <c r="G354" s="4"/>
      <c r="H354" s="55"/>
      <c r="I354" s="56"/>
      <c r="J354" s="56"/>
      <c r="K354" s="78"/>
      <c r="L354" s="57"/>
      <c r="M354" s="57"/>
    </row>
    <row r="355" spans="1:13" ht="15" customHeight="1">
      <c r="A355" s="73" t="s">
        <v>4603</v>
      </c>
      <c r="B355" s="2">
        <v>16529</v>
      </c>
      <c r="C355" s="2" t="s">
        <v>4606</v>
      </c>
      <c r="D355" s="2">
        <v>33.599998474121094</v>
      </c>
      <c r="E355" s="4" t="s">
        <v>4264</v>
      </c>
      <c r="F355" s="4" t="s">
        <v>4207</v>
      </c>
      <c r="G355" s="4" t="s">
        <v>3903</v>
      </c>
      <c r="H355" s="55">
        <v>536000</v>
      </c>
      <c r="I355" s="56"/>
      <c r="J355" s="56"/>
      <c r="K355" s="78"/>
      <c r="L355" s="57"/>
      <c r="M355" s="57"/>
    </row>
    <row r="356" spans="1:13" ht="15" customHeight="1">
      <c r="A356" s="73"/>
      <c r="B356" s="2"/>
      <c r="C356" s="2" t="s">
        <v>4607</v>
      </c>
      <c r="D356" s="2">
        <v>1</v>
      </c>
      <c r="E356" s="4"/>
      <c r="F356" s="4"/>
      <c r="G356" s="4"/>
      <c r="H356" s="55"/>
      <c r="I356" s="56"/>
      <c r="J356" s="56"/>
      <c r="K356" s="78"/>
      <c r="L356" s="57"/>
      <c r="M356" s="57"/>
    </row>
    <row r="357" spans="1:13" ht="15" customHeight="1">
      <c r="A357" s="73" t="s">
        <v>4610</v>
      </c>
      <c r="B357" s="2">
        <v>16530</v>
      </c>
      <c r="C357" s="2" t="s">
        <v>4608</v>
      </c>
      <c r="D357" s="2">
        <v>33.599998474121094</v>
      </c>
      <c r="E357" s="4" t="s">
        <v>4546</v>
      </c>
      <c r="F357" s="4" t="s">
        <v>4227</v>
      </c>
      <c r="G357" s="4" t="s">
        <v>3903</v>
      </c>
      <c r="H357" s="55">
        <v>536000</v>
      </c>
      <c r="I357" s="56"/>
      <c r="J357" s="56"/>
      <c r="K357" s="78"/>
      <c r="L357" s="57"/>
      <c r="M357" s="57"/>
    </row>
    <row r="358" spans="1:13" ht="15" customHeight="1">
      <c r="A358" s="73"/>
      <c r="B358" s="2"/>
      <c r="C358" s="2" t="s">
        <v>4609</v>
      </c>
      <c r="D358" s="2">
        <v>1</v>
      </c>
      <c r="E358" s="4"/>
      <c r="F358" s="4"/>
      <c r="G358" s="4"/>
      <c r="H358" s="55"/>
      <c r="I358" s="56"/>
      <c r="J358" s="56"/>
      <c r="K358" s="78"/>
      <c r="L358" s="57"/>
      <c r="M358" s="57"/>
    </row>
    <row r="359" spans="1:13" ht="15" customHeight="1">
      <c r="A359" s="73" t="s">
        <v>4610</v>
      </c>
      <c r="B359" s="2">
        <v>16531</v>
      </c>
      <c r="C359" s="2" t="s">
        <v>4611</v>
      </c>
      <c r="D359" s="2">
        <v>1</v>
      </c>
      <c r="E359" s="4" t="s">
        <v>4264</v>
      </c>
      <c r="F359" s="4" t="s">
        <v>4207</v>
      </c>
      <c r="G359" s="4" t="s">
        <v>2115</v>
      </c>
      <c r="H359" s="55">
        <v>12375.7802734375</v>
      </c>
      <c r="I359" s="56"/>
      <c r="J359" s="56"/>
      <c r="K359" s="78"/>
      <c r="L359" s="57"/>
      <c r="M359" s="57"/>
    </row>
    <row r="360" spans="1:13" ht="15" customHeight="1">
      <c r="A360" s="73"/>
      <c r="B360" s="2"/>
      <c r="C360" s="2" t="s">
        <v>4612</v>
      </c>
      <c r="D360" s="2">
        <v>1</v>
      </c>
      <c r="E360" s="4"/>
      <c r="F360" s="4"/>
      <c r="G360" s="4"/>
      <c r="H360" s="55"/>
      <c r="I360" s="56"/>
      <c r="J360" s="56"/>
      <c r="K360" s="78"/>
      <c r="L360" s="57"/>
      <c r="M360" s="57"/>
    </row>
    <row r="361" spans="1:13" ht="15" customHeight="1">
      <c r="A361" s="73"/>
      <c r="B361" s="2"/>
      <c r="C361" s="2" t="s">
        <v>4613</v>
      </c>
      <c r="D361" s="2">
        <v>1</v>
      </c>
      <c r="E361" s="4"/>
      <c r="F361" s="4"/>
      <c r="G361" s="4"/>
      <c r="H361" s="55"/>
      <c r="I361" s="56"/>
      <c r="J361" s="56"/>
      <c r="K361" s="78"/>
      <c r="L361" s="57"/>
      <c r="M361" s="57"/>
    </row>
    <row r="362" spans="1:13" ht="15" customHeight="1">
      <c r="A362" s="73"/>
      <c r="B362" s="2"/>
      <c r="C362" s="2" t="s">
        <v>4614</v>
      </c>
      <c r="D362" s="2">
        <v>1</v>
      </c>
      <c r="E362" s="4"/>
      <c r="F362" s="4"/>
      <c r="G362" s="4"/>
      <c r="H362" s="55"/>
      <c r="I362" s="56"/>
      <c r="J362" s="56"/>
      <c r="K362" s="78"/>
      <c r="L362" s="57"/>
      <c r="M362" s="57"/>
    </row>
    <row r="363" spans="1:13" ht="15" customHeight="1">
      <c r="A363" s="73" t="s">
        <v>4610</v>
      </c>
      <c r="B363" s="2">
        <v>16532</v>
      </c>
      <c r="C363" s="2" t="s">
        <v>4615</v>
      </c>
      <c r="D363" s="2">
        <v>1</v>
      </c>
      <c r="E363" s="4" t="s">
        <v>4264</v>
      </c>
      <c r="F363" s="4" t="s">
        <v>4207</v>
      </c>
      <c r="G363" s="4" t="s">
        <v>2115</v>
      </c>
      <c r="H363" s="55">
        <v>7024.7900390625</v>
      </c>
      <c r="I363" s="56"/>
      <c r="J363" s="56"/>
      <c r="K363" s="78"/>
      <c r="L363" s="57"/>
      <c r="M363" s="57"/>
    </row>
    <row r="364" spans="1:13" ht="15" customHeight="1">
      <c r="A364" s="73" t="s">
        <v>4610</v>
      </c>
      <c r="B364" s="2">
        <v>16533</v>
      </c>
      <c r="C364" s="2" t="s">
        <v>4616</v>
      </c>
      <c r="D364" s="2">
        <v>1</v>
      </c>
      <c r="E364" s="4" t="s">
        <v>4264</v>
      </c>
      <c r="F364" s="4" t="s">
        <v>4207</v>
      </c>
      <c r="G364" s="4" t="s">
        <v>1753</v>
      </c>
      <c r="H364" s="55">
        <v>0.11999999731779099</v>
      </c>
      <c r="I364" s="56"/>
      <c r="J364" s="56"/>
      <c r="K364" s="78"/>
      <c r="L364" s="57"/>
      <c r="M364" s="57"/>
    </row>
    <row r="365" spans="1:13" ht="15" customHeight="1">
      <c r="A365" s="73" t="s">
        <v>4610</v>
      </c>
      <c r="B365" s="2">
        <v>16534</v>
      </c>
      <c r="C365" s="2" t="s">
        <v>4617</v>
      </c>
      <c r="D365" s="2">
        <v>4</v>
      </c>
      <c r="E365" s="4" t="s">
        <v>4264</v>
      </c>
      <c r="F365" s="4" t="s">
        <v>4207</v>
      </c>
      <c r="G365" s="4" t="s">
        <v>1717</v>
      </c>
      <c r="H365" s="55">
        <v>900</v>
      </c>
      <c r="I365" s="56"/>
      <c r="J365" s="56"/>
      <c r="K365" s="78"/>
      <c r="L365" s="57"/>
      <c r="M365" s="57"/>
    </row>
    <row r="366" spans="1:13" ht="15" customHeight="1">
      <c r="A366" s="73"/>
      <c r="B366" s="2"/>
      <c r="C366" s="2" t="s">
        <v>4618</v>
      </c>
      <c r="D366" s="2">
        <v>60</v>
      </c>
      <c r="E366" s="4"/>
      <c r="F366" s="4"/>
      <c r="G366" s="4"/>
      <c r="H366" s="55"/>
      <c r="I366" s="56"/>
      <c r="J366" s="56"/>
      <c r="K366" s="78"/>
      <c r="L366" s="57"/>
      <c r="M366" s="57"/>
    </row>
    <row r="367" spans="1:13" ht="15" customHeight="1">
      <c r="A367" s="73"/>
      <c r="B367" s="2"/>
      <c r="C367" s="2" t="s">
        <v>4619</v>
      </c>
      <c r="D367" s="2">
        <v>60</v>
      </c>
      <c r="E367" s="4"/>
      <c r="F367" s="4"/>
      <c r="G367" s="4"/>
      <c r="H367" s="55"/>
      <c r="I367" s="56"/>
      <c r="J367" s="56"/>
      <c r="K367" s="78"/>
      <c r="L367" s="57"/>
      <c r="M367" s="57"/>
    </row>
    <row r="368" spans="1:13" ht="15" customHeight="1">
      <c r="A368" s="73" t="s">
        <v>4610</v>
      </c>
      <c r="B368" s="2">
        <v>16535</v>
      </c>
      <c r="C368" s="2" t="s">
        <v>4620</v>
      </c>
      <c r="D368" s="2">
        <v>2</v>
      </c>
      <c r="E368" s="4" t="s">
        <v>4622</v>
      </c>
      <c r="F368" s="4" t="s">
        <v>4220</v>
      </c>
      <c r="G368" s="4" t="s">
        <v>4200</v>
      </c>
      <c r="H368" s="55">
        <v>55752.30859375</v>
      </c>
      <c r="I368" s="56"/>
      <c r="J368" s="56"/>
      <c r="K368" s="78"/>
      <c r="L368" s="57"/>
      <c r="M368" s="57"/>
    </row>
    <row r="369" spans="1:13" ht="15" customHeight="1">
      <c r="A369" s="73"/>
      <c r="B369" s="2"/>
      <c r="C369" s="2" t="s">
        <v>4621</v>
      </c>
      <c r="D369" s="2">
        <v>1</v>
      </c>
      <c r="E369" s="4"/>
      <c r="F369" s="4"/>
      <c r="G369" s="4"/>
      <c r="H369" s="55"/>
      <c r="I369" s="56"/>
      <c r="J369" s="56"/>
      <c r="K369" s="78"/>
      <c r="L369" s="57"/>
      <c r="M369" s="57"/>
    </row>
    <row r="370" spans="1:13" ht="15" customHeight="1">
      <c r="A370" s="73"/>
      <c r="B370" s="2"/>
      <c r="C370" s="2" t="s">
        <v>4378</v>
      </c>
      <c r="D370" s="2">
        <v>15</v>
      </c>
      <c r="E370" s="4"/>
      <c r="F370" s="4"/>
      <c r="G370" s="4"/>
      <c r="H370" s="55"/>
      <c r="I370" s="56"/>
      <c r="J370" s="56"/>
      <c r="K370" s="78"/>
      <c r="L370" s="57"/>
      <c r="M370" s="57"/>
    </row>
    <row r="371" spans="1:13" ht="15" customHeight="1">
      <c r="A371" s="73" t="s">
        <v>4626</v>
      </c>
      <c r="B371" s="2">
        <v>16536</v>
      </c>
      <c r="C371" s="2" t="s">
        <v>4623</v>
      </c>
      <c r="D371" s="2">
        <v>1</v>
      </c>
      <c r="E371" s="4" t="s">
        <v>4625</v>
      </c>
      <c r="F371" s="4" t="s">
        <v>4624</v>
      </c>
      <c r="G371" s="4" t="s">
        <v>1425</v>
      </c>
      <c r="H371" s="55">
        <v>378000</v>
      </c>
      <c r="I371" s="56"/>
      <c r="J371" s="56"/>
      <c r="K371" s="78"/>
      <c r="L371" s="57"/>
      <c r="M371" s="57"/>
    </row>
    <row r="372" spans="1:13" ht="15" customHeight="1">
      <c r="A372" s="73" t="s">
        <v>4629</v>
      </c>
      <c r="B372" s="2">
        <v>16537</v>
      </c>
      <c r="C372" s="2" t="s">
        <v>4627</v>
      </c>
      <c r="D372" s="2">
        <v>1</v>
      </c>
      <c r="E372" s="4" t="s">
        <v>4628</v>
      </c>
      <c r="F372" s="4" t="s">
        <v>4239</v>
      </c>
      <c r="G372" s="4" t="s">
        <v>3100</v>
      </c>
      <c r="H372" s="55">
        <v>112215</v>
      </c>
      <c r="I372" s="56"/>
      <c r="J372" s="56"/>
      <c r="K372" s="78"/>
      <c r="L372" s="57"/>
      <c r="M372" s="57"/>
    </row>
    <row r="373" spans="1:13" ht="15" customHeight="1">
      <c r="A373" s="73" t="s">
        <v>4629</v>
      </c>
      <c r="B373" s="2">
        <v>16538</v>
      </c>
      <c r="C373" s="2" t="s">
        <v>4630</v>
      </c>
      <c r="D373" s="2">
        <v>20</v>
      </c>
      <c r="E373" s="4" t="s">
        <v>4264</v>
      </c>
      <c r="F373" s="4" t="s">
        <v>4414</v>
      </c>
      <c r="G373" s="4" t="s">
        <v>450</v>
      </c>
      <c r="H373" s="55">
        <v>206739.40625</v>
      </c>
      <c r="I373" s="56"/>
      <c r="J373" s="56"/>
      <c r="K373" s="78"/>
      <c r="L373" s="57"/>
      <c r="M373" s="57"/>
    </row>
    <row r="374" spans="1:13" ht="15" customHeight="1">
      <c r="A374" s="73" t="s">
        <v>4634</v>
      </c>
      <c r="B374" s="2">
        <v>16539</v>
      </c>
      <c r="C374" s="2" t="s">
        <v>4631</v>
      </c>
      <c r="D374" s="2">
        <v>24</v>
      </c>
      <c r="E374" s="4" t="s">
        <v>4246</v>
      </c>
      <c r="F374" s="4" t="s">
        <v>4245</v>
      </c>
      <c r="G374" s="4" t="s">
        <v>655</v>
      </c>
      <c r="H374" s="55">
        <v>0</v>
      </c>
      <c r="I374" s="56"/>
      <c r="J374" s="56"/>
      <c r="K374" s="78"/>
      <c r="L374" s="57"/>
      <c r="M374" s="57"/>
    </row>
    <row r="375" spans="1:13" ht="15" customHeight="1">
      <c r="A375" s="73"/>
      <c r="B375" s="2"/>
      <c r="C375" s="2" t="s">
        <v>4632</v>
      </c>
      <c r="D375" s="2">
        <v>10</v>
      </c>
      <c r="E375" s="4"/>
      <c r="F375" s="4"/>
      <c r="G375" s="4"/>
      <c r="H375" s="55"/>
      <c r="I375" s="56"/>
      <c r="J375" s="56"/>
      <c r="K375" s="78"/>
      <c r="L375" s="57"/>
      <c r="M375" s="57"/>
    </row>
    <row r="376" spans="1:13" ht="15" customHeight="1">
      <c r="A376" s="73"/>
      <c r="B376" s="2"/>
      <c r="C376" s="2" t="s">
        <v>4633</v>
      </c>
      <c r="D376" s="2">
        <v>6</v>
      </c>
      <c r="E376" s="4"/>
      <c r="F376" s="4"/>
      <c r="G376" s="4"/>
      <c r="H376" s="55"/>
      <c r="I376" s="56"/>
      <c r="J376" s="56"/>
      <c r="K376" s="78"/>
      <c r="L376" s="57"/>
      <c r="M376" s="57"/>
    </row>
    <row r="377" spans="1:13" ht="15" customHeight="1">
      <c r="A377" s="73" t="s">
        <v>4636</v>
      </c>
      <c r="B377" s="2">
        <v>16540</v>
      </c>
      <c r="C377" s="2" t="s">
        <v>4635</v>
      </c>
      <c r="D377" s="2">
        <v>1</v>
      </c>
      <c r="E377" s="4" t="s">
        <v>4215</v>
      </c>
      <c r="F377" s="4" t="s">
        <v>4220</v>
      </c>
      <c r="G377" s="4" t="s">
        <v>4200</v>
      </c>
      <c r="H377" s="55">
        <v>3400</v>
      </c>
      <c r="I377" s="56"/>
      <c r="J377" s="56"/>
      <c r="K377" s="78"/>
      <c r="L377" s="57"/>
      <c r="M377" s="57"/>
    </row>
    <row r="378" spans="1:13" ht="15" customHeight="1">
      <c r="A378" s="73" t="s">
        <v>4636</v>
      </c>
      <c r="B378" s="2">
        <v>16541</v>
      </c>
      <c r="C378" s="2" t="s">
        <v>4637</v>
      </c>
      <c r="D378" s="2">
        <v>50</v>
      </c>
      <c r="E378" s="4" t="s">
        <v>4237</v>
      </c>
      <c r="F378" s="4" t="s">
        <v>4220</v>
      </c>
      <c r="G378" s="4" t="s">
        <v>4200</v>
      </c>
      <c r="H378" s="55">
        <v>634600</v>
      </c>
      <c r="I378" s="56"/>
      <c r="J378" s="56"/>
      <c r="K378" s="78"/>
      <c r="L378" s="57"/>
      <c r="M378" s="57"/>
    </row>
    <row r="379" spans="1:13" ht="15" customHeight="1">
      <c r="A379" s="73" t="s">
        <v>4636</v>
      </c>
      <c r="B379" s="2">
        <v>16542</v>
      </c>
      <c r="C379" s="2" t="s">
        <v>4637</v>
      </c>
      <c r="D379" s="2">
        <v>50</v>
      </c>
      <c r="E379" s="4" t="s">
        <v>4237</v>
      </c>
      <c r="F379" s="4" t="s">
        <v>4212</v>
      </c>
      <c r="G379" s="4" t="s">
        <v>3692</v>
      </c>
      <c r="H379" s="55">
        <v>634600</v>
      </c>
      <c r="I379" s="56"/>
      <c r="J379" s="56"/>
      <c r="K379" s="78"/>
      <c r="L379" s="57"/>
      <c r="M379" s="57"/>
    </row>
    <row r="380" spans="1:13" ht="15" customHeight="1">
      <c r="A380" s="73" t="s">
        <v>4636</v>
      </c>
      <c r="B380" s="2">
        <v>16543</v>
      </c>
      <c r="C380" s="2" t="s">
        <v>4638</v>
      </c>
      <c r="D380" s="2">
        <v>2</v>
      </c>
      <c r="E380" s="4" t="s">
        <v>4246</v>
      </c>
      <c r="F380" s="4" t="s">
        <v>4245</v>
      </c>
      <c r="G380" s="4" t="s">
        <v>2402</v>
      </c>
      <c r="H380" s="55">
        <v>217077</v>
      </c>
      <c r="I380" s="56"/>
      <c r="J380" s="56"/>
      <c r="K380" s="78"/>
      <c r="L380" s="57"/>
      <c r="M380" s="57"/>
    </row>
    <row r="381" spans="1:13" ht="15" customHeight="1">
      <c r="A381" s="73"/>
      <c r="B381" s="2"/>
      <c r="C381" s="2" t="s">
        <v>4639</v>
      </c>
      <c r="D381" s="2">
        <v>10</v>
      </c>
      <c r="E381" s="4"/>
      <c r="F381" s="4"/>
      <c r="G381" s="4"/>
      <c r="H381" s="55"/>
      <c r="I381" s="56"/>
      <c r="J381" s="56"/>
      <c r="K381" s="78"/>
      <c r="L381" s="57"/>
      <c r="M381" s="57"/>
    </row>
    <row r="382" spans="1:13" ht="15" customHeight="1">
      <c r="A382" s="73"/>
      <c r="B382" s="2"/>
      <c r="C382" s="2" t="s">
        <v>4640</v>
      </c>
      <c r="D382" s="2">
        <v>11</v>
      </c>
      <c r="E382" s="4"/>
      <c r="F382" s="4"/>
      <c r="G382" s="4"/>
      <c r="H382" s="55"/>
      <c r="I382" s="56"/>
      <c r="J382" s="56"/>
      <c r="K382" s="78"/>
      <c r="L382" s="57"/>
      <c r="M382" s="57"/>
    </row>
    <row r="383" spans="1:13" ht="15" customHeight="1">
      <c r="A383" s="73" t="s">
        <v>4636</v>
      </c>
      <c r="B383" s="2">
        <v>16544</v>
      </c>
      <c r="C383" s="2" t="s">
        <v>4641</v>
      </c>
      <c r="D383" s="2">
        <v>16</v>
      </c>
      <c r="E383" s="4" t="s">
        <v>4643</v>
      </c>
      <c r="F383" s="4" t="s">
        <v>4259</v>
      </c>
      <c r="G383" s="4" t="s">
        <v>3295</v>
      </c>
      <c r="H383" s="55">
        <v>11592200</v>
      </c>
      <c r="I383" s="56"/>
      <c r="J383" s="56"/>
      <c r="K383" s="78"/>
      <c r="L383" s="57"/>
      <c r="M383" s="57"/>
    </row>
    <row r="384" spans="1:13" ht="15" customHeight="1">
      <c r="A384" s="73"/>
      <c r="B384" s="2"/>
      <c r="C384" s="2" t="s">
        <v>4642</v>
      </c>
      <c r="D384" s="2">
        <v>406</v>
      </c>
      <c r="E384" s="4"/>
      <c r="F384" s="4"/>
      <c r="G384" s="4"/>
      <c r="H384" s="55"/>
      <c r="I384" s="56"/>
      <c r="J384" s="56"/>
      <c r="K384" s="78"/>
      <c r="L384" s="57"/>
      <c r="M384" s="57"/>
    </row>
    <row r="385" spans="1:13" ht="15" customHeight="1">
      <c r="A385" s="73" t="s">
        <v>4645</v>
      </c>
      <c r="B385" s="2">
        <v>16545</v>
      </c>
      <c r="C385" s="2" t="s">
        <v>4210</v>
      </c>
      <c r="D385" s="2">
        <v>1</v>
      </c>
      <c r="E385" s="4" t="s">
        <v>4644</v>
      </c>
      <c r="F385" s="4" t="s">
        <v>4211</v>
      </c>
      <c r="G385" s="4" t="s">
        <v>3453</v>
      </c>
      <c r="H385" s="55">
        <v>0</v>
      </c>
      <c r="I385" s="56"/>
      <c r="J385" s="56"/>
      <c r="K385" s="78"/>
      <c r="L385" s="57"/>
      <c r="M385" s="57"/>
    </row>
    <row r="386" spans="1:13" ht="15" customHeight="1">
      <c r="A386" s="73" t="s">
        <v>4645</v>
      </c>
      <c r="B386" s="2">
        <v>16546</v>
      </c>
      <c r="C386" s="2" t="s">
        <v>4649</v>
      </c>
      <c r="D386" s="2">
        <v>1</v>
      </c>
      <c r="E386" s="4" t="s">
        <v>4264</v>
      </c>
      <c r="F386" s="4" t="s">
        <v>4207</v>
      </c>
      <c r="G386" s="4" t="s">
        <v>4646</v>
      </c>
      <c r="H386" s="55">
        <v>1018</v>
      </c>
      <c r="I386" s="56"/>
      <c r="J386" s="56"/>
      <c r="K386" s="78"/>
      <c r="L386" s="57"/>
      <c r="M386" s="57"/>
    </row>
    <row r="387" spans="1:13" ht="15" customHeight="1">
      <c r="A387" s="73"/>
      <c r="B387" s="2"/>
      <c r="C387" s="2" t="s">
        <v>4650</v>
      </c>
      <c r="D387" s="2">
        <v>1</v>
      </c>
      <c r="E387" s="4"/>
      <c r="F387" s="4"/>
      <c r="G387" s="4"/>
      <c r="H387" s="55"/>
      <c r="I387" s="56"/>
      <c r="J387" s="56"/>
      <c r="K387" s="78"/>
      <c r="L387" s="57"/>
      <c r="M387" s="57"/>
    </row>
    <row r="388" spans="1:13" ht="15" customHeight="1">
      <c r="A388" s="73" t="s">
        <v>4645</v>
      </c>
      <c r="B388" s="2">
        <v>16547</v>
      </c>
      <c r="C388" s="2" t="s">
        <v>4235</v>
      </c>
      <c r="D388" s="2">
        <v>200</v>
      </c>
      <c r="E388" s="4" t="s">
        <v>4651</v>
      </c>
      <c r="F388" s="4" t="s">
        <v>4217</v>
      </c>
      <c r="G388" s="4" t="s">
        <v>3295</v>
      </c>
      <c r="H388" s="55">
        <v>6100000</v>
      </c>
      <c r="I388" s="56"/>
      <c r="J388" s="56"/>
      <c r="K388" s="78"/>
      <c r="L388" s="57"/>
      <c r="M388" s="57"/>
    </row>
    <row r="389" spans="1:13" ht="15" customHeight="1">
      <c r="A389" s="73" t="s">
        <v>4645</v>
      </c>
      <c r="B389" s="2">
        <v>16548</v>
      </c>
      <c r="C389" s="2" t="s">
        <v>4425</v>
      </c>
      <c r="D389" s="2">
        <v>210</v>
      </c>
      <c r="E389" s="4" t="s">
        <v>4643</v>
      </c>
      <c r="F389" s="4" t="s">
        <v>4259</v>
      </c>
      <c r="G389" s="4" t="s">
        <v>1338</v>
      </c>
      <c r="H389" s="55">
        <v>728700</v>
      </c>
      <c r="I389" s="56"/>
      <c r="J389" s="56"/>
      <c r="K389" s="78"/>
      <c r="L389" s="57"/>
      <c r="M389" s="57"/>
    </row>
    <row r="390" spans="1:13" ht="15" customHeight="1">
      <c r="A390" s="73" t="s">
        <v>4645</v>
      </c>
      <c r="B390" s="2">
        <v>16549</v>
      </c>
      <c r="C390" s="2" t="s">
        <v>4652</v>
      </c>
      <c r="D390" s="2">
        <v>7</v>
      </c>
      <c r="E390" s="4" t="s">
        <v>4643</v>
      </c>
      <c r="F390" s="4" t="s">
        <v>4259</v>
      </c>
      <c r="G390" s="4" t="s">
        <v>3295</v>
      </c>
      <c r="H390" s="55">
        <v>216300</v>
      </c>
      <c r="I390" s="56"/>
      <c r="J390" s="56"/>
      <c r="K390" s="78"/>
      <c r="L390" s="57"/>
      <c r="M390" s="57"/>
    </row>
    <row r="391" spans="1:13" ht="15" customHeight="1">
      <c r="A391" s="73" t="s">
        <v>4645</v>
      </c>
      <c r="B391" s="2">
        <v>16550</v>
      </c>
      <c r="C391" s="2" t="s">
        <v>4653</v>
      </c>
      <c r="D391" s="2">
        <v>175</v>
      </c>
      <c r="E391" s="4" t="s">
        <v>4643</v>
      </c>
      <c r="F391" s="4" t="s">
        <v>4259</v>
      </c>
      <c r="G391" s="4" t="s">
        <v>3692</v>
      </c>
      <c r="H391" s="55">
        <v>5779800</v>
      </c>
      <c r="I391" s="56"/>
      <c r="J391" s="56"/>
      <c r="K391" s="78"/>
      <c r="L391" s="57"/>
      <c r="M391" s="57"/>
    </row>
    <row r="392" spans="1:13" ht="15" customHeight="1">
      <c r="A392" s="73"/>
      <c r="B392" s="2"/>
      <c r="C392" s="2" t="s">
        <v>4654</v>
      </c>
      <c r="D392" s="2">
        <v>12</v>
      </c>
      <c r="E392" s="4"/>
      <c r="F392" s="4"/>
      <c r="G392" s="4"/>
      <c r="H392" s="55"/>
      <c r="I392" s="56"/>
      <c r="J392" s="56"/>
      <c r="K392" s="78"/>
      <c r="L392" s="57"/>
      <c r="M392" s="57"/>
    </row>
    <row r="393" spans="1:13" ht="15" customHeight="1">
      <c r="A393" s="73" t="s">
        <v>4645</v>
      </c>
      <c r="B393" s="2">
        <v>16551</v>
      </c>
      <c r="C393" s="2" t="s">
        <v>4655</v>
      </c>
      <c r="D393" s="2">
        <v>60000</v>
      </c>
      <c r="E393" s="4" t="s">
        <v>4656</v>
      </c>
      <c r="F393" s="4" t="s">
        <v>4217</v>
      </c>
      <c r="G393" s="4" t="s">
        <v>4158</v>
      </c>
      <c r="H393" s="55">
        <v>24000000</v>
      </c>
      <c r="I393" s="56"/>
      <c r="J393" s="56"/>
      <c r="K393" s="78"/>
      <c r="L393" s="57"/>
      <c r="M393" s="57"/>
    </row>
    <row r="394" spans="1:13" ht="15" customHeight="1">
      <c r="A394" s="73" t="s">
        <v>4645</v>
      </c>
      <c r="B394" s="2">
        <v>16552</v>
      </c>
      <c r="C394" s="2" t="s">
        <v>4657</v>
      </c>
      <c r="D394" s="2">
        <v>15</v>
      </c>
      <c r="E394" s="4" t="s">
        <v>4658</v>
      </c>
      <c r="F394" s="4" t="s">
        <v>4220</v>
      </c>
      <c r="G394" s="4" t="s">
        <v>3265</v>
      </c>
      <c r="H394" s="55">
        <v>102696.6015625</v>
      </c>
      <c r="I394" s="56"/>
      <c r="J394" s="56"/>
      <c r="K394" s="78"/>
      <c r="L394" s="57"/>
      <c r="M394" s="57"/>
    </row>
    <row r="395" spans="1:13" ht="15" customHeight="1">
      <c r="A395" s="73" t="s">
        <v>4645</v>
      </c>
      <c r="B395" s="2">
        <v>16553</v>
      </c>
      <c r="C395" s="2" t="s">
        <v>4659</v>
      </c>
      <c r="D395" s="2">
        <v>20</v>
      </c>
      <c r="E395" s="4" t="s">
        <v>4643</v>
      </c>
      <c r="F395" s="4" t="s">
        <v>4259</v>
      </c>
      <c r="G395" s="4" t="s">
        <v>3265</v>
      </c>
      <c r="H395" s="55">
        <v>1555629.5</v>
      </c>
      <c r="I395" s="56"/>
      <c r="J395" s="56"/>
      <c r="K395" s="78"/>
      <c r="L395" s="57"/>
      <c r="M395" s="57"/>
    </row>
    <row r="396" spans="1:13" ht="15" customHeight="1">
      <c r="A396" s="73"/>
      <c r="B396" s="2"/>
      <c r="C396" s="2" t="s">
        <v>4660</v>
      </c>
      <c r="D396" s="2">
        <v>11</v>
      </c>
      <c r="E396" s="4"/>
      <c r="F396" s="4"/>
      <c r="G396" s="4"/>
      <c r="H396" s="55"/>
      <c r="I396" s="56"/>
      <c r="J396" s="56"/>
      <c r="K396" s="78"/>
      <c r="L396" s="57"/>
      <c r="M396" s="57"/>
    </row>
    <row r="397" spans="1:13" ht="15" customHeight="1">
      <c r="A397" s="73" t="s">
        <v>4665</v>
      </c>
      <c r="B397" s="2">
        <v>16554</v>
      </c>
      <c r="C397" s="2" t="s">
        <v>4664</v>
      </c>
      <c r="D397" s="2">
        <v>600</v>
      </c>
      <c r="E397" s="4" t="s">
        <v>4246</v>
      </c>
      <c r="F397" s="4" t="s">
        <v>4211</v>
      </c>
      <c r="G397" s="4" t="s">
        <v>4661</v>
      </c>
      <c r="H397" s="55">
        <v>244440</v>
      </c>
      <c r="I397" s="56"/>
      <c r="J397" s="56"/>
      <c r="K397" s="78"/>
      <c r="L397" s="57"/>
      <c r="M397" s="57"/>
    </row>
    <row r="398" spans="1:13" ht="15" customHeight="1">
      <c r="A398" s="73">
        <v>44929</v>
      </c>
      <c r="B398" s="2">
        <v>16555</v>
      </c>
      <c r="C398" s="2" t="s">
        <v>4666</v>
      </c>
      <c r="D398" s="2">
        <v>1</v>
      </c>
      <c r="E398" s="4" t="s">
        <v>4264</v>
      </c>
      <c r="F398" s="4" t="s">
        <v>4207</v>
      </c>
      <c r="G398" s="4" t="s">
        <v>3995</v>
      </c>
      <c r="H398" s="55">
        <v>120601</v>
      </c>
      <c r="I398" s="56"/>
      <c r="J398" s="56"/>
      <c r="K398" s="78"/>
      <c r="L398" s="57"/>
      <c r="M398" s="57"/>
    </row>
    <row r="399" spans="1:13" ht="15" customHeight="1">
      <c r="A399" s="73"/>
      <c r="B399" s="2"/>
      <c r="C399" s="2" t="s">
        <v>4667</v>
      </c>
      <c r="D399" s="2">
        <v>1</v>
      </c>
      <c r="E399" s="4"/>
      <c r="F399" s="4"/>
      <c r="G399" s="4"/>
      <c r="H399" s="55"/>
      <c r="I399" s="56"/>
      <c r="J399" s="56"/>
      <c r="K399" s="78"/>
      <c r="L399" s="57"/>
      <c r="M399" s="57"/>
    </row>
    <row r="400" spans="1:13" ht="15" customHeight="1">
      <c r="A400" s="73">
        <v>44929</v>
      </c>
      <c r="B400" s="2">
        <v>16556</v>
      </c>
      <c r="C400" s="2" t="s">
        <v>4668</v>
      </c>
      <c r="D400" s="2">
        <v>12</v>
      </c>
      <c r="E400" s="4" t="s">
        <v>4669</v>
      </c>
      <c r="F400" s="4" t="s">
        <v>4212</v>
      </c>
      <c r="G400" s="4" t="s">
        <v>4019</v>
      </c>
      <c r="H400" s="55">
        <v>2532</v>
      </c>
      <c r="I400" s="56"/>
      <c r="J400" s="56"/>
      <c r="K400" s="78"/>
      <c r="L400" s="57"/>
      <c r="M400" s="57"/>
    </row>
    <row r="401" spans="1:13" ht="15" customHeight="1">
      <c r="A401" s="73">
        <v>44929</v>
      </c>
      <c r="B401" s="2">
        <v>16557</v>
      </c>
      <c r="C401" s="2" t="s">
        <v>4670</v>
      </c>
      <c r="D401" s="2">
        <v>1044</v>
      </c>
      <c r="E401" s="4" t="s">
        <v>4669</v>
      </c>
      <c r="F401" s="4" t="s">
        <v>4211</v>
      </c>
      <c r="G401" s="4" t="s">
        <v>596</v>
      </c>
      <c r="H401" s="55">
        <v>67990496</v>
      </c>
      <c r="I401" s="56"/>
      <c r="J401" s="56"/>
      <c r="K401" s="78"/>
      <c r="L401" s="57"/>
      <c r="M401" s="57"/>
    </row>
    <row r="402" spans="1:13" ht="15" customHeight="1">
      <c r="A402" s="73"/>
      <c r="B402" s="2"/>
      <c r="C402" s="2" t="s">
        <v>4642</v>
      </c>
      <c r="D402" s="2">
        <v>1566</v>
      </c>
      <c r="E402" s="4"/>
      <c r="F402" s="4"/>
      <c r="G402" s="4"/>
      <c r="H402" s="55"/>
      <c r="I402" s="56"/>
      <c r="J402" s="56"/>
      <c r="K402" s="78"/>
      <c r="L402" s="57"/>
      <c r="M402" s="57"/>
    </row>
    <row r="403" spans="1:13" ht="15" customHeight="1">
      <c r="A403" s="73">
        <v>44960</v>
      </c>
      <c r="B403" s="2">
        <v>16558</v>
      </c>
      <c r="C403" s="2" t="s">
        <v>4671</v>
      </c>
      <c r="D403" s="2">
        <v>10</v>
      </c>
      <c r="E403" s="4" t="s">
        <v>4669</v>
      </c>
      <c r="F403" s="4" t="s">
        <v>4211</v>
      </c>
      <c r="G403" s="4" t="s">
        <v>3903</v>
      </c>
      <c r="H403" s="55">
        <v>341000</v>
      </c>
      <c r="I403" s="56"/>
      <c r="J403" s="56"/>
      <c r="K403" s="78"/>
      <c r="L403" s="57"/>
      <c r="M403" s="57"/>
    </row>
    <row r="404" spans="1:13" ht="15" customHeight="1">
      <c r="A404" s="73">
        <v>45080</v>
      </c>
      <c r="B404" s="2">
        <v>16559</v>
      </c>
      <c r="C404" s="2" t="s">
        <v>4672</v>
      </c>
      <c r="D404" s="2">
        <v>3</v>
      </c>
      <c r="E404" s="4" t="s">
        <v>4571</v>
      </c>
      <c r="F404" s="4" t="s">
        <v>4220</v>
      </c>
      <c r="G404" s="4" t="s">
        <v>4200</v>
      </c>
      <c r="H404" s="55">
        <v>38429.73046875</v>
      </c>
      <c r="I404" s="56"/>
      <c r="J404" s="56"/>
      <c r="K404" s="78"/>
      <c r="L404" s="57"/>
      <c r="M404" s="57"/>
    </row>
    <row r="405" spans="1:13" ht="15" customHeight="1">
      <c r="A405" s="73">
        <v>45110</v>
      </c>
      <c r="B405" s="2">
        <v>16560</v>
      </c>
      <c r="C405" s="2" t="s">
        <v>4673</v>
      </c>
      <c r="D405" s="2">
        <v>15</v>
      </c>
      <c r="E405" s="4" t="s">
        <v>4571</v>
      </c>
      <c r="F405" s="4" t="s">
        <v>4220</v>
      </c>
      <c r="G405" s="4" t="s">
        <v>3265</v>
      </c>
      <c r="H405" s="55">
        <v>55094.8515625</v>
      </c>
      <c r="I405" s="56"/>
      <c r="J405" s="56"/>
      <c r="K405" s="78"/>
      <c r="L405" s="57"/>
      <c r="M405" s="57"/>
    </row>
    <row r="406" spans="1:13" ht="15" customHeight="1">
      <c r="A406" s="73">
        <v>45110</v>
      </c>
      <c r="B406" s="2">
        <v>16561</v>
      </c>
      <c r="C406" s="2" t="s">
        <v>4674</v>
      </c>
      <c r="D406" s="2">
        <v>20</v>
      </c>
      <c r="E406" s="4" t="s">
        <v>4264</v>
      </c>
      <c r="F406" s="4" t="s">
        <v>4301</v>
      </c>
      <c r="G406" s="4" t="s">
        <v>1793</v>
      </c>
      <c r="H406" s="55">
        <v>1191340</v>
      </c>
      <c r="I406" s="56"/>
      <c r="J406" s="56"/>
      <c r="K406" s="78"/>
      <c r="L406" s="57"/>
      <c r="M406" s="57"/>
    </row>
    <row r="407" spans="1:13" ht="15" customHeight="1">
      <c r="A407" s="73"/>
      <c r="B407" s="2"/>
      <c r="C407" s="2" t="s">
        <v>4675</v>
      </c>
      <c r="D407" s="2">
        <v>1020</v>
      </c>
      <c r="E407" s="4"/>
      <c r="F407" s="4"/>
      <c r="G407" s="4"/>
      <c r="H407" s="55"/>
      <c r="I407" s="56"/>
      <c r="J407" s="56"/>
      <c r="K407" s="78"/>
      <c r="L407" s="57"/>
      <c r="M407" s="57"/>
    </row>
    <row r="408" spans="1:13" ht="15" customHeight="1">
      <c r="A408" s="73"/>
      <c r="B408" s="2"/>
      <c r="C408" s="2" t="s">
        <v>4676</v>
      </c>
      <c r="D408" s="2">
        <v>2100</v>
      </c>
      <c r="E408" s="4"/>
      <c r="F408" s="4"/>
      <c r="G408" s="4"/>
      <c r="H408" s="55"/>
      <c r="I408" s="56"/>
      <c r="J408" s="56"/>
      <c r="K408" s="78"/>
      <c r="L408" s="57"/>
      <c r="M408" s="57"/>
    </row>
    <row r="409" spans="1:13" ht="15" customHeight="1">
      <c r="A409" s="73">
        <v>45141</v>
      </c>
      <c r="B409" s="2">
        <v>16562</v>
      </c>
      <c r="C409" s="2" t="s">
        <v>4677</v>
      </c>
      <c r="D409" s="2">
        <v>3</v>
      </c>
      <c r="E409" s="4" t="s">
        <v>4681</v>
      </c>
      <c r="F409" s="4" t="s">
        <v>4211</v>
      </c>
      <c r="G409" s="4" t="s">
        <v>3653</v>
      </c>
      <c r="H409" s="55">
        <v>0</v>
      </c>
      <c r="I409" s="56"/>
      <c r="J409" s="56"/>
      <c r="K409" s="78"/>
      <c r="L409" s="57"/>
      <c r="M409" s="57"/>
    </row>
    <row r="410" spans="1:13" ht="15" customHeight="1">
      <c r="A410" s="73">
        <v>45141</v>
      </c>
      <c r="B410" s="2">
        <v>16562</v>
      </c>
      <c r="C410" s="2" t="s">
        <v>4677</v>
      </c>
      <c r="D410" s="2">
        <v>3</v>
      </c>
      <c r="E410" s="4" t="s">
        <v>4681</v>
      </c>
      <c r="F410" s="4" t="s">
        <v>4211</v>
      </c>
      <c r="G410" s="4" t="s">
        <v>3653</v>
      </c>
      <c r="H410" s="55">
        <v>0</v>
      </c>
      <c r="I410" s="56"/>
      <c r="J410" s="56"/>
      <c r="K410" s="78"/>
      <c r="L410" s="57"/>
      <c r="M410" s="57"/>
    </row>
    <row r="411" spans="1:13" ht="15" customHeight="1">
      <c r="A411" s="73">
        <v>45141</v>
      </c>
      <c r="B411" s="2">
        <v>16562</v>
      </c>
      <c r="C411" s="2" t="s">
        <v>4677</v>
      </c>
      <c r="D411" s="2">
        <v>3</v>
      </c>
      <c r="E411" s="4" t="s">
        <v>4681</v>
      </c>
      <c r="F411" s="4" t="s">
        <v>4211</v>
      </c>
      <c r="G411" s="4" t="s">
        <v>3653</v>
      </c>
      <c r="H411" s="55">
        <v>0</v>
      </c>
      <c r="I411" s="56"/>
      <c r="J411" s="56"/>
      <c r="K411" s="78"/>
      <c r="L411" s="57"/>
      <c r="M411" s="57"/>
    </row>
    <row r="412" spans="1:13" ht="15" customHeight="1">
      <c r="A412" s="73">
        <v>45141</v>
      </c>
      <c r="B412" s="2">
        <v>16563</v>
      </c>
      <c r="C412" s="2" t="s">
        <v>4682</v>
      </c>
      <c r="D412" s="2">
        <v>1</v>
      </c>
      <c r="E412" s="4" t="s">
        <v>4264</v>
      </c>
      <c r="F412" s="4" t="s">
        <v>4207</v>
      </c>
      <c r="G412" s="4" t="s">
        <v>2922</v>
      </c>
      <c r="H412" s="55">
        <v>2296</v>
      </c>
      <c r="I412" s="56"/>
      <c r="J412" s="56"/>
      <c r="K412" s="78"/>
      <c r="L412" s="57"/>
      <c r="M412" s="57"/>
    </row>
    <row r="413" spans="1:13" ht="15" customHeight="1">
      <c r="A413" s="73"/>
      <c r="B413" s="2"/>
      <c r="C413" s="2" t="s">
        <v>4683</v>
      </c>
      <c r="D413" s="2">
        <v>2</v>
      </c>
      <c r="E413" s="4"/>
      <c r="F413" s="4"/>
      <c r="G413" s="4"/>
      <c r="H413" s="55"/>
      <c r="I413" s="56"/>
      <c r="J413" s="56"/>
      <c r="K413" s="78"/>
      <c r="L413" s="57"/>
      <c r="M413" s="57"/>
    </row>
    <row r="414" spans="1:13" ht="15" customHeight="1">
      <c r="A414" s="73"/>
      <c r="B414" s="2"/>
      <c r="C414" s="2" t="s">
        <v>4678</v>
      </c>
      <c r="D414" s="2">
        <v>4</v>
      </c>
      <c r="E414" s="4"/>
      <c r="F414" s="4"/>
      <c r="G414" s="4"/>
      <c r="H414" s="55"/>
      <c r="I414" s="56"/>
      <c r="J414" s="56"/>
      <c r="K414" s="78"/>
      <c r="L414" s="57"/>
      <c r="M414" s="57"/>
    </row>
    <row r="415" spans="1:13" ht="15" customHeight="1">
      <c r="A415" s="73"/>
      <c r="B415" s="2"/>
      <c r="C415" s="2" t="s">
        <v>4684</v>
      </c>
      <c r="D415" s="2">
        <v>1</v>
      </c>
      <c r="E415" s="4"/>
      <c r="F415" s="4"/>
      <c r="G415" s="4"/>
      <c r="H415" s="55"/>
      <c r="I415" s="56"/>
      <c r="J415" s="56"/>
      <c r="K415" s="78"/>
      <c r="L415" s="57"/>
      <c r="M415" s="57"/>
    </row>
    <row r="416" spans="1:13" ht="15" customHeight="1">
      <c r="A416" s="73"/>
      <c r="B416" s="2"/>
      <c r="C416" s="2" t="s">
        <v>4679</v>
      </c>
      <c r="D416" s="2">
        <v>4</v>
      </c>
      <c r="E416" s="4"/>
      <c r="F416" s="4"/>
      <c r="G416" s="4"/>
      <c r="H416" s="55"/>
      <c r="I416" s="56"/>
      <c r="J416" s="56"/>
      <c r="K416" s="78"/>
      <c r="L416" s="57"/>
      <c r="M416" s="57"/>
    </row>
    <row r="417" spans="1:13" ht="15" customHeight="1">
      <c r="A417" s="73"/>
      <c r="B417" s="2"/>
      <c r="C417" s="2" t="s">
        <v>4680</v>
      </c>
      <c r="D417" s="2">
        <v>2</v>
      </c>
      <c r="E417" s="4"/>
      <c r="F417" s="4"/>
      <c r="G417" s="4"/>
      <c r="H417" s="55"/>
      <c r="I417" s="56"/>
      <c r="J417" s="56"/>
      <c r="K417" s="78"/>
      <c r="L417" s="57"/>
      <c r="M417" s="57"/>
    </row>
    <row r="418" spans="1:13" ht="15" customHeight="1">
      <c r="A418" s="73"/>
      <c r="B418" s="2"/>
      <c r="C418" s="2" t="s">
        <v>4685</v>
      </c>
      <c r="D418" s="2">
        <v>10</v>
      </c>
      <c r="E418" s="4"/>
      <c r="F418" s="4"/>
      <c r="G418" s="4"/>
      <c r="H418" s="55"/>
      <c r="I418" s="56"/>
      <c r="J418" s="56"/>
      <c r="K418" s="78"/>
      <c r="L418" s="57"/>
      <c r="M418" s="57"/>
    </row>
    <row r="419" spans="1:13" ht="15" customHeight="1">
      <c r="A419" s="73">
        <v>45172</v>
      </c>
      <c r="B419" s="2">
        <v>16564</v>
      </c>
      <c r="C419" s="2" t="s">
        <v>4686</v>
      </c>
      <c r="D419" s="2">
        <v>8</v>
      </c>
      <c r="E419" s="4" t="s">
        <v>4264</v>
      </c>
      <c r="F419" s="4" t="s">
        <v>4687</v>
      </c>
      <c r="G419" s="4" t="s">
        <v>4646</v>
      </c>
      <c r="H419" s="55">
        <v>1056</v>
      </c>
      <c r="I419" s="56"/>
      <c r="J419" s="56"/>
      <c r="K419" s="78"/>
      <c r="L419" s="57"/>
      <c r="M419" s="57"/>
    </row>
    <row r="420" spans="1:13" ht="15" customHeight="1">
      <c r="A420" s="73">
        <v>45172</v>
      </c>
      <c r="B420" s="2">
        <v>16565</v>
      </c>
      <c r="C420" s="2" t="s">
        <v>4688</v>
      </c>
      <c r="D420" s="2">
        <v>1</v>
      </c>
      <c r="E420" s="4" t="s">
        <v>4264</v>
      </c>
      <c r="F420" s="4" t="s">
        <v>4301</v>
      </c>
      <c r="G420" s="4" t="s">
        <v>3917</v>
      </c>
      <c r="H420" s="55">
        <v>57800</v>
      </c>
      <c r="I420" s="56"/>
      <c r="J420" s="56"/>
      <c r="K420" s="78"/>
      <c r="L420" s="57"/>
      <c r="M420" s="57"/>
    </row>
    <row r="421" spans="1:13" ht="15" customHeight="1">
      <c r="A421" s="73">
        <v>45172</v>
      </c>
      <c r="B421" s="2">
        <v>16566</v>
      </c>
      <c r="C421" s="2" t="s">
        <v>4689</v>
      </c>
      <c r="D421" s="2">
        <v>1</v>
      </c>
      <c r="E421" s="4" t="s">
        <v>4264</v>
      </c>
      <c r="F421" s="4" t="s">
        <v>4690</v>
      </c>
      <c r="G421" s="4" t="s">
        <v>3917</v>
      </c>
      <c r="H421" s="55">
        <v>66400</v>
      </c>
      <c r="I421" s="56"/>
      <c r="J421" s="56"/>
      <c r="K421" s="78"/>
      <c r="L421" s="57"/>
      <c r="M421" s="57"/>
    </row>
    <row r="422" spans="1:13" ht="15" customHeight="1">
      <c r="A422" s="73">
        <v>45172</v>
      </c>
      <c r="B422" s="2">
        <v>16567</v>
      </c>
      <c r="C422" s="2" t="s">
        <v>4691</v>
      </c>
      <c r="D422" s="2">
        <v>1</v>
      </c>
      <c r="E422" s="4" t="s">
        <v>4264</v>
      </c>
      <c r="F422" s="4" t="s">
        <v>4692</v>
      </c>
      <c r="G422" s="4" t="s">
        <v>3917</v>
      </c>
      <c r="H422" s="55">
        <v>66400</v>
      </c>
      <c r="I422" s="56"/>
      <c r="J422" s="56"/>
      <c r="K422" s="78"/>
      <c r="L422" s="57"/>
      <c r="M422" s="57"/>
    </row>
    <row r="423" spans="1:13" ht="15" customHeight="1">
      <c r="A423" s="73">
        <v>45172</v>
      </c>
      <c r="B423" s="2">
        <v>16568</v>
      </c>
      <c r="C423" s="2" t="s">
        <v>4693</v>
      </c>
      <c r="D423" s="2">
        <v>1</v>
      </c>
      <c r="E423" s="4" t="s">
        <v>4264</v>
      </c>
      <c r="F423" s="4" t="s">
        <v>4301</v>
      </c>
      <c r="G423" s="4" t="s">
        <v>3917</v>
      </c>
      <c r="H423" s="55">
        <v>65000</v>
      </c>
      <c r="I423" s="56"/>
      <c r="J423" s="56"/>
      <c r="K423" s="78"/>
      <c r="L423" s="57"/>
      <c r="M423" s="57"/>
    </row>
    <row r="424" spans="1:13" ht="15" customHeight="1">
      <c r="A424" s="73">
        <v>45172</v>
      </c>
      <c r="B424" s="2">
        <v>16569</v>
      </c>
      <c r="C424" s="2" t="s">
        <v>4694</v>
      </c>
      <c r="D424" s="2">
        <v>1</v>
      </c>
      <c r="E424" s="4" t="s">
        <v>4215</v>
      </c>
      <c r="F424" s="4" t="s">
        <v>4220</v>
      </c>
      <c r="G424" s="4" t="s">
        <v>3661</v>
      </c>
      <c r="H424" s="55">
        <v>28164.30078125</v>
      </c>
      <c r="I424" s="56"/>
      <c r="J424" s="56"/>
      <c r="K424" s="78"/>
      <c r="L424" s="57"/>
      <c r="M424" s="57"/>
    </row>
    <row r="425" spans="1:13" ht="15" customHeight="1">
      <c r="A425" s="73">
        <v>45202</v>
      </c>
      <c r="B425" s="2">
        <v>16570</v>
      </c>
      <c r="C425" s="2" t="s">
        <v>4695</v>
      </c>
      <c r="D425" s="2">
        <v>1</v>
      </c>
      <c r="E425" s="4" t="s">
        <v>4696</v>
      </c>
      <c r="F425" s="4" t="s">
        <v>4220</v>
      </c>
      <c r="G425" s="4" t="s">
        <v>3662</v>
      </c>
      <c r="H425" s="55">
        <v>0</v>
      </c>
      <c r="I425" s="56"/>
      <c r="J425" s="56"/>
      <c r="K425" s="78"/>
      <c r="L425" s="57"/>
      <c r="M425" s="57"/>
    </row>
    <row r="426" spans="1:13" ht="15" customHeight="1">
      <c r="A426" s="73" t="s">
        <v>4698</v>
      </c>
      <c r="B426" s="2">
        <v>16571</v>
      </c>
      <c r="C426" s="2" t="s">
        <v>4697</v>
      </c>
      <c r="D426" s="2">
        <v>1</v>
      </c>
      <c r="E426" s="4" t="s">
        <v>4264</v>
      </c>
      <c r="F426" s="4" t="s">
        <v>4207</v>
      </c>
      <c r="G426" s="4" t="s">
        <v>3152</v>
      </c>
      <c r="H426" s="55">
        <v>574</v>
      </c>
      <c r="I426" s="56"/>
      <c r="J426" s="56"/>
      <c r="K426" s="78"/>
      <c r="L426" s="57"/>
      <c r="M426" s="57"/>
    </row>
    <row r="427" spans="1:13" ht="15" customHeight="1">
      <c r="A427" s="73" t="s">
        <v>4698</v>
      </c>
      <c r="B427" s="2">
        <v>16572</v>
      </c>
      <c r="C427" s="2" t="s">
        <v>4699</v>
      </c>
      <c r="D427" s="2">
        <v>1</v>
      </c>
      <c r="E427" s="4" t="s">
        <v>4264</v>
      </c>
      <c r="F427" s="4" t="s">
        <v>4207</v>
      </c>
      <c r="G427" s="4" t="s">
        <v>3844</v>
      </c>
      <c r="H427" s="55">
        <v>8264.4599609375</v>
      </c>
      <c r="I427" s="56"/>
      <c r="J427" s="56"/>
      <c r="K427" s="78"/>
      <c r="L427" s="57"/>
      <c r="M427" s="57"/>
    </row>
    <row r="428" spans="1:13" ht="15" customHeight="1">
      <c r="A428" s="73" t="s">
        <v>4698</v>
      </c>
      <c r="B428" s="2">
        <v>16573</v>
      </c>
      <c r="C428" s="2" t="s">
        <v>4280</v>
      </c>
      <c r="D428" s="2">
        <v>1</v>
      </c>
      <c r="E428" s="4" t="s">
        <v>4702</v>
      </c>
      <c r="F428" s="4" t="s">
        <v>4207</v>
      </c>
      <c r="G428" s="4" t="s">
        <v>3653</v>
      </c>
      <c r="H428" s="55">
        <v>5962.8798828125</v>
      </c>
      <c r="I428" s="56"/>
      <c r="J428" s="56"/>
      <c r="K428" s="78"/>
      <c r="L428" s="57"/>
      <c r="M428" s="57"/>
    </row>
    <row r="429" spans="1:13" ht="15" customHeight="1">
      <c r="A429" s="73"/>
      <c r="B429" s="2"/>
      <c r="C429" s="2" t="s">
        <v>4700</v>
      </c>
      <c r="D429" s="2">
        <v>2</v>
      </c>
      <c r="E429" s="4"/>
      <c r="F429" s="4"/>
      <c r="G429" s="4"/>
      <c r="H429" s="55"/>
      <c r="I429" s="56"/>
      <c r="J429" s="56"/>
      <c r="K429" s="78"/>
      <c r="L429" s="57"/>
      <c r="M429" s="57"/>
    </row>
    <row r="430" spans="1:13" ht="15" customHeight="1">
      <c r="A430" s="73"/>
      <c r="B430" s="2"/>
      <c r="C430" s="2" t="s">
        <v>4701</v>
      </c>
      <c r="D430" s="2">
        <v>1</v>
      </c>
      <c r="E430" s="4"/>
      <c r="F430" s="4"/>
      <c r="G430" s="4"/>
      <c r="H430" s="55"/>
      <c r="I430" s="56"/>
      <c r="J430" s="56"/>
      <c r="K430" s="78"/>
      <c r="L430" s="57"/>
      <c r="M430" s="57"/>
    </row>
    <row r="431" spans="1:13" ht="15" customHeight="1">
      <c r="A431" s="73" t="s">
        <v>4704</v>
      </c>
      <c r="B431" s="2">
        <v>16574</v>
      </c>
      <c r="C431" s="2" t="s">
        <v>4703</v>
      </c>
      <c r="D431" s="2">
        <v>1</v>
      </c>
      <c r="E431" s="4" t="s">
        <v>4643</v>
      </c>
      <c r="F431" s="4" t="s">
        <v>4259</v>
      </c>
      <c r="G431" s="4" t="s">
        <v>3265</v>
      </c>
      <c r="H431" s="55">
        <v>1620</v>
      </c>
      <c r="I431" s="56"/>
      <c r="J431" s="56"/>
      <c r="K431" s="78"/>
      <c r="L431" s="57"/>
      <c r="M431" s="57"/>
    </row>
    <row r="432" spans="1:13" ht="15" customHeight="1">
      <c r="A432" s="73" t="s">
        <v>4706</v>
      </c>
      <c r="B432" s="2">
        <v>16575</v>
      </c>
      <c r="C432" s="2" t="s">
        <v>4705</v>
      </c>
      <c r="D432" s="2">
        <v>2</v>
      </c>
      <c r="E432" s="4" t="s">
        <v>4643</v>
      </c>
      <c r="F432" s="4" t="s">
        <v>4259</v>
      </c>
      <c r="G432" s="4" t="s">
        <v>3265</v>
      </c>
      <c r="H432" s="55">
        <v>0</v>
      </c>
      <c r="I432" s="56"/>
      <c r="J432" s="56"/>
      <c r="K432" s="78"/>
      <c r="L432" s="57"/>
      <c r="M432" s="57"/>
    </row>
    <row r="433" spans="1:13" ht="15" customHeight="1">
      <c r="A433" s="73" t="s">
        <v>4706</v>
      </c>
      <c r="B433" s="2">
        <v>16576</v>
      </c>
      <c r="C433" s="2" t="s">
        <v>4707</v>
      </c>
      <c r="D433" s="2">
        <v>8</v>
      </c>
      <c r="E433" s="4" t="s">
        <v>4264</v>
      </c>
      <c r="F433" s="4" t="s">
        <v>4690</v>
      </c>
      <c r="G433" s="4" t="s">
        <v>338</v>
      </c>
      <c r="H433" s="55">
        <v>41156</v>
      </c>
      <c r="I433" s="56"/>
      <c r="J433" s="56"/>
      <c r="K433" s="78"/>
      <c r="L433" s="57"/>
      <c r="M433" s="57"/>
    </row>
    <row r="434" spans="1:13" ht="15" customHeight="1">
      <c r="A434" s="73"/>
      <c r="B434" s="2"/>
      <c r="C434" s="2" t="s">
        <v>4708</v>
      </c>
      <c r="D434" s="2">
        <v>1</v>
      </c>
      <c r="E434" s="4"/>
      <c r="F434" s="4"/>
      <c r="G434" s="4"/>
      <c r="H434" s="55"/>
      <c r="I434" s="56"/>
      <c r="J434" s="56"/>
      <c r="K434" s="78"/>
      <c r="L434" s="57"/>
      <c r="M434" s="57"/>
    </row>
    <row r="435" spans="1:13" ht="15" customHeight="1">
      <c r="A435" s="73" t="s">
        <v>4706</v>
      </c>
      <c r="B435" s="2">
        <v>16577</v>
      </c>
      <c r="C435" s="2" t="s">
        <v>4709</v>
      </c>
      <c r="D435" s="2">
        <v>1</v>
      </c>
      <c r="E435" s="4" t="s">
        <v>4710</v>
      </c>
      <c r="F435" s="4" t="s">
        <v>4211</v>
      </c>
      <c r="G435" s="4" t="s">
        <v>3653</v>
      </c>
      <c r="H435" s="55">
        <v>22458.869140625</v>
      </c>
      <c r="I435" s="56"/>
      <c r="J435" s="56"/>
      <c r="K435" s="78"/>
      <c r="L435" s="57"/>
      <c r="M435" s="57"/>
    </row>
    <row r="436" spans="1:13" ht="15" customHeight="1">
      <c r="A436" s="73" t="s">
        <v>4714</v>
      </c>
      <c r="B436" s="2">
        <v>16578</v>
      </c>
      <c r="C436" s="2" t="s">
        <v>4711</v>
      </c>
      <c r="D436" s="2">
        <v>144</v>
      </c>
      <c r="E436" s="4" t="s">
        <v>4712</v>
      </c>
      <c r="F436" s="4" t="s">
        <v>4217</v>
      </c>
      <c r="G436" s="4" t="s">
        <v>3659</v>
      </c>
      <c r="H436" s="55">
        <v>1895817.75</v>
      </c>
      <c r="I436" s="56"/>
      <c r="J436" s="56"/>
      <c r="K436" s="78"/>
      <c r="L436" s="57"/>
      <c r="M436" s="57"/>
    </row>
    <row r="437" spans="1:13" ht="15" customHeight="1">
      <c r="A437" s="73"/>
      <c r="B437" s="2"/>
      <c r="C437" s="2" t="s">
        <v>4713</v>
      </c>
      <c r="D437" s="2">
        <v>1</v>
      </c>
      <c r="E437" s="4"/>
      <c r="F437" s="4"/>
      <c r="G437" s="4"/>
      <c r="H437" s="55"/>
      <c r="I437" s="56"/>
      <c r="J437" s="56"/>
      <c r="K437" s="78"/>
      <c r="L437" s="57"/>
      <c r="M437" s="57"/>
    </row>
    <row r="438" spans="1:13" ht="15" customHeight="1">
      <c r="A438" s="73" t="s">
        <v>4714</v>
      </c>
      <c r="B438" s="2">
        <v>16579</v>
      </c>
      <c r="C438" s="2" t="s">
        <v>4715</v>
      </c>
      <c r="D438" s="2">
        <v>40</v>
      </c>
      <c r="E438" s="4" t="s">
        <v>4246</v>
      </c>
      <c r="F438" s="4" t="s">
        <v>4328</v>
      </c>
      <c r="G438" s="4" t="s">
        <v>3661</v>
      </c>
      <c r="H438" s="55">
        <v>0</v>
      </c>
      <c r="I438" s="56"/>
      <c r="J438" s="56"/>
      <c r="K438" s="78"/>
      <c r="L438" s="57"/>
      <c r="M438" s="57"/>
    </row>
    <row r="439" spans="1:13" ht="15" customHeight="1">
      <c r="A439" s="73" t="s">
        <v>4718</v>
      </c>
      <c r="B439" s="2">
        <v>16580</v>
      </c>
      <c r="C439" s="2" t="s">
        <v>4716</v>
      </c>
      <c r="D439" s="2">
        <v>12</v>
      </c>
      <c r="E439" s="4" t="s">
        <v>4264</v>
      </c>
      <c r="F439" s="4" t="s">
        <v>4301</v>
      </c>
      <c r="G439" s="4" t="s">
        <v>4111</v>
      </c>
      <c r="H439" s="55">
        <v>61200</v>
      </c>
      <c r="I439" s="56"/>
      <c r="J439" s="56"/>
      <c r="K439" s="78"/>
      <c r="L439" s="57"/>
      <c r="M439" s="57"/>
    </row>
    <row r="440" spans="1:13" ht="15" customHeight="1">
      <c r="A440" s="73"/>
      <c r="B440" s="2"/>
      <c r="C440" s="2" t="s">
        <v>4717</v>
      </c>
      <c r="D440" s="2">
        <v>12</v>
      </c>
      <c r="E440" s="4"/>
      <c r="F440" s="4"/>
      <c r="G440" s="4"/>
      <c r="H440" s="55"/>
      <c r="I440" s="56"/>
      <c r="J440" s="56"/>
      <c r="K440" s="78"/>
      <c r="L440" s="57"/>
      <c r="M440" s="57"/>
    </row>
    <row r="441" spans="1:13" ht="15" customHeight="1">
      <c r="A441" s="73" t="s">
        <v>4718</v>
      </c>
      <c r="B441" s="2">
        <v>16581</v>
      </c>
      <c r="C441" s="2" t="s">
        <v>4719</v>
      </c>
      <c r="D441" s="2">
        <v>1</v>
      </c>
      <c r="E441" s="4" t="s">
        <v>4643</v>
      </c>
      <c r="F441" s="4" t="s">
        <v>4211</v>
      </c>
      <c r="G441" s="4" t="s">
        <v>1767</v>
      </c>
      <c r="H441" s="55">
        <v>805012.5</v>
      </c>
      <c r="I441" s="56"/>
      <c r="J441" s="56"/>
      <c r="K441" s="78"/>
      <c r="L441" s="57"/>
      <c r="M441" s="57"/>
    </row>
    <row r="442" spans="1:13" ht="15" customHeight="1">
      <c r="A442" s="73" t="s">
        <v>4718</v>
      </c>
      <c r="B442" s="2">
        <v>16582</v>
      </c>
      <c r="C442" s="2" t="s">
        <v>4720</v>
      </c>
      <c r="D442" s="2">
        <v>4</v>
      </c>
      <c r="E442" s="4" t="s">
        <v>4723</v>
      </c>
      <c r="F442" s="4" t="s">
        <v>4211</v>
      </c>
      <c r="G442" s="4" t="s">
        <v>2620</v>
      </c>
      <c r="H442" s="55">
        <v>0</v>
      </c>
      <c r="I442" s="56"/>
      <c r="J442" s="56"/>
      <c r="K442" s="78"/>
      <c r="L442" s="57"/>
      <c r="M442" s="57"/>
    </row>
    <row r="443" spans="1:13" ht="15" customHeight="1">
      <c r="A443" s="73"/>
      <c r="B443" s="2"/>
      <c r="C443" s="2" t="s">
        <v>4721</v>
      </c>
      <c r="D443" s="2">
        <v>2</v>
      </c>
      <c r="E443" s="4"/>
      <c r="F443" s="4"/>
      <c r="G443" s="4"/>
      <c r="H443" s="55"/>
      <c r="I443" s="56"/>
      <c r="J443" s="56"/>
      <c r="K443" s="78"/>
      <c r="L443" s="57"/>
      <c r="M443" s="57"/>
    </row>
    <row r="444" spans="1:13" ht="15" customHeight="1">
      <c r="A444" s="73"/>
      <c r="B444" s="2"/>
      <c r="C444" s="2" t="s">
        <v>4722</v>
      </c>
      <c r="D444" s="2">
        <v>1</v>
      </c>
      <c r="E444" s="4"/>
      <c r="F444" s="4"/>
      <c r="G444" s="4"/>
      <c r="H444" s="55"/>
      <c r="I444" s="56"/>
      <c r="J444" s="56"/>
      <c r="K444" s="78"/>
      <c r="L444" s="57"/>
      <c r="M444" s="57"/>
    </row>
    <row r="445" spans="1:13" ht="15" customHeight="1">
      <c r="A445" s="73" t="s">
        <v>4718</v>
      </c>
      <c r="B445" s="2">
        <v>16583</v>
      </c>
      <c r="C445" s="2" t="s">
        <v>4724</v>
      </c>
      <c r="D445" s="2">
        <v>1</v>
      </c>
      <c r="E445" s="4" t="s">
        <v>4725</v>
      </c>
      <c r="F445" s="4" t="s">
        <v>4220</v>
      </c>
      <c r="G445" s="4" t="s">
        <v>2620</v>
      </c>
      <c r="H445" s="55">
        <v>6000000</v>
      </c>
      <c r="I445" s="56"/>
      <c r="J445" s="56"/>
      <c r="K445" s="78"/>
      <c r="L445" s="57"/>
      <c r="M445" s="57"/>
    </row>
    <row r="446" spans="1:13" ht="15" customHeight="1">
      <c r="A446" s="73" t="s">
        <v>4718</v>
      </c>
      <c r="B446" s="2">
        <v>16584</v>
      </c>
      <c r="C446" s="2" t="s">
        <v>4726</v>
      </c>
      <c r="D446" s="2">
        <v>1</v>
      </c>
      <c r="E446" s="4" t="s">
        <v>4710</v>
      </c>
      <c r="F446" s="4" t="s">
        <v>4212</v>
      </c>
      <c r="G446" s="4" t="s">
        <v>3661</v>
      </c>
      <c r="H446" s="55">
        <v>11483.4501953125</v>
      </c>
      <c r="I446" s="56"/>
      <c r="J446" s="56"/>
      <c r="K446" s="78"/>
      <c r="L446" s="57"/>
      <c r="M446" s="57"/>
    </row>
    <row r="447" spans="1:13" ht="15" customHeight="1">
      <c r="A447" s="73" t="s">
        <v>4718</v>
      </c>
      <c r="B447" s="2">
        <v>16585</v>
      </c>
      <c r="C447" s="2" t="s">
        <v>4727</v>
      </c>
      <c r="D447" s="2">
        <v>1</v>
      </c>
      <c r="E447" s="4" t="s">
        <v>4643</v>
      </c>
      <c r="F447" s="4" t="s">
        <v>4259</v>
      </c>
      <c r="G447" s="4" t="s">
        <v>1767</v>
      </c>
      <c r="H447" s="55">
        <v>631948.3125</v>
      </c>
      <c r="I447" s="56"/>
      <c r="J447" s="56"/>
      <c r="K447" s="78"/>
      <c r="L447" s="57"/>
      <c r="M447" s="57"/>
    </row>
    <row r="448" spans="1:13" ht="15" customHeight="1">
      <c r="A448" s="73" t="s">
        <v>4729</v>
      </c>
      <c r="B448" s="2">
        <v>16586</v>
      </c>
      <c r="C448" s="2" t="s">
        <v>4728</v>
      </c>
      <c r="D448" s="2">
        <v>1</v>
      </c>
      <c r="E448" s="4" t="s">
        <v>4246</v>
      </c>
      <c r="F448" s="4" t="s">
        <v>4211</v>
      </c>
      <c r="G448" s="4" t="s">
        <v>3661</v>
      </c>
      <c r="H448" s="55">
        <v>66680</v>
      </c>
      <c r="I448" s="56"/>
      <c r="J448" s="56"/>
      <c r="K448" s="78"/>
      <c r="L448" s="57"/>
      <c r="M448" s="57"/>
    </row>
    <row r="449" spans="1:13" ht="15" customHeight="1">
      <c r="A449" s="73" t="s">
        <v>4729</v>
      </c>
      <c r="B449" s="2">
        <v>16587</v>
      </c>
      <c r="C449" s="2" t="s">
        <v>4730</v>
      </c>
      <c r="D449" s="2">
        <v>1</v>
      </c>
      <c r="E449" s="4" t="s">
        <v>4264</v>
      </c>
      <c r="F449" s="4" t="s">
        <v>4301</v>
      </c>
      <c r="G449" s="4" t="s">
        <v>2832</v>
      </c>
      <c r="H449" s="55">
        <v>73000</v>
      </c>
      <c r="I449" s="56"/>
      <c r="J449" s="56"/>
      <c r="K449" s="78"/>
      <c r="L449" s="57"/>
      <c r="M449" s="57"/>
    </row>
    <row r="450" spans="1:13" ht="15" customHeight="1">
      <c r="A450" s="73" t="s">
        <v>4729</v>
      </c>
      <c r="B450" s="2">
        <v>16588</v>
      </c>
      <c r="C450" s="2" t="s">
        <v>4731</v>
      </c>
      <c r="D450" s="2">
        <v>1</v>
      </c>
      <c r="E450" s="4" t="s">
        <v>4246</v>
      </c>
      <c r="F450" s="4" t="s">
        <v>4245</v>
      </c>
      <c r="G450" s="4" t="s">
        <v>1753</v>
      </c>
      <c r="H450" s="55">
        <v>525.5999755859375</v>
      </c>
      <c r="I450" s="56"/>
      <c r="J450" s="56"/>
      <c r="K450" s="78"/>
      <c r="L450" s="57"/>
      <c r="M450" s="57"/>
    </row>
    <row r="451" spans="1:13" ht="15" customHeight="1">
      <c r="A451" s="73" t="s">
        <v>4729</v>
      </c>
      <c r="B451" s="2">
        <v>16589</v>
      </c>
      <c r="C451" s="2" t="s">
        <v>4736</v>
      </c>
      <c r="D451" s="2">
        <v>4970</v>
      </c>
      <c r="E451" s="4" t="s">
        <v>4712</v>
      </c>
      <c r="F451" s="4" t="s">
        <v>4227</v>
      </c>
      <c r="G451" s="4" t="s">
        <v>4732</v>
      </c>
      <c r="H451" s="55">
        <v>1988000</v>
      </c>
      <c r="I451" s="56"/>
      <c r="J451" s="56"/>
      <c r="K451" s="78"/>
      <c r="L451" s="57"/>
      <c r="M451" s="57"/>
    </row>
    <row r="452" spans="1:13" ht="15" customHeight="1">
      <c r="A452" s="73" t="s">
        <v>4729</v>
      </c>
      <c r="B452" s="2">
        <v>16590</v>
      </c>
      <c r="C452" s="2" t="s">
        <v>4737</v>
      </c>
      <c r="D452" s="2">
        <v>10</v>
      </c>
      <c r="E452" s="4" t="s">
        <v>4246</v>
      </c>
      <c r="F452" s="4" t="s">
        <v>4245</v>
      </c>
      <c r="G452" s="4" t="s">
        <v>4139</v>
      </c>
      <c r="H452" s="55">
        <v>248000</v>
      </c>
      <c r="I452" s="56"/>
      <c r="J452" s="56"/>
      <c r="K452" s="78"/>
      <c r="L452" s="57"/>
      <c r="M452" s="57"/>
    </row>
    <row r="453" spans="1:13" ht="15" customHeight="1">
      <c r="A453" s="73" t="s">
        <v>4729</v>
      </c>
      <c r="B453" s="2">
        <v>16591</v>
      </c>
      <c r="C453" s="2" t="s">
        <v>4737</v>
      </c>
      <c r="D453" s="2">
        <v>6</v>
      </c>
      <c r="E453" s="4" t="s">
        <v>4246</v>
      </c>
      <c r="F453" s="4" t="s">
        <v>4211</v>
      </c>
      <c r="G453" s="4" t="s">
        <v>4139</v>
      </c>
      <c r="H453" s="55">
        <v>148800</v>
      </c>
      <c r="I453" s="56"/>
      <c r="J453" s="56"/>
      <c r="K453" s="78"/>
      <c r="L453" s="57"/>
      <c r="M453" s="57"/>
    </row>
    <row r="454" spans="1:13" ht="15" customHeight="1">
      <c r="A454" s="73" t="s">
        <v>4740</v>
      </c>
      <c r="B454" s="2">
        <v>16592</v>
      </c>
      <c r="C454" s="2" t="s">
        <v>4738</v>
      </c>
      <c r="D454" s="2">
        <v>84</v>
      </c>
      <c r="E454" s="4" t="s">
        <v>4739</v>
      </c>
      <c r="F454" s="4" t="s">
        <v>4217</v>
      </c>
      <c r="G454" s="4" t="s">
        <v>3659</v>
      </c>
      <c r="H454" s="55">
        <v>1133454.75</v>
      </c>
      <c r="I454" s="56"/>
      <c r="J454" s="56"/>
      <c r="K454" s="78"/>
      <c r="L454" s="57"/>
      <c r="M454" s="57"/>
    </row>
    <row r="455" spans="1:13" ht="15" customHeight="1">
      <c r="A455" s="73"/>
      <c r="B455" s="2"/>
      <c r="C455" s="2" t="s">
        <v>4713</v>
      </c>
      <c r="D455" s="2">
        <v>1</v>
      </c>
      <c r="E455" s="4"/>
      <c r="F455" s="4"/>
      <c r="G455" s="4"/>
      <c r="H455" s="55"/>
      <c r="I455" s="56"/>
      <c r="J455" s="56"/>
      <c r="K455" s="78"/>
      <c r="L455" s="57"/>
      <c r="M455" s="57"/>
    </row>
    <row r="456" spans="1:13" ht="15" customHeight="1">
      <c r="A456" s="73" t="s">
        <v>4743</v>
      </c>
      <c r="B456" s="2">
        <v>16593</v>
      </c>
      <c r="C456" s="2" t="s">
        <v>4741</v>
      </c>
      <c r="D456" s="2">
        <v>920</v>
      </c>
      <c r="E456" s="4" t="s">
        <v>4739</v>
      </c>
      <c r="F456" s="4" t="s">
        <v>4217</v>
      </c>
      <c r="G456" s="4" t="s">
        <v>1967</v>
      </c>
      <c r="H456" s="55">
        <v>3801652.75</v>
      </c>
      <c r="I456" s="56"/>
      <c r="J456" s="56"/>
      <c r="K456" s="78"/>
      <c r="L456" s="57"/>
      <c r="M456" s="57"/>
    </row>
    <row r="457" spans="1:13" ht="15" customHeight="1">
      <c r="A457" s="73"/>
      <c r="B457" s="2"/>
      <c r="C457" s="2" t="s">
        <v>4742</v>
      </c>
      <c r="D457" s="2">
        <v>24</v>
      </c>
      <c r="E457" s="4"/>
      <c r="F457" s="4"/>
      <c r="G457" s="4"/>
      <c r="H457" s="55"/>
      <c r="I457" s="56"/>
      <c r="J457" s="56"/>
      <c r="K457" s="78"/>
      <c r="L457" s="57"/>
      <c r="M457" s="57"/>
    </row>
    <row r="458" spans="1:13" ht="15" customHeight="1">
      <c r="A458" s="73">
        <v>45020</v>
      </c>
      <c r="B458" s="2">
        <v>16594</v>
      </c>
      <c r="C458" s="2" t="s">
        <v>4744</v>
      </c>
      <c r="D458" s="2">
        <v>1</v>
      </c>
      <c r="E458" s="4" t="s">
        <v>4264</v>
      </c>
      <c r="F458" s="4" t="s">
        <v>4207</v>
      </c>
      <c r="G458" s="4" t="s">
        <v>3646</v>
      </c>
      <c r="H458" s="55">
        <v>5677.47998046875</v>
      </c>
      <c r="I458" s="56"/>
      <c r="J458" s="56"/>
      <c r="K458" s="78"/>
      <c r="L458" s="57"/>
      <c r="M458" s="57"/>
    </row>
    <row r="459" spans="1:13" ht="15" customHeight="1">
      <c r="A459" s="73"/>
      <c r="B459" s="2"/>
      <c r="C459" s="2" t="s">
        <v>4745</v>
      </c>
      <c r="D459" s="2">
        <v>2</v>
      </c>
      <c r="E459" s="4"/>
      <c r="F459" s="4"/>
      <c r="G459" s="4"/>
      <c r="H459" s="55"/>
      <c r="I459" s="56"/>
      <c r="J459" s="56"/>
      <c r="K459" s="78"/>
      <c r="L459" s="57"/>
      <c r="M459" s="57"/>
    </row>
    <row r="460" spans="1:13" ht="15" customHeight="1">
      <c r="A460" s="73"/>
      <c r="B460" s="2"/>
      <c r="C460" s="2" t="s">
        <v>4746</v>
      </c>
      <c r="D460" s="2">
        <v>2</v>
      </c>
      <c r="E460" s="4"/>
      <c r="F460" s="4"/>
      <c r="G460" s="4"/>
      <c r="H460" s="55"/>
      <c r="I460" s="56"/>
      <c r="J460" s="56"/>
      <c r="K460" s="78"/>
      <c r="L460" s="57"/>
      <c r="M460" s="57"/>
    </row>
    <row r="461" spans="1:13" ht="15" customHeight="1">
      <c r="A461" s="73"/>
      <c r="B461" s="2"/>
      <c r="C461" s="2" t="s">
        <v>4746</v>
      </c>
      <c r="D461" s="2">
        <v>2</v>
      </c>
      <c r="E461" s="4"/>
      <c r="F461" s="4"/>
      <c r="G461" s="4"/>
      <c r="H461" s="55"/>
      <c r="I461" s="56"/>
      <c r="J461" s="56"/>
      <c r="K461" s="78"/>
      <c r="L461" s="57"/>
      <c r="M461" s="57"/>
    </row>
    <row r="462" spans="1:13" ht="15" customHeight="1">
      <c r="A462" s="73">
        <v>45081</v>
      </c>
      <c r="B462" s="2">
        <v>16595</v>
      </c>
      <c r="C462" s="2" t="s">
        <v>4747</v>
      </c>
      <c r="D462" s="2">
        <v>100</v>
      </c>
      <c r="E462" s="4" t="s">
        <v>4388</v>
      </c>
      <c r="F462" s="4" t="s">
        <v>4211</v>
      </c>
      <c r="G462" s="4" t="s">
        <v>3661</v>
      </c>
      <c r="H462" s="55">
        <v>18658</v>
      </c>
      <c r="I462" s="56"/>
      <c r="J462" s="56"/>
      <c r="K462" s="78"/>
      <c r="L462" s="57"/>
      <c r="M462" s="57"/>
    </row>
    <row r="463" spans="1:13" ht="15" customHeight="1">
      <c r="A463" s="73"/>
      <c r="B463" s="2"/>
      <c r="C463" s="2" t="s">
        <v>4748</v>
      </c>
      <c r="D463" s="2">
        <v>1</v>
      </c>
      <c r="E463" s="4"/>
      <c r="F463" s="4"/>
      <c r="G463" s="4"/>
      <c r="H463" s="55"/>
      <c r="I463" s="56"/>
      <c r="J463" s="56"/>
      <c r="K463" s="78"/>
      <c r="L463" s="57"/>
      <c r="M463" s="57"/>
    </row>
    <row r="464" spans="1:13" ht="15" customHeight="1">
      <c r="A464" s="73">
        <v>45081</v>
      </c>
      <c r="B464" s="2">
        <v>16596</v>
      </c>
      <c r="C464" s="2" t="s">
        <v>4749</v>
      </c>
      <c r="D464" s="2">
        <v>10</v>
      </c>
      <c r="E464" s="4" t="s">
        <v>4264</v>
      </c>
      <c r="F464" s="4" t="s">
        <v>4301</v>
      </c>
      <c r="G464" s="4" t="s">
        <v>338</v>
      </c>
      <c r="H464" s="55">
        <v>37190</v>
      </c>
      <c r="I464" s="56"/>
      <c r="J464" s="56"/>
      <c r="K464" s="78"/>
      <c r="L464" s="57"/>
      <c r="M464" s="57"/>
    </row>
    <row r="465" spans="1:13" ht="15" customHeight="1">
      <c r="A465" s="73">
        <v>45081</v>
      </c>
      <c r="B465" s="2">
        <v>16597</v>
      </c>
      <c r="C465" s="2" t="s">
        <v>4750</v>
      </c>
      <c r="D465" s="2">
        <v>5</v>
      </c>
      <c r="E465" s="4" t="s">
        <v>4264</v>
      </c>
      <c r="F465" s="4" t="s">
        <v>4301</v>
      </c>
      <c r="G465" s="4" t="s">
        <v>75</v>
      </c>
      <c r="H465" s="55">
        <v>59100</v>
      </c>
      <c r="I465" s="56"/>
      <c r="J465" s="56"/>
      <c r="K465" s="78"/>
      <c r="L465" s="57"/>
      <c r="M465" s="57"/>
    </row>
    <row r="466" spans="1:13" ht="15" customHeight="1">
      <c r="A466" s="73"/>
      <c r="B466" s="2"/>
      <c r="C466" s="2" t="s">
        <v>4751</v>
      </c>
      <c r="D466" s="2">
        <v>5</v>
      </c>
      <c r="E466" s="4"/>
      <c r="F466" s="4"/>
      <c r="G466" s="4"/>
      <c r="H466" s="55"/>
      <c r="I466" s="56"/>
      <c r="J466" s="56"/>
      <c r="K466" s="78"/>
      <c r="L466" s="57"/>
      <c r="M466" s="57"/>
    </row>
    <row r="467" spans="1:13" ht="15" customHeight="1">
      <c r="A467" s="73"/>
      <c r="B467" s="2"/>
      <c r="C467" s="2" t="s">
        <v>4752</v>
      </c>
      <c r="D467" s="2">
        <v>1</v>
      </c>
      <c r="E467" s="4"/>
      <c r="F467" s="4"/>
      <c r="G467" s="4"/>
      <c r="H467" s="55"/>
      <c r="I467" s="56"/>
      <c r="J467" s="56"/>
      <c r="K467" s="78"/>
      <c r="L467" s="57"/>
      <c r="M467" s="57"/>
    </row>
    <row r="468" spans="1:13" ht="15" customHeight="1">
      <c r="A468" s="73"/>
      <c r="B468" s="2"/>
      <c r="C468" s="2" t="s">
        <v>4753</v>
      </c>
      <c r="D468" s="2">
        <v>2</v>
      </c>
      <c r="E468" s="4"/>
      <c r="F468" s="4"/>
      <c r="G468" s="4"/>
      <c r="H468" s="55"/>
      <c r="I468" s="56"/>
      <c r="J468" s="56"/>
      <c r="K468" s="78"/>
      <c r="L468" s="57"/>
      <c r="M468" s="57"/>
    </row>
    <row r="469" spans="1:13" ht="15" customHeight="1">
      <c r="A469" s="73"/>
      <c r="B469" s="2"/>
      <c r="C469" s="2" t="s">
        <v>4754</v>
      </c>
      <c r="D469" s="2">
        <v>1</v>
      </c>
      <c r="E469" s="4"/>
      <c r="F469" s="4"/>
      <c r="G469" s="4"/>
      <c r="H469" s="55"/>
      <c r="I469" s="56"/>
      <c r="J469" s="56"/>
      <c r="K469" s="78"/>
      <c r="L469" s="57"/>
      <c r="M469" s="57"/>
    </row>
    <row r="470" spans="1:13" ht="15" customHeight="1">
      <c r="A470" s="73"/>
      <c r="B470" s="2"/>
      <c r="C470" s="2" t="s">
        <v>4755</v>
      </c>
      <c r="D470" s="2">
        <v>2</v>
      </c>
      <c r="E470" s="4"/>
      <c r="F470" s="4"/>
      <c r="G470" s="4"/>
      <c r="H470" s="55"/>
      <c r="I470" s="56"/>
      <c r="J470" s="56"/>
      <c r="K470" s="78"/>
      <c r="L470" s="57"/>
      <c r="M470" s="57"/>
    </row>
    <row r="471" spans="1:13" ht="15" customHeight="1">
      <c r="A471" s="73">
        <v>45203</v>
      </c>
      <c r="B471" s="2">
        <v>16598</v>
      </c>
      <c r="C471" s="2" t="s">
        <v>4642</v>
      </c>
      <c r="D471" s="2">
        <v>6.5</v>
      </c>
      <c r="E471" s="4" t="s">
        <v>4546</v>
      </c>
      <c r="F471" s="4" t="s">
        <v>4207</v>
      </c>
      <c r="G471" s="4" t="s">
        <v>596</v>
      </c>
      <c r="H471" s="55">
        <v>362475</v>
      </c>
      <c r="I471" s="56"/>
      <c r="J471" s="56"/>
      <c r="K471" s="78"/>
      <c r="L471" s="57"/>
      <c r="M471" s="57"/>
    </row>
    <row r="472" spans="1:13" ht="15" customHeight="1">
      <c r="A472" s="73"/>
      <c r="B472" s="2"/>
      <c r="C472" s="2" t="s">
        <v>4642</v>
      </c>
      <c r="D472" s="2">
        <v>7</v>
      </c>
      <c r="E472" s="4"/>
      <c r="F472" s="4"/>
      <c r="G472" s="4"/>
      <c r="H472" s="55"/>
      <c r="I472" s="56"/>
      <c r="J472" s="56"/>
      <c r="K472" s="78"/>
      <c r="L472" s="57"/>
      <c r="M472" s="57"/>
    </row>
    <row r="473" spans="1:13" ht="15" customHeight="1">
      <c r="A473" s="73">
        <v>45203</v>
      </c>
      <c r="B473" s="2">
        <v>16599</v>
      </c>
      <c r="C473" s="2" t="s">
        <v>4642</v>
      </c>
      <c r="D473" s="2">
        <v>8</v>
      </c>
      <c r="E473" s="4" t="s">
        <v>4756</v>
      </c>
      <c r="F473" s="4" t="s">
        <v>4217</v>
      </c>
      <c r="G473" s="4" t="s">
        <v>596</v>
      </c>
      <c r="H473" s="55">
        <v>231600</v>
      </c>
      <c r="I473" s="56"/>
      <c r="J473" s="56"/>
      <c r="K473" s="78"/>
      <c r="L473" s="57"/>
      <c r="M473" s="57"/>
    </row>
    <row r="474" spans="1:13" ht="15" customHeight="1">
      <c r="A474" s="73" t="s">
        <v>4757</v>
      </c>
      <c r="B474" s="2">
        <v>16600</v>
      </c>
      <c r="C474" s="2" t="s">
        <v>4638</v>
      </c>
      <c r="D474" s="2">
        <v>5</v>
      </c>
      <c r="E474" s="4" t="s">
        <v>4246</v>
      </c>
      <c r="F474" s="4" t="s">
        <v>4211</v>
      </c>
      <c r="G474" s="4" t="s">
        <v>2402</v>
      </c>
      <c r="H474" s="55">
        <v>58725</v>
      </c>
      <c r="I474" s="56"/>
      <c r="J474" s="56"/>
      <c r="K474" s="78"/>
      <c r="L474" s="57"/>
      <c r="M474" s="57"/>
    </row>
    <row r="475" spans="1:13" ht="15" customHeight="1">
      <c r="A475" s="73" t="s">
        <v>4757</v>
      </c>
      <c r="B475" s="2">
        <v>16601</v>
      </c>
      <c r="C475" s="2" t="s">
        <v>4372</v>
      </c>
      <c r="D475" s="2">
        <v>1</v>
      </c>
      <c r="E475" s="4" t="s">
        <v>4264</v>
      </c>
      <c r="F475" s="4" t="s">
        <v>4301</v>
      </c>
      <c r="G475" s="4" t="s">
        <v>4049</v>
      </c>
      <c r="H475" s="55">
        <v>26100</v>
      </c>
      <c r="I475" s="56"/>
      <c r="J475" s="56"/>
      <c r="K475" s="78"/>
      <c r="L475" s="57"/>
      <c r="M475" s="57"/>
    </row>
    <row r="476" spans="1:13" ht="15" customHeight="1">
      <c r="A476" s="73" t="s">
        <v>4757</v>
      </c>
      <c r="B476" s="2">
        <v>16602</v>
      </c>
      <c r="C476" s="2" t="s">
        <v>4758</v>
      </c>
      <c r="D476" s="2">
        <v>6</v>
      </c>
      <c r="E476" s="4" t="s">
        <v>4246</v>
      </c>
      <c r="F476" s="4" t="s">
        <v>4211</v>
      </c>
      <c r="G476" s="4" t="s">
        <v>655</v>
      </c>
      <c r="H476" s="55">
        <v>4920</v>
      </c>
      <c r="I476" s="56"/>
      <c r="J476" s="56"/>
      <c r="K476" s="78"/>
      <c r="L476" s="57"/>
      <c r="M476" s="57"/>
    </row>
    <row r="477" spans="1:13" ht="15" customHeight="1">
      <c r="A477" s="73" t="s">
        <v>4757</v>
      </c>
      <c r="B477" s="2">
        <v>16603</v>
      </c>
      <c r="C477" s="2" t="s">
        <v>4759</v>
      </c>
      <c r="D477" s="2">
        <v>1</v>
      </c>
      <c r="E477" s="4" t="s">
        <v>4246</v>
      </c>
      <c r="F477" s="4" t="s">
        <v>4211</v>
      </c>
      <c r="G477" s="4" t="s">
        <v>3676</v>
      </c>
      <c r="H477" s="55">
        <v>0</v>
      </c>
      <c r="I477" s="56"/>
      <c r="J477" s="56"/>
      <c r="K477" s="78"/>
      <c r="L477" s="57"/>
      <c r="M477" s="57"/>
    </row>
    <row r="478" spans="1:13" ht="15" customHeight="1">
      <c r="A478" s="73" t="s">
        <v>4763</v>
      </c>
      <c r="B478" s="2">
        <v>16604</v>
      </c>
      <c r="C478" s="2" t="s">
        <v>4760</v>
      </c>
      <c r="D478" s="2">
        <v>2</v>
      </c>
      <c r="E478" s="4" t="s">
        <v>4264</v>
      </c>
      <c r="F478" s="4" t="s">
        <v>4207</v>
      </c>
      <c r="G478" s="4" t="s">
        <v>3844</v>
      </c>
      <c r="H478" s="55">
        <v>319338.8125</v>
      </c>
      <c r="I478" s="56"/>
      <c r="J478" s="56"/>
      <c r="K478" s="78"/>
      <c r="L478" s="57"/>
      <c r="M478" s="57"/>
    </row>
    <row r="479" spans="1:13" ht="15" customHeight="1">
      <c r="A479" s="73"/>
      <c r="B479" s="2"/>
      <c r="C479" s="2" t="s">
        <v>4761</v>
      </c>
      <c r="D479" s="2">
        <v>4</v>
      </c>
      <c r="E479" s="4"/>
      <c r="F479" s="4"/>
      <c r="G479" s="4"/>
      <c r="H479" s="55"/>
      <c r="I479" s="56"/>
      <c r="J479" s="56"/>
      <c r="K479" s="78"/>
      <c r="L479" s="57"/>
      <c r="M479" s="57"/>
    </row>
    <row r="480" spans="1:13" ht="15" customHeight="1">
      <c r="A480" s="73"/>
      <c r="B480" s="2"/>
      <c r="C480" s="2" t="s">
        <v>4762</v>
      </c>
      <c r="D480" s="2">
        <v>1</v>
      </c>
      <c r="E480" s="4"/>
      <c r="F480" s="4"/>
      <c r="G480" s="4"/>
      <c r="H480" s="55"/>
      <c r="I480" s="56"/>
      <c r="J480" s="56"/>
      <c r="K480" s="78"/>
      <c r="L480" s="57"/>
      <c r="M480" s="57"/>
    </row>
    <row r="481" spans="1:13" ht="15" customHeight="1">
      <c r="A481" s="73" t="s">
        <v>4763</v>
      </c>
      <c r="B481" s="2">
        <v>16605</v>
      </c>
      <c r="C481" s="2" t="s">
        <v>4764</v>
      </c>
      <c r="D481" s="2">
        <v>1</v>
      </c>
      <c r="E481" s="4" t="s">
        <v>4246</v>
      </c>
      <c r="F481" s="4" t="s">
        <v>4211</v>
      </c>
      <c r="G481" s="4" t="s">
        <v>1753</v>
      </c>
      <c r="H481" s="55">
        <v>312</v>
      </c>
      <c r="I481" s="56"/>
      <c r="J481" s="56"/>
      <c r="K481" s="78"/>
      <c r="L481" s="57"/>
      <c r="M481" s="57"/>
    </row>
    <row r="482" spans="1:13" ht="15" customHeight="1">
      <c r="A482" s="73"/>
      <c r="B482" s="2"/>
      <c r="C482" s="2" t="s">
        <v>4765</v>
      </c>
      <c r="D482" s="2">
        <v>5</v>
      </c>
      <c r="E482" s="4"/>
      <c r="F482" s="4"/>
      <c r="G482" s="4"/>
      <c r="H482" s="55"/>
      <c r="I482" s="56"/>
      <c r="J482" s="56"/>
      <c r="K482" s="78"/>
      <c r="L482" s="57"/>
      <c r="M482" s="57"/>
    </row>
    <row r="483" spans="1:13" ht="15" customHeight="1">
      <c r="A483" s="73" t="s">
        <v>4763</v>
      </c>
      <c r="B483" s="2">
        <v>16606</v>
      </c>
      <c r="C483" s="2" t="s">
        <v>4766</v>
      </c>
      <c r="D483" s="2">
        <v>175</v>
      </c>
      <c r="E483" s="4" t="s">
        <v>4264</v>
      </c>
      <c r="F483" s="4" t="s">
        <v>4207</v>
      </c>
      <c r="G483" s="4" t="s">
        <v>3752</v>
      </c>
      <c r="H483" s="55">
        <v>144628.75</v>
      </c>
      <c r="I483" s="56"/>
      <c r="J483" s="56"/>
      <c r="K483" s="78"/>
      <c r="L483" s="57"/>
      <c r="M483" s="57"/>
    </row>
    <row r="484" spans="1:13" ht="15" customHeight="1">
      <c r="A484" s="73" t="s">
        <v>4763</v>
      </c>
      <c r="B484" s="2">
        <v>16607</v>
      </c>
      <c r="C484" s="2" t="s">
        <v>4767</v>
      </c>
      <c r="D484" s="2">
        <v>3</v>
      </c>
      <c r="E484" s="4" t="s">
        <v>4768</v>
      </c>
      <c r="F484" s="4" t="s">
        <v>4211</v>
      </c>
      <c r="G484" s="4" t="s">
        <v>4095</v>
      </c>
      <c r="H484" s="55">
        <v>36000</v>
      </c>
      <c r="I484" s="56"/>
      <c r="J484" s="56"/>
      <c r="K484" s="78"/>
      <c r="L484" s="57"/>
      <c r="M484" s="57"/>
    </row>
    <row r="485" spans="1:13" ht="15" customHeight="1">
      <c r="A485" s="73" t="s">
        <v>4763</v>
      </c>
      <c r="B485" s="2">
        <v>16608</v>
      </c>
      <c r="C485" s="2" t="s">
        <v>4769</v>
      </c>
      <c r="D485" s="2">
        <v>300</v>
      </c>
      <c r="E485" s="4" t="s">
        <v>4246</v>
      </c>
      <c r="F485" s="4" t="s">
        <v>4211</v>
      </c>
      <c r="G485" s="4" t="s">
        <v>4194</v>
      </c>
      <c r="H485" s="55">
        <v>0</v>
      </c>
      <c r="I485" s="56"/>
      <c r="J485" s="56"/>
      <c r="K485" s="78"/>
      <c r="L485" s="57"/>
      <c r="M485" s="57"/>
    </row>
    <row r="486" spans="1:13" ht="15" customHeight="1">
      <c r="A486" s="73"/>
      <c r="B486" s="2"/>
      <c r="C486" s="2" t="s">
        <v>4770</v>
      </c>
      <c r="D486" s="2">
        <v>300</v>
      </c>
      <c r="E486" s="4"/>
      <c r="F486" s="4"/>
      <c r="G486" s="4"/>
      <c r="H486" s="55"/>
      <c r="I486" s="56"/>
      <c r="J486" s="56"/>
      <c r="K486" s="78"/>
      <c r="L486" s="57"/>
      <c r="M486" s="57"/>
    </row>
    <row r="487" spans="1:13" ht="15" customHeight="1">
      <c r="A487" s="73" t="s">
        <v>4763</v>
      </c>
      <c r="B487" s="2">
        <v>16609</v>
      </c>
      <c r="C487" s="2" t="s">
        <v>4642</v>
      </c>
      <c r="D487" s="2">
        <v>8</v>
      </c>
      <c r="E487" s="4" t="s">
        <v>4756</v>
      </c>
      <c r="F487" s="4" t="s">
        <v>4259</v>
      </c>
      <c r="G487" s="4" t="s">
        <v>596</v>
      </c>
      <c r="H487" s="55">
        <v>867075</v>
      </c>
      <c r="I487" s="56"/>
      <c r="J487" s="56"/>
      <c r="K487" s="78"/>
      <c r="L487" s="57"/>
      <c r="M487" s="57"/>
    </row>
    <row r="488" spans="1:13" ht="15" customHeight="1">
      <c r="A488" s="73"/>
      <c r="B488" s="2"/>
      <c r="C488" s="2" t="s">
        <v>4642</v>
      </c>
      <c r="D488" s="2">
        <v>8</v>
      </c>
      <c r="E488" s="4"/>
      <c r="F488" s="4"/>
      <c r="G488" s="4"/>
      <c r="H488" s="55"/>
      <c r="I488" s="56"/>
      <c r="J488" s="56"/>
      <c r="K488" s="78"/>
      <c r="L488" s="57"/>
      <c r="M488" s="57"/>
    </row>
    <row r="489" spans="1:13" ht="15" customHeight="1">
      <c r="A489" s="73"/>
      <c r="B489" s="2"/>
      <c r="C489" s="2" t="s">
        <v>4642</v>
      </c>
      <c r="D489" s="2">
        <v>5.5</v>
      </c>
      <c r="E489" s="4"/>
      <c r="F489" s="4"/>
      <c r="G489" s="4"/>
      <c r="H489" s="55"/>
      <c r="I489" s="56"/>
      <c r="J489" s="56"/>
      <c r="K489" s="78"/>
      <c r="L489" s="57"/>
      <c r="M489" s="57"/>
    </row>
    <row r="490" spans="1:13" ht="15" customHeight="1">
      <c r="A490" s="73"/>
      <c r="B490" s="2"/>
      <c r="C490" s="2" t="s">
        <v>4771</v>
      </c>
      <c r="D490" s="2">
        <v>7</v>
      </c>
      <c r="E490" s="4"/>
      <c r="F490" s="4"/>
      <c r="G490" s="4"/>
      <c r="H490" s="55"/>
      <c r="I490" s="56"/>
      <c r="J490" s="56"/>
      <c r="K490" s="78"/>
      <c r="L490" s="57"/>
      <c r="M490" s="57"/>
    </row>
    <row r="491" spans="1:13" ht="15" customHeight="1">
      <c r="A491" s="73" t="s">
        <v>4772</v>
      </c>
      <c r="B491" s="2">
        <v>16610</v>
      </c>
      <c r="C491" s="2" t="s">
        <v>4533</v>
      </c>
      <c r="D491" s="2">
        <v>1</v>
      </c>
      <c r="E491" s="4" t="s">
        <v>4375</v>
      </c>
      <c r="F491" s="4" t="s">
        <v>4234</v>
      </c>
      <c r="G491" s="4" t="s">
        <v>1248</v>
      </c>
      <c r="H491" s="55">
        <v>206611.578125</v>
      </c>
      <c r="I491" s="56"/>
      <c r="J491" s="56"/>
      <c r="K491" s="78"/>
      <c r="L491" s="57"/>
      <c r="M491" s="57"/>
    </row>
    <row r="492" spans="1:13" ht="15" customHeight="1">
      <c r="A492" s="73" t="s">
        <v>4772</v>
      </c>
      <c r="B492" s="2">
        <v>16611</v>
      </c>
      <c r="C492" s="2" t="s">
        <v>4773</v>
      </c>
      <c r="D492" s="2">
        <v>700</v>
      </c>
      <c r="E492" s="4" t="s">
        <v>4774</v>
      </c>
      <c r="F492" s="4" t="s">
        <v>4207</v>
      </c>
      <c r="G492" s="4" t="s">
        <v>4089</v>
      </c>
      <c r="H492" s="55">
        <v>0</v>
      </c>
      <c r="I492" s="56"/>
      <c r="J492" s="56"/>
      <c r="K492" s="78"/>
      <c r="L492" s="57"/>
      <c r="M492" s="57"/>
    </row>
    <row r="493" spans="1:13" ht="15" customHeight="1">
      <c r="A493" s="73" t="s">
        <v>4779</v>
      </c>
      <c r="B493" s="2">
        <v>16612</v>
      </c>
      <c r="C493" s="2" t="s">
        <v>4775</v>
      </c>
      <c r="D493" s="2">
        <v>12.5</v>
      </c>
      <c r="E493" s="4" t="s">
        <v>4778</v>
      </c>
      <c r="F493" s="4" t="s">
        <v>4227</v>
      </c>
      <c r="G493" s="4" t="s">
        <v>3295</v>
      </c>
      <c r="H493" s="55">
        <v>1255600</v>
      </c>
      <c r="I493" s="56"/>
      <c r="J493" s="56"/>
      <c r="K493" s="78"/>
      <c r="L493" s="57"/>
      <c r="M493" s="57"/>
    </row>
    <row r="494" spans="1:13" ht="15" customHeight="1">
      <c r="A494" s="73"/>
      <c r="B494" s="2"/>
      <c r="C494" s="2" t="s">
        <v>4776</v>
      </c>
      <c r="D494" s="2">
        <v>7</v>
      </c>
      <c r="E494" s="4"/>
      <c r="F494" s="4"/>
      <c r="G494" s="4"/>
      <c r="H494" s="55"/>
      <c r="I494" s="56"/>
      <c r="J494" s="56"/>
      <c r="K494" s="78"/>
      <c r="L494" s="57"/>
      <c r="M494" s="57"/>
    </row>
    <row r="495" spans="1:13" ht="15" customHeight="1">
      <c r="A495" s="73"/>
      <c r="B495" s="2"/>
      <c r="C495" s="2" t="s">
        <v>4777</v>
      </c>
      <c r="D495" s="2">
        <v>25.5</v>
      </c>
      <c r="E495" s="4"/>
      <c r="F495" s="4"/>
      <c r="G495" s="4"/>
      <c r="H495" s="55"/>
      <c r="I495" s="56"/>
      <c r="J495" s="56"/>
      <c r="K495" s="78"/>
      <c r="L495" s="57"/>
      <c r="M495" s="57"/>
    </row>
    <row r="496" spans="1:13" ht="15" customHeight="1">
      <c r="A496" s="73"/>
      <c r="B496" s="2"/>
      <c r="C496" s="2" t="s">
        <v>4773</v>
      </c>
      <c r="D496" s="2">
        <v>120</v>
      </c>
      <c r="E496" s="4"/>
      <c r="F496" s="4"/>
      <c r="G496" s="4"/>
      <c r="H496" s="55"/>
      <c r="I496" s="56"/>
      <c r="J496" s="56"/>
      <c r="K496" s="78"/>
      <c r="L496" s="57"/>
      <c r="M496" s="57"/>
    </row>
    <row r="497" spans="1:13" ht="15" customHeight="1">
      <c r="A497" s="73" t="s">
        <v>4779</v>
      </c>
      <c r="B497" s="2">
        <v>16613</v>
      </c>
      <c r="C497" s="2" t="s">
        <v>4780</v>
      </c>
      <c r="D497" s="2">
        <v>1</v>
      </c>
      <c r="E497" s="4" t="s">
        <v>4643</v>
      </c>
      <c r="F497" s="4" t="s">
        <v>4239</v>
      </c>
      <c r="G497" s="4" t="s">
        <v>3295</v>
      </c>
      <c r="H497" s="55">
        <v>85400</v>
      </c>
      <c r="I497" s="56"/>
      <c r="J497" s="56"/>
      <c r="K497" s="78"/>
      <c r="L497" s="57"/>
      <c r="M497" s="57"/>
    </row>
    <row r="498" spans="1:13" ht="15" customHeight="1">
      <c r="A498" s="73"/>
      <c r="B498" s="2"/>
      <c r="C498" s="2" t="s">
        <v>4781</v>
      </c>
      <c r="D498" s="2">
        <v>5</v>
      </c>
      <c r="E498" s="4"/>
      <c r="F498" s="4"/>
      <c r="G498" s="4"/>
      <c r="H498" s="55"/>
      <c r="I498" s="56"/>
      <c r="J498" s="56"/>
      <c r="K498" s="78"/>
      <c r="L498" s="57"/>
      <c r="M498" s="57"/>
    </row>
    <row r="499" spans="1:13" ht="15" customHeight="1">
      <c r="A499" s="73"/>
      <c r="B499" s="2"/>
      <c r="C499" s="2" t="s">
        <v>4782</v>
      </c>
      <c r="D499" s="2">
        <v>15</v>
      </c>
      <c r="E499" s="4"/>
      <c r="F499" s="4"/>
      <c r="G499" s="4"/>
      <c r="H499" s="55"/>
      <c r="I499" s="56"/>
      <c r="J499" s="56"/>
      <c r="K499" s="78"/>
      <c r="L499" s="57"/>
      <c r="M499" s="57"/>
    </row>
    <row r="500" spans="1:13" ht="15" customHeight="1">
      <c r="A500" s="73" t="s">
        <v>4779</v>
      </c>
      <c r="B500" s="2">
        <v>16614</v>
      </c>
      <c r="C500" s="2" t="s">
        <v>4775</v>
      </c>
      <c r="D500" s="2">
        <v>12.5</v>
      </c>
      <c r="E500" s="4" t="s">
        <v>4756</v>
      </c>
      <c r="F500" s="4" t="s">
        <v>4227</v>
      </c>
      <c r="G500" s="4" t="s">
        <v>596</v>
      </c>
      <c r="H500" s="55">
        <v>1255600</v>
      </c>
      <c r="I500" s="56"/>
      <c r="J500" s="56"/>
      <c r="K500" s="78"/>
      <c r="L500" s="57"/>
      <c r="M500" s="57"/>
    </row>
    <row r="501" spans="1:13" ht="15" customHeight="1">
      <c r="A501" s="73"/>
      <c r="B501" s="2"/>
      <c r="C501" s="2" t="s">
        <v>4776</v>
      </c>
      <c r="D501" s="2">
        <v>7</v>
      </c>
      <c r="E501" s="4"/>
      <c r="F501" s="4"/>
      <c r="G501" s="4"/>
      <c r="H501" s="55"/>
      <c r="I501" s="56"/>
      <c r="J501" s="56"/>
      <c r="K501" s="78"/>
      <c r="L501" s="57"/>
      <c r="M501" s="57"/>
    </row>
    <row r="502" spans="1:13" ht="15" customHeight="1">
      <c r="A502" s="73"/>
      <c r="B502" s="2"/>
      <c r="C502" s="2" t="s">
        <v>4777</v>
      </c>
      <c r="D502" s="2">
        <v>25.5</v>
      </c>
      <c r="E502" s="4"/>
      <c r="F502" s="4"/>
      <c r="G502" s="4"/>
      <c r="H502" s="55"/>
      <c r="I502" s="56"/>
      <c r="J502" s="56"/>
      <c r="K502" s="78"/>
      <c r="L502" s="57"/>
      <c r="M502" s="57"/>
    </row>
    <row r="503" spans="1:13" ht="15" customHeight="1">
      <c r="A503" s="73" t="s">
        <v>4779</v>
      </c>
      <c r="B503" s="2">
        <v>16615</v>
      </c>
      <c r="C503" s="2" t="s">
        <v>4780</v>
      </c>
      <c r="D503" s="2">
        <v>1</v>
      </c>
      <c r="E503" s="4" t="s">
        <v>4643</v>
      </c>
      <c r="F503" s="4" t="s">
        <v>4239</v>
      </c>
      <c r="G503" s="4" t="s">
        <v>596</v>
      </c>
      <c r="H503" s="55">
        <v>85400</v>
      </c>
      <c r="I503" s="56"/>
      <c r="J503" s="56"/>
      <c r="K503" s="78"/>
      <c r="L503" s="57"/>
      <c r="M503" s="57"/>
    </row>
    <row r="504" spans="1:13" ht="15" customHeight="1">
      <c r="A504" s="73"/>
      <c r="B504" s="2"/>
      <c r="C504" s="2" t="s">
        <v>4781</v>
      </c>
      <c r="D504" s="2">
        <v>5</v>
      </c>
      <c r="E504" s="4"/>
      <c r="F504" s="4"/>
      <c r="G504" s="4"/>
      <c r="H504" s="55"/>
      <c r="I504" s="56"/>
      <c r="J504" s="56"/>
      <c r="K504" s="78"/>
      <c r="L504" s="57"/>
      <c r="M504" s="57"/>
    </row>
    <row r="505" spans="1:13" ht="15" customHeight="1">
      <c r="A505" s="73"/>
      <c r="B505" s="2"/>
      <c r="C505" s="2" t="s">
        <v>4782</v>
      </c>
      <c r="D505" s="2">
        <v>15</v>
      </c>
      <c r="E505" s="4"/>
      <c r="F505" s="4"/>
      <c r="G505" s="4"/>
      <c r="H505" s="55"/>
      <c r="I505" s="56"/>
      <c r="J505" s="56"/>
      <c r="K505" s="78"/>
      <c r="L505" s="57"/>
      <c r="M505" s="57"/>
    </row>
    <row r="506" spans="1:13" ht="15" customHeight="1">
      <c r="A506" s="73" t="s">
        <v>4779</v>
      </c>
      <c r="B506" s="2">
        <v>16616</v>
      </c>
      <c r="C506" s="2" t="s">
        <v>4783</v>
      </c>
      <c r="D506" s="2">
        <v>11</v>
      </c>
      <c r="E506" s="4" t="s">
        <v>4785</v>
      </c>
      <c r="F506" s="4" t="s">
        <v>4301</v>
      </c>
      <c r="G506" s="4" t="s">
        <v>596</v>
      </c>
      <c r="H506" s="55">
        <v>156000</v>
      </c>
      <c r="I506" s="56"/>
      <c r="J506" s="56"/>
      <c r="K506" s="78"/>
      <c r="L506" s="57"/>
      <c r="M506" s="57"/>
    </row>
    <row r="507" spans="1:13" ht="15" customHeight="1">
      <c r="A507" s="73"/>
      <c r="B507" s="2"/>
      <c r="C507" s="2" t="s">
        <v>4784</v>
      </c>
      <c r="D507" s="2">
        <v>45</v>
      </c>
      <c r="E507" s="4"/>
      <c r="F507" s="4"/>
      <c r="G507" s="4"/>
      <c r="H507" s="55"/>
      <c r="I507" s="56"/>
      <c r="J507" s="56"/>
      <c r="K507" s="78"/>
      <c r="L507" s="57"/>
      <c r="M507" s="57"/>
    </row>
    <row r="508" spans="1:13" ht="15" customHeight="1">
      <c r="A508" s="73" t="s">
        <v>4787</v>
      </c>
      <c r="B508" s="2">
        <v>16617</v>
      </c>
      <c r="C508" s="2" t="s">
        <v>4786</v>
      </c>
      <c r="D508" s="2">
        <v>1</v>
      </c>
      <c r="E508" s="4" t="s">
        <v>4246</v>
      </c>
      <c r="F508" s="4" t="s">
        <v>4211</v>
      </c>
      <c r="G508" s="4" t="s">
        <v>4194</v>
      </c>
      <c r="H508" s="55">
        <v>1105857</v>
      </c>
      <c r="I508" s="56"/>
      <c r="J508" s="56"/>
      <c r="K508" s="78"/>
      <c r="L508" s="57"/>
      <c r="M508" s="57"/>
    </row>
    <row r="509" spans="1:13" ht="15" customHeight="1">
      <c r="A509" s="73" t="s">
        <v>4787</v>
      </c>
      <c r="B509" s="2">
        <v>16618</v>
      </c>
      <c r="C509" s="2" t="s">
        <v>4788</v>
      </c>
      <c r="D509" s="2">
        <v>1</v>
      </c>
      <c r="E509" s="4" t="s">
        <v>4341</v>
      </c>
      <c r="F509" s="4" t="s">
        <v>4207</v>
      </c>
      <c r="G509" s="4" t="s">
        <v>2771</v>
      </c>
      <c r="H509" s="55">
        <v>985123.9375</v>
      </c>
      <c r="I509" s="56"/>
      <c r="J509" s="56"/>
      <c r="K509" s="78"/>
      <c r="L509" s="57"/>
      <c r="M509" s="57"/>
    </row>
    <row r="510" spans="1:13" ht="15" customHeight="1">
      <c r="A510" s="73"/>
      <c r="B510" s="2"/>
      <c r="C510" s="2" t="s">
        <v>4789</v>
      </c>
      <c r="D510" s="2">
        <v>1</v>
      </c>
      <c r="E510" s="4"/>
      <c r="F510" s="4"/>
      <c r="G510" s="4"/>
      <c r="H510" s="55"/>
      <c r="I510" s="56"/>
      <c r="J510" s="56"/>
      <c r="K510" s="78"/>
      <c r="L510" s="57"/>
      <c r="M510" s="57"/>
    </row>
    <row r="511" spans="1:13" ht="15" customHeight="1">
      <c r="A511" s="73" t="s">
        <v>4787</v>
      </c>
      <c r="B511" s="2">
        <v>16619</v>
      </c>
      <c r="C511" s="2" t="s">
        <v>4790</v>
      </c>
      <c r="D511" s="2">
        <v>3</v>
      </c>
      <c r="E511" s="4" t="s">
        <v>4412</v>
      </c>
      <c r="F511" s="4" t="s">
        <v>4268</v>
      </c>
      <c r="G511" s="4" t="s">
        <v>4139</v>
      </c>
      <c r="H511" s="55">
        <v>17700</v>
      </c>
      <c r="I511" s="56"/>
      <c r="J511" s="56"/>
      <c r="K511" s="78"/>
      <c r="L511" s="57"/>
      <c r="M511" s="57"/>
    </row>
    <row r="512" spans="1:13" ht="15" customHeight="1">
      <c r="A512" s="73" t="s">
        <v>4787</v>
      </c>
      <c r="B512" s="2">
        <v>16620</v>
      </c>
      <c r="C512" s="2" t="s">
        <v>4791</v>
      </c>
      <c r="D512" s="2">
        <v>1</v>
      </c>
      <c r="E512" s="4" t="s">
        <v>4792</v>
      </c>
      <c r="F512" s="4" t="s">
        <v>4211</v>
      </c>
      <c r="G512" s="4" t="s">
        <v>4194</v>
      </c>
      <c r="H512" s="55">
        <v>888</v>
      </c>
      <c r="I512" s="56"/>
      <c r="J512" s="56"/>
      <c r="K512" s="78"/>
      <c r="L512" s="57"/>
      <c r="M512" s="57"/>
    </row>
    <row r="513" spans="1:13" ht="15" customHeight="1">
      <c r="A513" s="73" t="s">
        <v>4793</v>
      </c>
      <c r="B513" s="2">
        <v>16620</v>
      </c>
      <c r="C513" s="2" t="s">
        <v>4741</v>
      </c>
      <c r="D513" s="2">
        <v>220</v>
      </c>
      <c r="E513" s="4" t="s">
        <v>4756</v>
      </c>
      <c r="F513" s="4" t="s">
        <v>4217</v>
      </c>
      <c r="G513" s="4" t="s">
        <v>1967</v>
      </c>
      <c r="H513" s="55">
        <v>879271.8125</v>
      </c>
      <c r="I513" s="56"/>
      <c r="J513" s="56"/>
      <c r="K513" s="78"/>
      <c r="L513" s="57"/>
      <c r="M513" s="57"/>
    </row>
    <row r="514" spans="1:13" ht="15" customHeight="1">
      <c r="A514" s="73" t="s">
        <v>4794</v>
      </c>
      <c r="B514" s="2">
        <v>16621</v>
      </c>
      <c r="C514" s="2" t="s">
        <v>4206</v>
      </c>
      <c r="D514" s="2">
        <v>300</v>
      </c>
      <c r="E514" s="4" t="s">
        <v>4377</v>
      </c>
      <c r="F514" s="4" t="s">
        <v>4217</v>
      </c>
      <c r="G514" s="4" t="s">
        <v>1338</v>
      </c>
      <c r="H514" s="61">
        <v>1065300</v>
      </c>
      <c r="I514" s="62"/>
      <c r="J514" s="62"/>
      <c r="K514" s="78"/>
      <c r="L514" s="57"/>
      <c r="M514" s="57"/>
    </row>
    <row r="515" spans="1:13" ht="15" customHeight="1">
      <c r="A515" s="73" t="s">
        <v>4794</v>
      </c>
      <c r="B515" s="2">
        <v>16622</v>
      </c>
      <c r="C515" s="2" t="s">
        <v>4798</v>
      </c>
      <c r="D515" s="2">
        <v>1</v>
      </c>
      <c r="E515" s="4" t="s">
        <v>4237</v>
      </c>
      <c r="F515" s="4" t="s">
        <v>4220</v>
      </c>
      <c r="G515" s="4" t="s">
        <v>4795</v>
      </c>
      <c r="H515" s="55">
        <v>95000</v>
      </c>
      <c r="I515" s="56"/>
      <c r="J515" s="56"/>
      <c r="K515" s="78"/>
      <c r="L515" s="57"/>
      <c r="M515" s="57"/>
    </row>
    <row r="516" spans="1:13" ht="15" customHeight="1">
      <c r="A516" s="73" t="s">
        <v>4794</v>
      </c>
      <c r="B516" s="2">
        <v>16623</v>
      </c>
      <c r="C516" s="2" t="s">
        <v>4275</v>
      </c>
      <c r="D516" s="2">
        <v>1</v>
      </c>
      <c r="E516" s="4" t="s">
        <v>4215</v>
      </c>
      <c r="F516" s="4" t="s">
        <v>4212</v>
      </c>
      <c r="G516" s="4" t="s">
        <v>3653</v>
      </c>
      <c r="H516" s="55">
        <v>23462.970703125</v>
      </c>
      <c r="I516" s="56"/>
      <c r="J516" s="56"/>
      <c r="K516" s="78"/>
      <c r="L516" s="57"/>
      <c r="M516" s="57"/>
    </row>
    <row r="517" spans="1:13" ht="15" customHeight="1">
      <c r="A517" s="73"/>
      <c r="B517" s="2"/>
      <c r="C517" s="2" t="s">
        <v>4799</v>
      </c>
      <c r="D517" s="2">
        <v>2</v>
      </c>
      <c r="E517" s="4"/>
      <c r="F517" s="4"/>
      <c r="G517" s="4"/>
      <c r="H517" s="55"/>
      <c r="I517" s="56"/>
      <c r="J517" s="56"/>
      <c r="K517" s="78"/>
      <c r="L517" s="57"/>
      <c r="M517" s="57"/>
    </row>
    <row r="518" spans="1:13" ht="15" customHeight="1">
      <c r="A518" s="73"/>
      <c r="B518" s="2"/>
      <c r="C518" s="2" t="s">
        <v>4800</v>
      </c>
      <c r="D518" s="2">
        <v>2</v>
      </c>
      <c r="E518" s="4"/>
      <c r="F518" s="4"/>
      <c r="G518" s="4"/>
      <c r="H518" s="55"/>
      <c r="I518" s="56"/>
      <c r="J518" s="56"/>
      <c r="K518" s="78"/>
      <c r="L518" s="57"/>
      <c r="M518" s="57"/>
    </row>
    <row r="519" spans="1:13" ht="15" customHeight="1">
      <c r="A519" s="73"/>
      <c r="B519" s="2"/>
      <c r="C519" s="2" t="s">
        <v>4801</v>
      </c>
      <c r="D519" s="2">
        <v>2</v>
      </c>
      <c r="E519" s="4"/>
      <c r="F519" s="4"/>
      <c r="G519" s="4"/>
      <c r="H519" s="55"/>
      <c r="I519" s="56"/>
      <c r="J519" s="56"/>
      <c r="K519" s="78"/>
      <c r="L519" s="57"/>
      <c r="M519" s="57"/>
    </row>
    <row r="520" spans="1:13" ht="15" customHeight="1">
      <c r="A520" s="73" t="s">
        <v>4803</v>
      </c>
      <c r="B520" s="2">
        <v>16624</v>
      </c>
      <c r="C520" s="2" t="s">
        <v>4802</v>
      </c>
      <c r="D520" s="2">
        <v>2</v>
      </c>
      <c r="E520" s="4" t="s">
        <v>4246</v>
      </c>
      <c r="F520" s="4" t="s">
        <v>4211</v>
      </c>
      <c r="G520" s="4" t="s">
        <v>3653</v>
      </c>
      <c r="H520" s="55">
        <v>35800</v>
      </c>
      <c r="I520" s="56"/>
      <c r="J520" s="56"/>
      <c r="K520" s="78"/>
      <c r="L520" s="57"/>
      <c r="M520" s="57"/>
    </row>
    <row r="521" spans="1:13" ht="15" customHeight="1">
      <c r="A521" s="73" t="s">
        <v>4803</v>
      </c>
      <c r="B521" s="2">
        <v>16625</v>
      </c>
      <c r="C521" s="2" t="s">
        <v>4804</v>
      </c>
      <c r="D521" s="2">
        <v>2</v>
      </c>
      <c r="E521" s="4" t="s">
        <v>4246</v>
      </c>
      <c r="F521" s="4" t="s">
        <v>4211</v>
      </c>
      <c r="G521" s="4" t="s">
        <v>655</v>
      </c>
      <c r="H521" s="55">
        <v>35800</v>
      </c>
      <c r="I521" s="56"/>
      <c r="J521" s="56"/>
      <c r="K521" s="78"/>
      <c r="L521" s="57"/>
      <c r="M521" s="57"/>
    </row>
    <row r="522" spans="1:13" ht="15" customHeight="1">
      <c r="A522" s="73" t="s">
        <v>4803</v>
      </c>
      <c r="B522" s="2">
        <v>16626</v>
      </c>
      <c r="C522" s="2" t="s">
        <v>4805</v>
      </c>
      <c r="D522" s="2">
        <v>1200</v>
      </c>
      <c r="E522" s="4" t="s">
        <v>4264</v>
      </c>
      <c r="F522" s="4" t="s">
        <v>4207</v>
      </c>
      <c r="G522" s="4" t="s">
        <v>1793</v>
      </c>
      <c r="H522" s="55">
        <v>1861200</v>
      </c>
      <c r="I522" s="56"/>
      <c r="J522" s="56"/>
      <c r="K522" s="78"/>
      <c r="L522" s="57"/>
      <c r="M522" s="57"/>
    </row>
    <row r="523" spans="1:13" ht="15" customHeight="1">
      <c r="A523" s="73"/>
      <c r="B523" s="2"/>
      <c r="C523" s="2" t="s">
        <v>4806</v>
      </c>
      <c r="D523" s="2">
        <v>720</v>
      </c>
      <c r="E523" s="4"/>
      <c r="F523" s="4"/>
      <c r="G523" s="4"/>
      <c r="H523" s="55"/>
      <c r="I523" s="56"/>
      <c r="J523" s="56"/>
      <c r="K523" s="78"/>
      <c r="L523" s="57"/>
      <c r="M523" s="57"/>
    </row>
    <row r="524" spans="1:13" ht="15" customHeight="1">
      <c r="A524" s="73"/>
      <c r="B524" s="2"/>
      <c r="C524" s="2" t="s">
        <v>4676</v>
      </c>
      <c r="D524" s="2">
        <v>1200</v>
      </c>
      <c r="E524" s="4"/>
      <c r="F524" s="4"/>
      <c r="G524" s="4"/>
      <c r="H524" s="55"/>
      <c r="I524" s="56"/>
      <c r="J524" s="56"/>
      <c r="K524" s="78"/>
      <c r="L524" s="57"/>
      <c r="M524" s="57"/>
    </row>
    <row r="525" spans="1:13" ht="15" customHeight="1">
      <c r="A525" s="73" t="s">
        <v>4803</v>
      </c>
      <c r="B525" s="2">
        <v>16627</v>
      </c>
      <c r="C525" s="2" t="s">
        <v>4807</v>
      </c>
      <c r="D525" s="2">
        <v>4</v>
      </c>
      <c r="E525" s="4" t="s">
        <v>4264</v>
      </c>
      <c r="F525" s="4" t="s">
        <v>4207</v>
      </c>
      <c r="G525" s="4" t="s">
        <v>1642</v>
      </c>
      <c r="H525" s="55">
        <v>1122314</v>
      </c>
      <c r="I525" s="56"/>
      <c r="J525" s="56"/>
      <c r="K525" s="78"/>
      <c r="L525" s="57"/>
      <c r="M525" s="57"/>
    </row>
    <row r="526" spans="1:13" ht="15" customHeight="1">
      <c r="A526" s="73"/>
      <c r="B526" s="2"/>
      <c r="C526" s="2" t="s">
        <v>4808</v>
      </c>
      <c r="D526" s="2">
        <v>2</v>
      </c>
      <c r="E526" s="4"/>
      <c r="F526" s="4"/>
      <c r="G526" s="4"/>
      <c r="H526" s="55"/>
      <c r="I526" s="56"/>
      <c r="J526" s="56"/>
      <c r="K526" s="78"/>
      <c r="L526" s="57"/>
      <c r="M526" s="57"/>
    </row>
    <row r="527" spans="1:13" ht="15" customHeight="1">
      <c r="A527" s="73" t="s">
        <v>4803</v>
      </c>
      <c r="B527" s="2">
        <v>16628</v>
      </c>
      <c r="C527" s="2" t="s">
        <v>4809</v>
      </c>
      <c r="D527" s="2">
        <v>2</v>
      </c>
      <c r="E527" s="4" t="s">
        <v>4792</v>
      </c>
      <c r="F527" s="4" t="s">
        <v>4211</v>
      </c>
      <c r="G527" s="4" t="s">
        <v>1753</v>
      </c>
      <c r="H527" s="55">
        <v>2920</v>
      </c>
      <c r="I527" s="56"/>
      <c r="J527" s="56"/>
      <c r="K527" s="78"/>
      <c r="L527" s="57"/>
      <c r="M527" s="57"/>
    </row>
    <row r="528" spans="1:13" ht="15" customHeight="1">
      <c r="A528" s="73"/>
      <c r="B528" s="2"/>
      <c r="C528" s="2" t="s">
        <v>4713</v>
      </c>
      <c r="D528" s="2">
        <v>1</v>
      </c>
      <c r="E528" s="4"/>
      <c r="F528" s="4"/>
      <c r="G528" s="4"/>
      <c r="H528" s="55"/>
      <c r="I528" s="56"/>
      <c r="J528" s="56"/>
      <c r="K528" s="78"/>
      <c r="L528" s="57"/>
      <c r="M528" s="57"/>
    </row>
    <row r="529" spans="1:13" ht="15" customHeight="1">
      <c r="A529" s="73" t="s">
        <v>4811</v>
      </c>
      <c r="B529" s="2">
        <v>16629</v>
      </c>
      <c r="C529" s="2" t="s">
        <v>4810</v>
      </c>
      <c r="D529" s="2">
        <v>5</v>
      </c>
      <c r="E529" s="4" t="s">
        <v>4246</v>
      </c>
      <c r="F529" s="4" t="s">
        <v>4211</v>
      </c>
      <c r="G529" s="4" t="s">
        <v>3662</v>
      </c>
      <c r="H529" s="55">
        <v>0</v>
      </c>
      <c r="I529" s="56"/>
      <c r="J529" s="56"/>
      <c r="K529" s="78"/>
      <c r="L529" s="57"/>
      <c r="M529" s="57"/>
    </row>
    <row r="530" spans="1:13" ht="15" customHeight="1">
      <c r="A530" s="73" t="s">
        <v>4811</v>
      </c>
      <c r="B530" s="2">
        <v>16630</v>
      </c>
      <c r="C530" s="2" t="s">
        <v>4812</v>
      </c>
      <c r="D530" s="2">
        <v>67</v>
      </c>
      <c r="E530" s="4" t="s">
        <v>4215</v>
      </c>
      <c r="F530" s="4" t="s">
        <v>4212</v>
      </c>
      <c r="G530" s="4" t="s">
        <v>3295</v>
      </c>
      <c r="H530" s="55">
        <v>2060250</v>
      </c>
      <c r="I530" s="56"/>
      <c r="J530" s="56"/>
      <c r="K530" s="78"/>
      <c r="L530" s="57"/>
      <c r="M530" s="57"/>
    </row>
    <row r="531" spans="1:13" ht="15" customHeight="1">
      <c r="A531" s="73" t="s">
        <v>4811</v>
      </c>
      <c r="B531" s="2">
        <v>16631</v>
      </c>
      <c r="C531" s="2" t="s">
        <v>4642</v>
      </c>
      <c r="D531" s="2">
        <v>17.5</v>
      </c>
      <c r="E531" s="4" t="s">
        <v>4215</v>
      </c>
      <c r="F531" s="4" t="s">
        <v>4212</v>
      </c>
      <c r="G531" s="4" t="s">
        <v>3295</v>
      </c>
      <c r="H531" s="55">
        <v>781725</v>
      </c>
      <c r="I531" s="56"/>
      <c r="J531" s="56"/>
      <c r="K531" s="78"/>
      <c r="L531" s="57"/>
      <c r="M531" s="57"/>
    </row>
    <row r="532" spans="1:13" ht="15" customHeight="1">
      <c r="A532" s="73"/>
      <c r="B532" s="2"/>
      <c r="C532" s="2" t="s">
        <v>4642</v>
      </c>
      <c r="D532" s="2">
        <v>8</v>
      </c>
      <c r="E532" s="4"/>
      <c r="F532" s="4"/>
      <c r="G532" s="4"/>
      <c r="H532" s="55"/>
      <c r="I532" s="56"/>
      <c r="J532" s="56"/>
      <c r="K532" s="78"/>
      <c r="L532" s="57"/>
      <c r="M532" s="57"/>
    </row>
    <row r="533" spans="1:13" ht="15" customHeight="1">
      <c r="A533" s="73" t="s">
        <v>4811</v>
      </c>
      <c r="B533" s="2">
        <v>16632</v>
      </c>
      <c r="C533" s="2" t="s">
        <v>4783</v>
      </c>
      <c r="D533" s="2">
        <v>3</v>
      </c>
      <c r="E533" s="4" t="s">
        <v>4643</v>
      </c>
      <c r="F533" s="4" t="s">
        <v>4259</v>
      </c>
      <c r="G533" s="4" t="s">
        <v>596</v>
      </c>
      <c r="H533" s="55">
        <v>36000</v>
      </c>
      <c r="I533" s="56"/>
      <c r="J533" s="56"/>
      <c r="K533" s="78"/>
      <c r="L533" s="57"/>
      <c r="M533" s="57"/>
    </row>
    <row r="534" spans="1:13" ht="15" customHeight="1">
      <c r="A534" s="73"/>
      <c r="B534" s="2"/>
      <c r="C534" s="2" t="s">
        <v>4784</v>
      </c>
      <c r="D534" s="2">
        <v>9</v>
      </c>
      <c r="E534" s="4"/>
      <c r="F534" s="4"/>
      <c r="G534" s="4"/>
      <c r="H534" s="55"/>
      <c r="I534" s="56"/>
      <c r="J534" s="56"/>
      <c r="K534" s="78"/>
      <c r="L534" s="57"/>
      <c r="M534" s="57"/>
    </row>
    <row r="535" spans="1:13" ht="15" customHeight="1">
      <c r="A535" s="73">
        <v>44990</v>
      </c>
      <c r="B535" s="2">
        <v>16633</v>
      </c>
      <c r="C535" s="2" t="s">
        <v>4813</v>
      </c>
      <c r="D535" s="2">
        <v>3</v>
      </c>
      <c r="E535" s="4" t="s">
        <v>4264</v>
      </c>
      <c r="F535" s="4" t="s">
        <v>4207</v>
      </c>
      <c r="G535" s="4" t="s">
        <v>4139</v>
      </c>
      <c r="H535" s="55">
        <v>17700</v>
      </c>
      <c r="I535" s="56"/>
      <c r="J535" s="56"/>
      <c r="K535" s="78"/>
      <c r="L535" s="57"/>
      <c r="M535" s="57"/>
    </row>
    <row r="536" spans="1:13" ht="15" customHeight="1">
      <c r="A536" s="73">
        <v>44990</v>
      </c>
      <c r="B536" s="2">
        <v>16634</v>
      </c>
      <c r="C536" s="2" t="s">
        <v>4813</v>
      </c>
      <c r="D536" s="2">
        <v>1</v>
      </c>
      <c r="E536" s="4" t="s">
        <v>4264</v>
      </c>
      <c r="F536" s="4" t="s">
        <v>4207</v>
      </c>
      <c r="G536" s="4" t="s">
        <v>4139</v>
      </c>
      <c r="H536" s="55">
        <v>7900</v>
      </c>
      <c r="I536" s="56"/>
      <c r="J536" s="56"/>
      <c r="K536" s="78"/>
      <c r="L536" s="57"/>
      <c r="M536" s="57"/>
    </row>
    <row r="537" spans="1:13" ht="15" customHeight="1">
      <c r="A537" s="73"/>
      <c r="B537" s="2"/>
      <c r="C537" s="2" t="s">
        <v>4814</v>
      </c>
      <c r="D537" s="2">
        <v>2</v>
      </c>
      <c r="E537" s="4"/>
      <c r="F537" s="4"/>
      <c r="G537" s="4"/>
      <c r="H537" s="55"/>
      <c r="I537" s="56"/>
      <c r="J537" s="56"/>
      <c r="K537" s="78"/>
      <c r="L537" s="57"/>
      <c r="M537" s="57"/>
    </row>
    <row r="538" spans="1:13" ht="15" customHeight="1">
      <c r="A538" s="73">
        <v>44990</v>
      </c>
      <c r="B538" s="2">
        <v>16635</v>
      </c>
      <c r="C538" s="2" t="s">
        <v>4815</v>
      </c>
      <c r="D538" s="2">
        <v>10</v>
      </c>
      <c r="E538" s="4" t="s">
        <v>4246</v>
      </c>
      <c r="F538" s="4" t="s">
        <v>4211</v>
      </c>
      <c r="G538" s="4" t="s">
        <v>655</v>
      </c>
      <c r="H538" s="55">
        <v>0</v>
      </c>
      <c r="I538" s="56"/>
      <c r="J538" s="56"/>
      <c r="K538" s="78"/>
      <c r="L538" s="57"/>
      <c r="M538" s="57"/>
    </row>
    <row r="539" spans="1:13" ht="15" customHeight="1">
      <c r="A539" s="73">
        <v>44990</v>
      </c>
      <c r="B539" s="2">
        <v>16636</v>
      </c>
      <c r="C539" s="2" t="s">
        <v>4816</v>
      </c>
      <c r="D539" s="2">
        <v>1</v>
      </c>
      <c r="E539" s="4" t="s">
        <v>4208</v>
      </c>
      <c r="F539" s="4" t="s">
        <v>4828</v>
      </c>
      <c r="G539" s="4" t="s">
        <v>655</v>
      </c>
      <c r="H539" s="55">
        <v>105466</v>
      </c>
      <c r="I539" s="56"/>
      <c r="J539" s="56"/>
      <c r="K539" s="78"/>
      <c r="L539" s="57"/>
      <c r="M539" s="57"/>
    </row>
    <row r="540" spans="1:13" ht="15" customHeight="1">
      <c r="A540" s="73"/>
      <c r="B540" s="2"/>
      <c r="C540" s="2" t="s">
        <v>4817</v>
      </c>
      <c r="D540" s="2">
        <v>1</v>
      </c>
      <c r="E540" s="4"/>
      <c r="F540" s="4"/>
      <c r="G540" s="4"/>
      <c r="H540" s="55"/>
      <c r="I540" s="56"/>
      <c r="J540" s="56"/>
      <c r="K540" s="78"/>
      <c r="L540" s="57"/>
      <c r="M540" s="57"/>
    </row>
    <row r="541" spans="1:13" ht="15" customHeight="1">
      <c r="A541" s="73"/>
      <c r="B541" s="2"/>
      <c r="C541" s="2" t="s">
        <v>4818</v>
      </c>
      <c r="D541" s="2">
        <v>1</v>
      </c>
      <c r="E541" s="4"/>
      <c r="F541" s="4"/>
      <c r="G541" s="4"/>
      <c r="H541" s="55"/>
      <c r="I541" s="56"/>
      <c r="J541" s="56"/>
      <c r="K541" s="78"/>
      <c r="L541" s="57"/>
      <c r="M541" s="57"/>
    </row>
    <row r="542" spans="1:13" ht="15" customHeight="1">
      <c r="A542" s="73"/>
      <c r="B542" s="2"/>
      <c r="C542" s="2" t="s">
        <v>4819</v>
      </c>
      <c r="D542" s="2">
        <v>1</v>
      </c>
      <c r="E542" s="4"/>
      <c r="F542" s="4"/>
      <c r="G542" s="4"/>
      <c r="H542" s="55"/>
      <c r="I542" s="56"/>
      <c r="J542" s="56"/>
      <c r="K542" s="78"/>
      <c r="L542" s="57"/>
      <c r="M542" s="57"/>
    </row>
    <row r="543" spans="1:13" ht="15" customHeight="1">
      <c r="A543" s="73"/>
      <c r="B543" s="2"/>
      <c r="C543" s="2" t="s">
        <v>4820</v>
      </c>
      <c r="D543" s="2">
        <v>1</v>
      </c>
      <c r="E543" s="4"/>
      <c r="F543" s="4"/>
      <c r="G543" s="4"/>
      <c r="H543" s="55"/>
      <c r="I543" s="56"/>
      <c r="J543" s="56"/>
      <c r="K543" s="78"/>
      <c r="L543" s="57"/>
      <c r="M543" s="57"/>
    </row>
    <row r="544" spans="1:13" ht="15" customHeight="1">
      <c r="A544" s="73"/>
      <c r="B544" s="2"/>
      <c r="C544" s="2" t="s">
        <v>4821</v>
      </c>
      <c r="D544" s="2">
        <v>1</v>
      </c>
      <c r="E544" s="4"/>
      <c r="F544" s="4"/>
      <c r="G544" s="4"/>
      <c r="H544" s="55"/>
      <c r="I544" s="56"/>
      <c r="J544" s="56"/>
      <c r="K544" s="78"/>
      <c r="L544" s="57"/>
      <c r="M544" s="57"/>
    </row>
    <row r="545" spans="1:13" ht="15" customHeight="1">
      <c r="A545" s="73"/>
      <c r="B545" s="2"/>
      <c r="C545" s="2" t="s">
        <v>4822</v>
      </c>
      <c r="D545" s="2">
        <v>1</v>
      </c>
      <c r="E545" s="4"/>
      <c r="F545" s="4"/>
      <c r="G545" s="4"/>
      <c r="H545" s="55"/>
      <c r="I545" s="56"/>
      <c r="J545" s="56"/>
      <c r="K545" s="78"/>
      <c r="L545" s="57"/>
      <c r="M545" s="57"/>
    </row>
    <row r="546" spans="1:13" ht="15" customHeight="1">
      <c r="A546" s="73"/>
      <c r="B546" s="2"/>
      <c r="C546" s="2" t="s">
        <v>4823</v>
      </c>
      <c r="D546" s="2">
        <v>1</v>
      </c>
      <c r="E546" s="4"/>
      <c r="F546" s="4"/>
      <c r="G546" s="4"/>
      <c r="H546" s="55"/>
      <c r="I546" s="56"/>
      <c r="J546" s="56"/>
      <c r="K546" s="78"/>
      <c r="L546" s="57"/>
      <c r="M546" s="57"/>
    </row>
    <row r="547" spans="1:13" ht="15" customHeight="1">
      <c r="A547" s="73"/>
      <c r="B547" s="2"/>
      <c r="C547" s="2" t="s">
        <v>4824</v>
      </c>
      <c r="D547" s="2">
        <v>1</v>
      </c>
      <c r="E547" s="4"/>
      <c r="F547" s="4"/>
      <c r="G547" s="4"/>
      <c r="H547" s="55"/>
      <c r="I547" s="56"/>
      <c r="J547" s="56"/>
      <c r="K547" s="78"/>
      <c r="L547" s="57"/>
      <c r="M547" s="57"/>
    </row>
    <row r="548" spans="1:13" ht="15" customHeight="1">
      <c r="A548" s="73"/>
      <c r="B548" s="2"/>
      <c r="C548" s="2" t="s">
        <v>4825</v>
      </c>
      <c r="D548" s="2">
        <v>1</v>
      </c>
      <c r="E548" s="4"/>
      <c r="F548" s="4"/>
      <c r="G548" s="4"/>
      <c r="H548" s="55"/>
      <c r="I548" s="56"/>
      <c r="J548" s="56"/>
      <c r="K548" s="78"/>
      <c r="L548" s="57"/>
      <c r="M548" s="57"/>
    </row>
    <row r="549" spans="1:13" ht="15" customHeight="1">
      <c r="A549" s="73"/>
      <c r="B549" s="2"/>
      <c r="C549" s="2" t="s">
        <v>4826</v>
      </c>
      <c r="D549" s="2">
        <v>1</v>
      </c>
      <c r="E549" s="4"/>
      <c r="F549" s="4"/>
      <c r="G549" s="4"/>
      <c r="H549" s="55"/>
      <c r="I549" s="56"/>
      <c r="J549" s="56"/>
      <c r="K549" s="78"/>
      <c r="L549" s="57"/>
      <c r="M549" s="57"/>
    </row>
    <row r="550" spans="1:13" ht="15" customHeight="1">
      <c r="A550" s="73"/>
      <c r="B550" s="2"/>
      <c r="C550" s="2" t="s">
        <v>4827</v>
      </c>
      <c r="D550" s="2">
        <v>1</v>
      </c>
      <c r="E550" s="4"/>
      <c r="F550" s="4"/>
      <c r="G550" s="4"/>
      <c r="H550" s="55"/>
      <c r="I550" s="56"/>
      <c r="J550" s="56"/>
      <c r="K550" s="78"/>
      <c r="L550" s="57"/>
      <c r="M550" s="57"/>
    </row>
    <row r="551" spans="1:13" ht="15" customHeight="1">
      <c r="A551" s="73">
        <v>44990</v>
      </c>
      <c r="B551" s="2">
        <v>16637</v>
      </c>
      <c r="C551" s="2" t="s">
        <v>4829</v>
      </c>
      <c r="D551" s="2">
        <v>1</v>
      </c>
      <c r="E551" s="4" t="s">
        <v>4264</v>
      </c>
      <c r="F551" s="4" t="s">
        <v>4207</v>
      </c>
      <c r="G551" s="4" t="s">
        <v>3883</v>
      </c>
      <c r="H551" s="55">
        <v>105466</v>
      </c>
      <c r="I551" s="56"/>
      <c r="J551" s="56"/>
      <c r="K551" s="78"/>
      <c r="L551" s="57"/>
      <c r="M551" s="57"/>
    </row>
    <row r="552" spans="1:13" ht="15" customHeight="1">
      <c r="A552" s="73">
        <v>44990</v>
      </c>
      <c r="B552" s="2">
        <v>16638</v>
      </c>
      <c r="C552" s="2" t="s">
        <v>4830</v>
      </c>
      <c r="D552" s="2">
        <v>2</v>
      </c>
      <c r="E552" s="4" t="s">
        <v>4833</v>
      </c>
      <c r="F552" s="4" t="s">
        <v>4220</v>
      </c>
      <c r="G552" s="4" t="s">
        <v>4200</v>
      </c>
      <c r="H552" s="55">
        <v>60339.08984375</v>
      </c>
      <c r="I552" s="56"/>
      <c r="J552" s="56"/>
      <c r="K552" s="78"/>
      <c r="L552" s="57"/>
      <c r="M552" s="57"/>
    </row>
    <row r="553" spans="1:13" ht="15" customHeight="1">
      <c r="A553" s="73"/>
      <c r="B553" s="2"/>
      <c r="C553" s="2" t="s">
        <v>4831</v>
      </c>
      <c r="D553" s="2">
        <v>2</v>
      </c>
      <c r="E553" s="4"/>
      <c r="F553" s="4"/>
      <c r="G553" s="4"/>
      <c r="H553" s="55"/>
      <c r="I553" s="56"/>
      <c r="J553" s="56"/>
      <c r="K553" s="78"/>
      <c r="L553" s="57"/>
      <c r="M553" s="57"/>
    </row>
    <row r="554" spans="1:13" ht="15" customHeight="1">
      <c r="A554" s="73"/>
      <c r="B554" s="2"/>
      <c r="C554" s="2" t="s">
        <v>4493</v>
      </c>
      <c r="D554" s="2">
        <v>1</v>
      </c>
      <c r="E554" s="4"/>
      <c r="F554" s="4"/>
      <c r="G554" s="4"/>
      <c r="H554" s="55"/>
      <c r="I554" s="56"/>
      <c r="J554" s="56"/>
      <c r="K554" s="78"/>
      <c r="L554" s="57"/>
      <c r="M554" s="57"/>
    </row>
    <row r="555" spans="1:13" ht="15" customHeight="1">
      <c r="A555" s="73"/>
      <c r="B555" s="2"/>
      <c r="C555" s="2" t="s">
        <v>4378</v>
      </c>
      <c r="D555" s="2">
        <v>15</v>
      </c>
      <c r="E555" s="4"/>
      <c r="F555" s="4"/>
      <c r="G555" s="4"/>
      <c r="H555" s="55"/>
      <c r="I555" s="56"/>
      <c r="J555" s="56"/>
      <c r="K555" s="78"/>
      <c r="L555" s="57"/>
      <c r="M555" s="57"/>
    </row>
    <row r="556" spans="1:13" ht="15" customHeight="1">
      <c r="A556" s="73"/>
      <c r="B556" s="2"/>
      <c r="C556" s="2" t="s">
        <v>4832</v>
      </c>
      <c r="D556" s="2">
        <v>1</v>
      </c>
      <c r="E556" s="4"/>
      <c r="F556" s="4"/>
      <c r="G556" s="4"/>
      <c r="H556" s="55"/>
      <c r="I556" s="56"/>
      <c r="J556" s="56"/>
      <c r="K556" s="78"/>
      <c r="L556" s="57"/>
      <c r="M556" s="57"/>
    </row>
    <row r="557" spans="1:13" ht="15" customHeight="1">
      <c r="A557" s="73">
        <v>44990</v>
      </c>
      <c r="B557" s="2">
        <v>16639</v>
      </c>
      <c r="C557" s="2" t="s">
        <v>4831</v>
      </c>
      <c r="D557" s="2">
        <v>3</v>
      </c>
      <c r="E557" s="4" t="s">
        <v>4833</v>
      </c>
      <c r="F557" s="4" t="s">
        <v>4220</v>
      </c>
      <c r="G557" s="4" t="s">
        <v>4200</v>
      </c>
      <c r="H557" s="55">
        <v>124957.7109375</v>
      </c>
      <c r="I557" s="56"/>
      <c r="J557" s="56"/>
      <c r="K557" s="78"/>
      <c r="L557" s="57"/>
      <c r="M557" s="57"/>
    </row>
    <row r="558" spans="1:13" ht="15" customHeight="1">
      <c r="A558" s="73"/>
      <c r="B558" s="2"/>
      <c r="C558" s="2" t="s">
        <v>4378</v>
      </c>
      <c r="D558" s="2">
        <v>3</v>
      </c>
      <c r="E558" s="4"/>
      <c r="F558" s="4"/>
      <c r="G558" s="4"/>
      <c r="H558" s="55"/>
      <c r="I558" s="56"/>
      <c r="J558" s="56"/>
      <c r="K558" s="78"/>
      <c r="L558" s="57"/>
      <c r="M558" s="57"/>
    </row>
    <row r="559" spans="1:13" ht="15" customHeight="1">
      <c r="A559" s="73"/>
      <c r="B559" s="2"/>
      <c r="C559" s="2" t="s">
        <v>4378</v>
      </c>
      <c r="D559" s="2">
        <v>15</v>
      </c>
      <c r="E559" s="4"/>
      <c r="F559" s="4"/>
      <c r="G559" s="4"/>
      <c r="H559" s="55"/>
      <c r="I559" s="56"/>
      <c r="J559" s="56"/>
      <c r="K559" s="78"/>
      <c r="L559" s="57"/>
      <c r="M559" s="57"/>
    </row>
    <row r="560" spans="1:13" ht="15" customHeight="1">
      <c r="A560" s="73"/>
      <c r="B560" s="2"/>
      <c r="C560" s="2" t="s">
        <v>4493</v>
      </c>
      <c r="D560" s="2">
        <v>3</v>
      </c>
      <c r="E560" s="4"/>
      <c r="F560" s="4"/>
      <c r="G560" s="4"/>
      <c r="H560" s="55"/>
      <c r="I560" s="56"/>
      <c r="J560" s="56"/>
      <c r="K560" s="78"/>
      <c r="L560" s="57"/>
      <c r="M560" s="57"/>
    </row>
    <row r="561" spans="1:13" ht="15" customHeight="1">
      <c r="A561" s="73"/>
      <c r="B561" s="2"/>
      <c r="C561" s="2" t="s">
        <v>4378</v>
      </c>
      <c r="D561" s="2">
        <v>15</v>
      </c>
      <c r="E561" s="4"/>
      <c r="F561" s="4"/>
      <c r="G561" s="4"/>
      <c r="H561" s="55"/>
      <c r="I561" s="56"/>
      <c r="J561" s="56"/>
      <c r="K561" s="78"/>
      <c r="L561" s="57"/>
      <c r="M561" s="57"/>
    </row>
    <row r="562" spans="1:13" ht="15" customHeight="1">
      <c r="A562" s="73"/>
      <c r="B562" s="2"/>
      <c r="C562" s="2" t="s">
        <v>4834</v>
      </c>
      <c r="D562" s="2">
        <v>1</v>
      </c>
      <c r="E562" s="4"/>
      <c r="F562" s="4"/>
      <c r="G562" s="4"/>
      <c r="H562" s="55"/>
      <c r="I562" s="56"/>
      <c r="J562" s="56"/>
      <c r="K562" s="78"/>
      <c r="L562" s="57"/>
      <c r="M562" s="57"/>
    </row>
    <row r="563" spans="1:13" ht="15" customHeight="1">
      <c r="A563" s="73">
        <v>44990</v>
      </c>
      <c r="B563" s="2">
        <v>16640</v>
      </c>
      <c r="C563" s="2" t="s">
        <v>4206</v>
      </c>
      <c r="D563" s="2">
        <v>300</v>
      </c>
      <c r="E563" s="4" t="s">
        <v>4218</v>
      </c>
      <c r="F563" s="4" t="s">
        <v>4217</v>
      </c>
      <c r="G563" s="4" t="s">
        <v>1338</v>
      </c>
      <c r="H563" s="61">
        <v>1086000</v>
      </c>
      <c r="I563" s="62"/>
      <c r="J563" s="62"/>
      <c r="K563" s="78"/>
      <c r="L563" s="57"/>
      <c r="M563" s="57"/>
    </row>
    <row r="564" spans="1:13" ht="15" customHeight="1">
      <c r="A564" s="73">
        <v>44990</v>
      </c>
      <c r="B564" s="2">
        <v>16641</v>
      </c>
      <c r="C564" s="2" t="s">
        <v>4835</v>
      </c>
      <c r="D564" s="2">
        <v>300</v>
      </c>
      <c r="E564" s="4" t="s">
        <v>4218</v>
      </c>
      <c r="F564" s="4" t="s">
        <v>4217</v>
      </c>
      <c r="G564" s="4" t="s">
        <v>1338</v>
      </c>
      <c r="H564" s="61">
        <v>1749300</v>
      </c>
      <c r="I564" s="62"/>
      <c r="J564" s="62"/>
      <c r="K564" s="78"/>
      <c r="L564" s="57"/>
      <c r="M564" s="57"/>
    </row>
    <row r="565" spans="1:13" ht="15" customHeight="1">
      <c r="A565" s="73"/>
      <c r="B565" s="2"/>
      <c r="C565" s="2" t="s">
        <v>4425</v>
      </c>
      <c r="D565" s="2">
        <v>300</v>
      </c>
      <c r="E565" s="4"/>
      <c r="F565" s="4"/>
      <c r="G565" s="4"/>
      <c r="H565" s="55"/>
      <c r="I565" s="56"/>
      <c r="J565" s="56"/>
      <c r="K565" s="78"/>
      <c r="L565" s="57"/>
      <c r="M565" s="57"/>
    </row>
    <row r="566" spans="1:13" ht="15" customHeight="1">
      <c r="A566" s="73">
        <v>45021</v>
      </c>
      <c r="B566" s="2">
        <v>16642</v>
      </c>
      <c r="C566" s="2" t="s">
        <v>4836</v>
      </c>
      <c r="D566" s="2">
        <v>2</v>
      </c>
      <c r="E566" s="4" t="s">
        <v>4246</v>
      </c>
      <c r="F566" s="4" t="s">
        <v>4211</v>
      </c>
      <c r="G566" s="4" t="s">
        <v>4541</v>
      </c>
      <c r="H566" s="55">
        <v>1810</v>
      </c>
      <c r="I566" s="56"/>
      <c r="J566" s="56"/>
      <c r="K566" s="78"/>
      <c r="L566" s="57"/>
      <c r="M566" s="57"/>
    </row>
    <row r="567" spans="1:13" ht="15" customHeight="1">
      <c r="A567" s="73"/>
      <c r="B567" s="2"/>
      <c r="C567" s="2" t="s">
        <v>4837</v>
      </c>
      <c r="D567" s="2">
        <v>2</v>
      </c>
      <c r="E567" s="4"/>
      <c r="F567" s="4"/>
      <c r="G567" s="4"/>
      <c r="H567" s="55"/>
      <c r="I567" s="56"/>
      <c r="J567" s="56"/>
      <c r="K567" s="78"/>
      <c r="L567" s="57"/>
      <c r="M567" s="57"/>
    </row>
    <row r="568" spans="1:13" ht="15" customHeight="1">
      <c r="A568" s="73"/>
      <c r="B568" s="2"/>
      <c r="C568" s="2" t="s">
        <v>4838</v>
      </c>
      <c r="D568" s="2">
        <v>2</v>
      </c>
      <c r="E568" s="4"/>
      <c r="F568" s="4"/>
      <c r="G568" s="4"/>
      <c r="H568" s="55"/>
      <c r="I568" s="56"/>
      <c r="J568" s="56"/>
      <c r="K568" s="78"/>
      <c r="L568" s="57"/>
      <c r="M568" s="57"/>
    </row>
    <row r="569" spans="1:13" ht="15" customHeight="1">
      <c r="A569" s="73">
        <v>45174</v>
      </c>
      <c r="B569" s="2">
        <v>16643</v>
      </c>
      <c r="C569" s="2" t="s">
        <v>4206</v>
      </c>
      <c r="D569" s="2">
        <v>400</v>
      </c>
      <c r="E569" s="4" t="s">
        <v>4218</v>
      </c>
      <c r="F569" s="4" t="s">
        <v>4217</v>
      </c>
      <c r="G569" s="4" t="s">
        <v>1338</v>
      </c>
      <c r="H569" s="61">
        <v>1480000</v>
      </c>
      <c r="I569" s="62"/>
      <c r="J569" s="62"/>
      <c r="K569" s="78"/>
      <c r="L569" s="57"/>
      <c r="M569" s="57"/>
    </row>
    <row r="570" spans="1:13" ht="15" customHeight="1">
      <c r="A570" s="73">
        <v>45174</v>
      </c>
      <c r="B570" s="2">
        <v>16644</v>
      </c>
      <c r="C570" s="2" t="s">
        <v>4839</v>
      </c>
      <c r="D570" s="2">
        <v>132</v>
      </c>
      <c r="E570" s="4" t="s">
        <v>4246</v>
      </c>
      <c r="F570" s="4" t="s">
        <v>4211</v>
      </c>
      <c r="G570" s="4" t="s">
        <v>3692</v>
      </c>
      <c r="H570" s="55">
        <v>83522.34375</v>
      </c>
      <c r="I570" s="56"/>
      <c r="J570" s="56"/>
      <c r="K570" s="78"/>
      <c r="L570" s="57"/>
      <c r="M570" s="57"/>
    </row>
    <row r="571" spans="1:13" ht="15" customHeight="1">
      <c r="A571" s="73">
        <v>45204</v>
      </c>
      <c r="B571" s="2">
        <v>16645</v>
      </c>
      <c r="C571" s="2" t="s">
        <v>4840</v>
      </c>
      <c r="D571" s="2">
        <v>240</v>
      </c>
      <c r="E571" s="4" t="s">
        <v>4264</v>
      </c>
      <c r="F571" s="4" t="s">
        <v>4207</v>
      </c>
      <c r="G571" s="4" t="s">
        <v>3971</v>
      </c>
      <c r="H571" s="55">
        <v>120000</v>
      </c>
      <c r="I571" s="56"/>
      <c r="J571" s="56"/>
      <c r="K571" s="78"/>
      <c r="L571" s="57"/>
      <c r="M571" s="57"/>
    </row>
    <row r="572" spans="1:13" ht="15" customHeight="1">
      <c r="A572" s="73">
        <v>45235</v>
      </c>
      <c r="B572" s="2">
        <v>16646</v>
      </c>
      <c r="C572" s="2" t="s">
        <v>4841</v>
      </c>
      <c r="D572" s="2">
        <v>1</v>
      </c>
      <c r="E572" s="4" t="s">
        <v>4833</v>
      </c>
      <c r="F572" s="4" t="s">
        <v>4220</v>
      </c>
      <c r="G572" s="4" t="s">
        <v>3265</v>
      </c>
      <c r="H572" s="55">
        <v>335391.3125</v>
      </c>
      <c r="I572" s="56"/>
      <c r="J572" s="56"/>
      <c r="K572" s="78"/>
      <c r="L572" s="57"/>
      <c r="M572" s="57"/>
    </row>
    <row r="573" spans="1:13" ht="15" customHeight="1">
      <c r="A573" s="73">
        <v>45235</v>
      </c>
      <c r="B573" s="2">
        <v>16647</v>
      </c>
      <c r="C573" s="2" t="s">
        <v>4843</v>
      </c>
      <c r="D573" s="2">
        <v>1</v>
      </c>
      <c r="E573" s="4" t="s">
        <v>4833</v>
      </c>
      <c r="F573" s="4" t="s">
        <v>4220</v>
      </c>
      <c r="G573" s="4" t="s">
        <v>4200</v>
      </c>
      <c r="H573" s="55">
        <v>0</v>
      </c>
      <c r="I573" s="56"/>
      <c r="J573" s="56"/>
      <c r="K573" s="78"/>
      <c r="L573" s="57"/>
      <c r="M573" s="57"/>
    </row>
    <row r="574" spans="1:13" ht="15" customHeight="1">
      <c r="A574" s="73"/>
      <c r="B574" s="2"/>
      <c r="C574" s="2" t="s">
        <v>4842</v>
      </c>
      <c r="D574" s="2">
        <v>2</v>
      </c>
      <c r="E574" s="4"/>
      <c r="F574" s="4"/>
      <c r="G574" s="4"/>
      <c r="H574" s="55"/>
      <c r="I574" s="56"/>
      <c r="J574" s="56"/>
      <c r="K574" s="78"/>
      <c r="L574" s="57"/>
      <c r="M574" s="57"/>
    </row>
    <row r="575" spans="1:13" ht="15" customHeight="1">
      <c r="A575" s="73">
        <v>45235</v>
      </c>
      <c r="B575" s="2">
        <v>16648</v>
      </c>
      <c r="C575" s="2" t="s">
        <v>4206</v>
      </c>
      <c r="D575" s="2">
        <v>400</v>
      </c>
      <c r="E575" s="4" t="s">
        <v>4218</v>
      </c>
      <c r="F575" s="4" t="s">
        <v>4217</v>
      </c>
      <c r="G575" s="4" t="s">
        <v>1338</v>
      </c>
      <c r="H575" s="61">
        <v>3268400</v>
      </c>
      <c r="I575" s="62"/>
      <c r="J575" s="62"/>
      <c r="K575" s="78"/>
      <c r="L575" s="57"/>
      <c r="M575" s="57"/>
    </row>
    <row r="576" spans="1:13" ht="15" customHeight="1">
      <c r="A576" s="73"/>
      <c r="B576" s="2"/>
      <c r="C576" s="2" t="s">
        <v>4425</v>
      </c>
      <c r="D576" s="2">
        <v>300</v>
      </c>
      <c r="E576" s="4"/>
      <c r="F576" s="4"/>
      <c r="G576" s="4"/>
      <c r="H576" s="55"/>
      <c r="I576" s="56"/>
      <c r="J576" s="56"/>
      <c r="K576" s="78"/>
      <c r="L576" s="57"/>
      <c r="M576" s="57"/>
    </row>
    <row r="577" spans="1:13" ht="15" customHeight="1">
      <c r="A577" s="73"/>
      <c r="B577" s="2"/>
      <c r="C577" s="2" t="s">
        <v>4835</v>
      </c>
      <c r="D577" s="2">
        <v>300</v>
      </c>
      <c r="E577" s="4"/>
      <c r="F577" s="4"/>
      <c r="G577" s="4"/>
      <c r="H577" s="55"/>
      <c r="I577" s="56"/>
      <c r="J577" s="56"/>
      <c r="K577" s="78"/>
      <c r="L577" s="57"/>
      <c r="M577" s="57"/>
    </row>
    <row r="578" spans="1:13" ht="15" customHeight="1">
      <c r="A578" s="73" t="s">
        <v>4846</v>
      </c>
      <c r="B578" s="2">
        <v>16649</v>
      </c>
      <c r="C578" s="2" t="s">
        <v>4844</v>
      </c>
      <c r="D578" s="2">
        <v>2</v>
      </c>
      <c r="E578" s="4" t="s">
        <v>4246</v>
      </c>
      <c r="F578" s="4" t="s">
        <v>4211</v>
      </c>
      <c r="G578" s="4" t="s">
        <v>1753</v>
      </c>
      <c r="H578" s="55">
        <v>200.07000732421875</v>
      </c>
      <c r="I578" s="56"/>
      <c r="J578" s="56"/>
      <c r="K578" s="78"/>
      <c r="L578" s="57"/>
      <c r="M578" s="57"/>
    </row>
    <row r="579" spans="1:13" ht="15" customHeight="1">
      <c r="A579" s="73"/>
      <c r="B579" s="2"/>
      <c r="C579" s="2" t="s">
        <v>4845</v>
      </c>
      <c r="D579" s="2">
        <v>1</v>
      </c>
      <c r="E579" s="4"/>
      <c r="F579" s="4"/>
      <c r="G579" s="4"/>
      <c r="H579" s="55"/>
      <c r="I579" s="56"/>
      <c r="J579" s="56"/>
      <c r="K579" s="78"/>
      <c r="L579" s="57"/>
      <c r="M579" s="57"/>
    </row>
    <row r="580" spans="1:13" ht="15" customHeight="1">
      <c r="A580" s="73" t="s">
        <v>4846</v>
      </c>
      <c r="B580" s="2">
        <v>16650</v>
      </c>
      <c r="C580" s="2" t="s">
        <v>4847</v>
      </c>
      <c r="D580" s="2">
        <v>2</v>
      </c>
      <c r="E580" s="4" t="s">
        <v>4696</v>
      </c>
      <c r="F580" s="4" t="s">
        <v>4211</v>
      </c>
      <c r="G580" s="4" t="s">
        <v>1256</v>
      </c>
      <c r="H580" s="55">
        <v>0</v>
      </c>
      <c r="I580" s="56"/>
      <c r="J580" s="56"/>
      <c r="K580" s="78"/>
      <c r="L580" s="57"/>
      <c r="M580" s="57"/>
    </row>
    <row r="581" spans="1:13" ht="15" customHeight="1">
      <c r="A581" s="73"/>
      <c r="B581" s="2"/>
      <c r="C581" s="2" t="s">
        <v>4848</v>
      </c>
      <c r="D581" s="2">
        <v>1</v>
      </c>
      <c r="E581" s="4"/>
      <c r="F581" s="4"/>
      <c r="G581" s="4"/>
      <c r="H581" s="55"/>
      <c r="I581" s="56"/>
      <c r="J581" s="56"/>
      <c r="K581" s="78"/>
      <c r="L581" s="57"/>
      <c r="M581" s="57"/>
    </row>
    <row r="582" spans="1:13" ht="15" customHeight="1">
      <c r="A582" s="73"/>
      <c r="B582" s="2"/>
      <c r="C582" s="2" t="s">
        <v>4849</v>
      </c>
      <c r="D582" s="2">
        <v>2</v>
      </c>
      <c r="E582" s="4"/>
      <c r="F582" s="4"/>
      <c r="G582" s="4"/>
      <c r="H582" s="55"/>
      <c r="I582" s="56"/>
      <c r="J582" s="56"/>
      <c r="K582" s="78"/>
      <c r="L582" s="57"/>
      <c r="M582" s="57"/>
    </row>
    <row r="583" spans="1:13" ht="15" customHeight="1">
      <c r="A583" s="73"/>
      <c r="B583" s="2"/>
      <c r="C583" s="2" t="s">
        <v>4850</v>
      </c>
      <c r="D583" s="2">
        <v>1</v>
      </c>
      <c r="E583" s="4"/>
      <c r="F583" s="4"/>
      <c r="G583" s="4"/>
      <c r="H583" s="55"/>
      <c r="I583" s="56"/>
      <c r="J583" s="56"/>
      <c r="K583" s="78"/>
      <c r="L583" s="57"/>
      <c r="M583" s="57"/>
    </row>
    <row r="584" spans="1:13" ht="15" customHeight="1">
      <c r="A584" s="73" t="s">
        <v>4855</v>
      </c>
      <c r="B584" s="2">
        <v>16651</v>
      </c>
      <c r="C584" s="2" t="s">
        <v>4851</v>
      </c>
      <c r="D584" s="2">
        <v>2</v>
      </c>
      <c r="E584" s="4" t="s">
        <v>4833</v>
      </c>
      <c r="F584" s="4" t="s">
        <v>4220</v>
      </c>
      <c r="G584" s="4" t="s">
        <v>4200</v>
      </c>
      <c r="H584" s="55">
        <v>32350.4296875</v>
      </c>
      <c r="I584" s="56"/>
      <c r="J584" s="56"/>
      <c r="K584" s="78"/>
      <c r="L584" s="57"/>
      <c r="M584" s="57"/>
    </row>
    <row r="585" spans="1:13" ht="15" customHeight="1">
      <c r="A585" s="73"/>
      <c r="B585" s="2"/>
      <c r="C585" s="2" t="s">
        <v>4852</v>
      </c>
      <c r="D585" s="2">
        <v>1</v>
      </c>
      <c r="E585" s="4"/>
      <c r="F585" s="4"/>
      <c r="G585" s="4"/>
      <c r="H585" s="55"/>
      <c r="I585" s="56"/>
      <c r="J585" s="56"/>
      <c r="K585" s="78"/>
      <c r="L585" s="57"/>
      <c r="M585" s="57"/>
    </row>
    <row r="586" spans="1:13" ht="15" customHeight="1">
      <c r="A586" s="73"/>
      <c r="B586" s="2"/>
      <c r="C586" s="2" t="s">
        <v>4853</v>
      </c>
      <c r="D586" s="2">
        <v>6</v>
      </c>
      <c r="E586" s="4"/>
      <c r="F586" s="4"/>
      <c r="G586" s="4"/>
      <c r="H586" s="55"/>
      <c r="I586" s="56"/>
      <c r="J586" s="56"/>
      <c r="K586" s="78"/>
      <c r="L586" s="57"/>
      <c r="M586" s="57"/>
    </row>
    <row r="587" spans="1:13" ht="15" customHeight="1">
      <c r="A587" s="73"/>
      <c r="B587" s="2"/>
      <c r="C587" s="2" t="s">
        <v>4378</v>
      </c>
      <c r="D587" s="2">
        <v>3</v>
      </c>
      <c r="E587" s="4"/>
      <c r="F587" s="4"/>
      <c r="G587" s="4"/>
      <c r="H587" s="55"/>
      <c r="I587" s="56"/>
      <c r="J587" s="56"/>
      <c r="K587" s="78"/>
      <c r="L587" s="57"/>
      <c r="M587" s="57"/>
    </row>
    <row r="588" spans="1:13" ht="15" customHeight="1">
      <c r="A588" s="73"/>
      <c r="B588" s="2"/>
      <c r="C588" s="2" t="s">
        <v>4854</v>
      </c>
      <c r="D588" s="2">
        <v>2</v>
      </c>
      <c r="E588" s="4"/>
      <c r="F588" s="4"/>
      <c r="G588" s="4"/>
      <c r="H588" s="55"/>
      <c r="I588" s="56"/>
      <c r="J588" s="56"/>
      <c r="K588" s="78"/>
      <c r="L588" s="57"/>
      <c r="M588" s="57"/>
    </row>
    <row r="589" spans="1:13" ht="15" customHeight="1">
      <c r="A589" s="73" t="s">
        <v>4855</v>
      </c>
      <c r="B589" s="2">
        <v>16652</v>
      </c>
      <c r="C589" s="2" t="s">
        <v>4861</v>
      </c>
      <c r="D589" s="2">
        <v>18</v>
      </c>
      <c r="E589" s="4" t="s">
        <v>4643</v>
      </c>
      <c r="F589" s="4" t="s">
        <v>4259</v>
      </c>
      <c r="G589" s="4" t="s">
        <v>4856</v>
      </c>
      <c r="H589" s="55">
        <v>476.32000732421875</v>
      </c>
      <c r="I589" s="56"/>
      <c r="J589" s="56"/>
      <c r="K589" s="78"/>
      <c r="L589" s="57"/>
      <c r="M589" s="57"/>
    </row>
    <row r="590" spans="1:13" ht="15" customHeight="1">
      <c r="A590" s="73"/>
      <c r="B590" s="2"/>
      <c r="C590" s="2" t="s">
        <v>4860</v>
      </c>
      <c r="D590" s="2">
        <v>4</v>
      </c>
      <c r="E590" s="4"/>
      <c r="F590" s="4"/>
      <c r="G590" s="4"/>
      <c r="H590" s="55"/>
      <c r="I590" s="56"/>
      <c r="J590" s="56"/>
      <c r="K590" s="78"/>
      <c r="L590" s="57"/>
      <c r="M590" s="57"/>
    </row>
    <row r="591" spans="1:13" ht="15" customHeight="1">
      <c r="A591" s="73"/>
      <c r="B591" s="2"/>
      <c r="C591" s="2" t="s">
        <v>4862</v>
      </c>
      <c r="D591" s="2">
        <v>4</v>
      </c>
      <c r="E591" s="4"/>
      <c r="F591" s="4"/>
      <c r="G591" s="4"/>
      <c r="H591" s="55"/>
      <c r="I591" s="56"/>
      <c r="J591" s="56"/>
      <c r="K591" s="78"/>
      <c r="L591" s="57"/>
      <c r="M591" s="57"/>
    </row>
    <row r="592" spans="1:13" ht="15" customHeight="1">
      <c r="A592" s="73"/>
      <c r="B592" s="2"/>
      <c r="C592" s="2" t="s">
        <v>4863</v>
      </c>
      <c r="D592" s="2">
        <v>4</v>
      </c>
      <c r="E592" s="4"/>
      <c r="F592" s="4"/>
      <c r="G592" s="4"/>
      <c r="H592" s="55"/>
      <c r="I592" s="56"/>
      <c r="J592" s="56"/>
      <c r="K592" s="78"/>
      <c r="L592" s="57"/>
      <c r="M592" s="57"/>
    </row>
    <row r="593" spans="1:13" ht="15" customHeight="1">
      <c r="A593" s="73" t="s">
        <v>4866</v>
      </c>
      <c r="B593" s="2">
        <v>16653</v>
      </c>
      <c r="C593" s="2" t="s">
        <v>4865</v>
      </c>
      <c r="D593" s="2">
        <v>72</v>
      </c>
      <c r="E593" s="4" t="s">
        <v>4712</v>
      </c>
      <c r="F593" s="4" t="s">
        <v>4217</v>
      </c>
      <c r="G593" s="4" t="s">
        <v>3659</v>
      </c>
      <c r="H593" s="55">
        <v>1037526.625</v>
      </c>
      <c r="I593" s="56"/>
      <c r="J593" s="56"/>
      <c r="K593" s="78"/>
      <c r="L593" s="57"/>
      <c r="M593" s="57"/>
    </row>
    <row r="594" spans="1:13" ht="15" customHeight="1">
      <c r="A594" s="73"/>
      <c r="B594" s="2"/>
      <c r="C594" s="2" t="s">
        <v>4864</v>
      </c>
      <c r="D594" s="2">
        <v>1</v>
      </c>
      <c r="E594" s="4"/>
      <c r="F594" s="4"/>
      <c r="G594" s="4"/>
      <c r="H594" s="55"/>
      <c r="I594" s="56"/>
      <c r="J594" s="56"/>
      <c r="K594" s="78"/>
      <c r="L594" s="57"/>
      <c r="M594" s="57"/>
    </row>
    <row r="595" spans="1:13" ht="15" customHeight="1">
      <c r="A595" s="73"/>
      <c r="B595" s="2"/>
      <c r="C595" s="2" t="s">
        <v>4713</v>
      </c>
      <c r="D595" s="2">
        <v>1</v>
      </c>
      <c r="E595" s="4"/>
      <c r="F595" s="4"/>
      <c r="G595" s="4"/>
      <c r="H595" s="55"/>
      <c r="I595" s="56"/>
      <c r="J595" s="56"/>
      <c r="K595" s="78"/>
      <c r="L595" s="57"/>
      <c r="M595" s="57"/>
    </row>
    <row r="596" spans="1:13" ht="15" customHeight="1">
      <c r="A596" s="73" t="s">
        <v>4866</v>
      </c>
      <c r="B596" s="2">
        <v>16654</v>
      </c>
      <c r="C596" s="2" t="s">
        <v>4867</v>
      </c>
      <c r="D596" s="2">
        <v>1</v>
      </c>
      <c r="E596" s="4" t="s">
        <v>4215</v>
      </c>
      <c r="F596" s="4" t="s">
        <v>4220</v>
      </c>
      <c r="G596" s="4" t="s">
        <v>1705</v>
      </c>
      <c r="H596" s="55">
        <v>58173.8984375</v>
      </c>
      <c r="I596" s="56"/>
      <c r="J596" s="56"/>
      <c r="K596" s="78"/>
      <c r="L596" s="57"/>
      <c r="M596" s="57"/>
    </row>
    <row r="597" spans="1:13" ht="15" customHeight="1">
      <c r="A597" s="73"/>
      <c r="B597" s="2"/>
      <c r="C597" s="2" t="s">
        <v>4868</v>
      </c>
      <c r="D597" s="2">
        <v>1</v>
      </c>
      <c r="E597" s="4"/>
      <c r="F597" s="4"/>
      <c r="G597" s="4"/>
      <c r="H597" s="55"/>
      <c r="I597" s="56"/>
      <c r="J597" s="56"/>
      <c r="K597" s="78"/>
      <c r="L597" s="57"/>
      <c r="M597" s="57"/>
    </row>
    <row r="598" spans="1:13" ht="15" customHeight="1">
      <c r="A598" s="73"/>
      <c r="B598" s="2"/>
      <c r="C598" s="2" t="s">
        <v>4869</v>
      </c>
      <c r="D598" s="2">
        <v>25</v>
      </c>
      <c r="E598" s="4"/>
      <c r="F598" s="4"/>
      <c r="G598" s="4"/>
      <c r="H598" s="55"/>
      <c r="I598" s="56"/>
      <c r="J598" s="56"/>
      <c r="K598" s="78"/>
      <c r="L598" s="57"/>
      <c r="M598" s="57"/>
    </row>
    <row r="599" spans="1:13" ht="15" customHeight="1">
      <c r="A599" s="73"/>
      <c r="B599" s="2"/>
      <c r="C599" s="2" t="s">
        <v>4870</v>
      </c>
      <c r="D599" s="2">
        <v>2</v>
      </c>
      <c r="E599" s="4"/>
      <c r="F599" s="4"/>
      <c r="G599" s="4"/>
      <c r="H599" s="55"/>
      <c r="I599" s="56"/>
      <c r="J599" s="56"/>
      <c r="K599" s="78"/>
      <c r="L599" s="57"/>
      <c r="M599" s="57"/>
    </row>
    <row r="600" spans="1:13" ht="15" customHeight="1">
      <c r="A600" s="73"/>
      <c r="B600" s="2"/>
      <c r="C600" s="2" t="s">
        <v>4871</v>
      </c>
      <c r="D600" s="2">
        <v>1</v>
      </c>
      <c r="E600" s="4"/>
      <c r="F600" s="4"/>
      <c r="G600" s="4"/>
      <c r="H600" s="55"/>
      <c r="I600" s="56"/>
      <c r="J600" s="56"/>
      <c r="K600" s="78"/>
      <c r="L600" s="57"/>
      <c r="M600" s="57"/>
    </row>
    <row r="601" spans="1:13" ht="15" customHeight="1">
      <c r="A601" s="73"/>
      <c r="B601" s="2"/>
      <c r="C601" s="2" t="s">
        <v>4872</v>
      </c>
      <c r="D601" s="2">
        <v>2</v>
      </c>
      <c r="E601" s="4"/>
      <c r="F601" s="4"/>
      <c r="G601" s="4"/>
      <c r="H601" s="55"/>
      <c r="I601" s="56"/>
      <c r="J601" s="56"/>
      <c r="K601" s="78"/>
      <c r="L601" s="57"/>
      <c r="M601" s="57"/>
    </row>
    <row r="602" spans="1:13" ht="15" customHeight="1">
      <c r="A602" s="73"/>
      <c r="B602" s="2"/>
      <c r="C602" s="2" t="s">
        <v>4873</v>
      </c>
      <c r="D602" s="2">
        <v>100</v>
      </c>
      <c r="E602" s="4"/>
      <c r="F602" s="4"/>
      <c r="G602" s="4"/>
      <c r="H602" s="55"/>
      <c r="I602" s="56"/>
      <c r="J602" s="56"/>
      <c r="K602" s="78"/>
      <c r="L602" s="57"/>
      <c r="M602" s="57"/>
    </row>
    <row r="603" spans="1:13" ht="15" customHeight="1">
      <c r="A603" s="73"/>
      <c r="B603" s="2"/>
      <c r="C603" s="2" t="s">
        <v>4874</v>
      </c>
      <c r="D603" s="2">
        <v>1</v>
      </c>
      <c r="E603" s="4"/>
      <c r="F603" s="4"/>
      <c r="G603" s="4"/>
      <c r="H603" s="55"/>
      <c r="I603" s="56"/>
      <c r="J603" s="56"/>
      <c r="K603" s="78"/>
      <c r="L603" s="57"/>
      <c r="M603" s="57"/>
    </row>
    <row r="604" spans="1:13" ht="15" customHeight="1">
      <c r="A604" s="73" t="s">
        <v>4876</v>
      </c>
      <c r="B604" s="2">
        <v>16655</v>
      </c>
      <c r="C604" s="2" t="s">
        <v>4875</v>
      </c>
      <c r="D604" s="2">
        <v>1</v>
      </c>
      <c r="E604" s="4" t="s">
        <v>4696</v>
      </c>
      <c r="F604" s="4" t="s">
        <v>4211</v>
      </c>
      <c r="G604" s="4" t="s">
        <v>3661</v>
      </c>
      <c r="H604" s="55">
        <v>0</v>
      </c>
      <c r="I604" s="56"/>
      <c r="J604" s="56"/>
      <c r="K604" s="78"/>
      <c r="L604" s="57"/>
      <c r="M604" s="57"/>
    </row>
    <row r="605" spans="1:13" ht="15" customHeight="1">
      <c r="A605" s="73" t="s">
        <v>4876</v>
      </c>
      <c r="B605" s="2">
        <v>16656</v>
      </c>
      <c r="C605" s="2" t="s">
        <v>4877</v>
      </c>
      <c r="D605" s="2">
        <v>1</v>
      </c>
      <c r="E605" s="4" t="s">
        <v>4246</v>
      </c>
      <c r="F605" s="4" t="s">
        <v>4211</v>
      </c>
      <c r="G605" s="4" t="s">
        <v>4062</v>
      </c>
      <c r="H605" s="55">
        <v>850</v>
      </c>
      <c r="I605" s="56"/>
      <c r="J605" s="56"/>
      <c r="K605" s="78"/>
      <c r="L605" s="57"/>
      <c r="M605" s="57"/>
    </row>
    <row r="606" spans="1:13" ht="15" customHeight="1">
      <c r="A606" s="73"/>
      <c r="B606" s="2"/>
      <c r="C606" s="2" t="s">
        <v>4878</v>
      </c>
      <c r="D606" s="2">
        <v>1</v>
      </c>
      <c r="E606" s="4"/>
      <c r="F606" s="4"/>
      <c r="G606" s="4"/>
      <c r="H606" s="55"/>
      <c r="I606" s="56"/>
      <c r="J606" s="56"/>
      <c r="K606" s="78"/>
      <c r="L606" s="57"/>
      <c r="M606" s="57"/>
    </row>
    <row r="607" spans="1:13" ht="15" customHeight="1">
      <c r="A607" s="73"/>
      <c r="B607" s="2"/>
      <c r="C607" s="2" t="s">
        <v>4879</v>
      </c>
      <c r="D607" s="2">
        <v>1</v>
      </c>
      <c r="E607" s="4"/>
      <c r="F607" s="4"/>
      <c r="G607" s="4"/>
      <c r="H607" s="55"/>
      <c r="I607" s="56"/>
      <c r="J607" s="56"/>
      <c r="K607" s="78"/>
      <c r="L607" s="57"/>
      <c r="M607" s="57"/>
    </row>
    <row r="608" spans="1:13" ht="15" customHeight="1">
      <c r="A608" s="73"/>
      <c r="B608" s="2"/>
      <c r="C608" s="2" t="s">
        <v>4880</v>
      </c>
      <c r="D608" s="2">
        <v>1</v>
      </c>
      <c r="E608" s="4"/>
      <c r="F608" s="4"/>
      <c r="G608" s="4"/>
      <c r="H608" s="55"/>
      <c r="I608" s="56"/>
      <c r="J608" s="56"/>
      <c r="K608" s="78"/>
      <c r="L608" s="57"/>
      <c r="M608" s="57"/>
    </row>
    <row r="609" spans="1:13" ht="15" customHeight="1">
      <c r="A609" s="73" t="s">
        <v>4876</v>
      </c>
      <c r="B609" s="2">
        <v>16657</v>
      </c>
      <c r="C609" s="2" t="s">
        <v>4881</v>
      </c>
      <c r="D609" s="2">
        <v>10</v>
      </c>
      <c r="E609" s="4" t="s">
        <v>4215</v>
      </c>
      <c r="F609" s="4" t="s">
        <v>4212</v>
      </c>
      <c r="G609" s="4" t="s">
        <v>3653</v>
      </c>
      <c r="H609" s="55">
        <v>377793.5</v>
      </c>
      <c r="I609" s="56"/>
      <c r="J609" s="56"/>
      <c r="K609" s="78"/>
      <c r="L609" s="57"/>
      <c r="M609" s="57"/>
    </row>
    <row r="610" spans="1:13" ht="15" customHeight="1">
      <c r="A610" s="73"/>
      <c r="B610" s="2"/>
      <c r="C610" s="2" t="s">
        <v>4882</v>
      </c>
      <c r="D610" s="2">
        <v>5</v>
      </c>
      <c r="E610" s="4"/>
      <c r="F610" s="4"/>
      <c r="G610" s="4"/>
      <c r="H610" s="55"/>
      <c r="I610" s="56"/>
      <c r="J610" s="56"/>
      <c r="K610" s="78"/>
      <c r="L610" s="57"/>
      <c r="M610" s="57"/>
    </row>
    <row r="611" spans="1:13" ht="15" customHeight="1">
      <c r="A611" s="73"/>
      <c r="B611" s="2"/>
      <c r="C611" s="2" t="s">
        <v>4883</v>
      </c>
      <c r="D611" s="2">
        <v>3</v>
      </c>
      <c r="E611" s="4"/>
      <c r="F611" s="4"/>
      <c r="G611" s="4"/>
      <c r="H611" s="55"/>
      <c r="I611" s="56"/>
      <c r="J611" s="56"/>
      <c r="K611" s="78"/>
      <c r="L611" s="57"/>
      <c r="M611" s="57"/>
    </row>
    <row r="612" spans="1:13" ht="15" customHeight="1">
      <c r="A612" s="73"/>
      <c r="B612" s="2"/>
      <c r="C612" s="2" t="s">
        <v>4884</v>
      </c>
      <c r="D612" s="2">
        <v>3</v>
      </c>
      <c r="E612" s="4"/>
      <c r="F612" s="4"/>
      <c r="G612" s="4"/>
      <c r="H612" s="55"/>
      <c r="I612" s="56"/>
      <c r="J612" s="56"/>
      <c r="K612" s="78"/>
      <c r="L612" s="57"/>
      <c r="M612" s="57"/>
    </row>
    <row r="613" spans="1:13" ht="15" customHeight="1">
      <c r="A613" s="73" t="s">
        <v>4876</v>
      </c>
      <c r="B613" s="2">
        <v>16658</v>
      </c>
      <c r="C613" s="2" t="s">
        <v>4888</v>
      </c>
      <c r="D613" s="2">
        <v>12</v>
      </c>
      <c r="E613" s="4" t="s">
        <v>4215</v>
      </c>
      <c r="F613" s="4" t="s">
        <v>4220</v>
      </c>
      <c r="G613" s="4" t="s">
        <v>3482</v>
      </c>
      <c r="H613" s="55">
        <v>4447.2001953125</v>
      </c>
      <c r="I613" s="56"/>
      <c r="J613" s="56"/>
      <c r="K613" s="78"/>
      <c r="L613" s="57"/>
      <c r="M613" s="57"/>
    </row>
    <row r="614" spans="1:13" ht="15" customHeight="1">
      <c r="A614" s="73" t="s">
        <v>4876</v>
      </c>
      <c r="B614" s="2">
        <v>16659</v>
      </c>
      <c r="C614" s="2" t="s">
        <v>4888</v>
      </c>
      <c r="D614" s="2">
        <v>12</v>
      </c>
      <c r="E614" s="4" t="s">
        <v>4215</v>
      </c>
      <c r="F614" s="4" t="s">
        <v>4212</v>
      </c>
      <c r="G614" s="4" t="s">
        <v>4887</v>
      </c>
      <c r="H614" s="55">
        <v>4447.2001953125</v>
      </c>
      <c r="I614" s="56"/>
      <c r="J614" s="56"/>
      <c r="K614" s="78"/>
      <c r="L614" s="57"/>
      <c r="M614" s="57"/>
    </row>
    <row r="615" spans="1:13" ht="15" customHeight="1">
      <c r="A615" s="73" t="s">
        <v>4876</v>
      </c>
      <c r="B615" s="2">
        <v>16660</v>
      </c>
      <c r="C615" s="2" t="s">
        <v>4889</v>
      </c>
      <c r="D615" s="2">
        <v>9</v>
      </c>
      <c r="E615" s="4" t="s">
        <v>4215</v>
      </c>
      <c r="F615" s="4" t="s">
        <v>4220</v>
      </c>
      <c r="G615" s="4" t="s">
        <v>4887</v>
      </c>
      <c r="H615" s="55">
        <v>82.349998474121094</v>
      </c>
      <c r="I615" s="56"/>
      <c r="J615" s="56"/>
      <c r="K615" s="78"/>
      <c r="L615" s="57"/>
      <c r="M615" s="57"/>
    </row>
    <row r="616" spans="1:13" ht="15" customHeight="1">
      <c r="A616" s="73" t="s">
        <v>4890</v>
      </c>
      <c r="B616" s="2">
        <v>16661</v>
      </c>
      <c r="C616" s="2" t="s">
        <v>4206</v>
      </c>
      <c r="D616" s="2">
        <v>400</v>
      </c>
      <c r="E616" s="4" t="s">
        <v>4712</v>
      </c>
      <c r="F616" s="4" t="s">
        <v>4217</v>
      </c>
      <c r="G616" s="4" t="s">
        <v>1338</v>
      </c>
      <c r="H616" s="55">
        <v>1560000</v>
      </c>
      <c r="I616" s="56"/>
      <c r="J616" s="56"/>
      <c r="K616" s="78"/>
      <c r="L616" s="57"/>
      <c r="M616" s="57"/>
    </row>
    <row r="617" spans="1:13" ht="15" customHeight="1">
      <c r="A617" s="73" t="s">
        <v>4890</v>
      </c>
      <c r="B617" s="2">
        <v>16662</v>
      </c>
      <c r="C617" s="2" t="s">
        <v>4891</v>
      </c>
      <c r="D617" s="2">
        <v>5</v>
      </c>
      <c r="E617" s="4" t="s">
        <v>4246</v>
      </c>
      <c r="F617" s="4" t="s">
        <v>4211</v>
      </c>
      <c r="G617" s="4" t="s">
        <v>1753</v>
      </c>
      <c r="H617" s="55">
        <v>311.989990234375</v>
      </c>
      <c r="I617" s="56"/>
      <c r="J617" s="56"/>
      <c r="K617" s="78"/>
      <c r="L617" s="57"/>
      <c r="M617" s="57"/>
    </row>
    <row r="618" spans="1:13" ht="15" customHeight="1">
      <c r="A618" s="73"/>
      <c r="B618" s="2"/>
      <c r="C618" s="2" t="s">
        <v>4713</v>
      </c>
      <c r="D618" s="2">
        <v>1</v>
      </c>
      <c r="E618" s="4"/>
      <c r="F618" s="4"/>
      <c r="G618" s="4"/>
      <c r="H618" s="55"/>
      <c r="I618" s="56"/>
      <c r="J618" s="56"/>
      <c r="K618" s="78"/>
      <c r="L618" s="57"/>
      <c r="M618" s="57"/>
    </row>
    <row r="619" spans="1:13" ht="15" customHeight="1">
      <c r="A619" s="73"/>
      <c r="B619" s="2"/>
      <c r="C619" s="2" t="s">
        <v>4892</v>
      </c>
      <c r="D619" s="2">
        <v>1</v>
      </c>
      <c r="E619" s="4"/>
      <c r="F619" s="4"/>
      <c r="G619" s="4"/>
      <c r="H619" s="55"/>
      <c r="I619" s="56"/>
      <c r="J619" s="56"/>
      <c r="K619" s="78"/>
      <c r="L619" s="57"/>
      <c r="M619" s="57"/>
    </row>
    <row r="620" spans="1:13" ht="15" customHeight="1">
      <c r="A620" s="73" t="s">
        <v>4893</v>
      </c>
      <c r="B620" s="2">
        <v>16663</v>
      </c>
      <c r="C620" s="2" t="s">
        <v>4206</v>
      </c>
      <c r="D620" s="2">
        <v>400</v>
      </c>
      <c r="E620" s="4" t="s">
        <v>4218</v>
      </c>
      <c r="F620" s="4" t="s">
        <v>4217</v>
      </c>
      <c r="G620" s="4" t="s">
        <v>1338</v>
      </c>
      <c r="H620" s="61">
        <v>1566400</v>
      </c>
      <c r="I620" s="62"/>
      <c r="J620" s="62"/>
      <c r="K620" s="78"/>
      <c r="L620" s="57"/>
      <c r="M620" s="57"/>
    </row>
    <row r="621" spans="1:13" ht="15" customHeight="1">
      <c r="A621" s="73" t="s">
        <v>4894</v>
      </c>
      <c r="B621" s="2">
        <v>16664</v>
      </c>
      <c r="C621" s="2" t="s">
        <v>4425</v>
      </c>
      <c r="D621" s="2">
        <v>160</v>
      </c>
      <c r="E621" s="4" t="s">
        <v>4218</v>
      </c>
      <c r="F621" s="4" t="s">
        <v>4217</v>
      </c>
      <c r="G621" s="4" t="s">
        <v>1338</v>
      </c>
      <c r="H621" s="61">
        <v>672000</v>
      </c>
      <c r="I621" s="62"/>
      <c r="J621" s="62"/>
      <c r="K621" s="78"/>
      <c r="L621" s="57"/>
      <c r="M621" s="57"/>
    </row>
    <row r="622" spans="1:13" ht="15" customHeight="1">
      <c r="A622" s="73" t="s">
        <v>4894</v>
      </c>
      <c r="B622" s="2">
        <v>16665</v>
      </c>
      <c r="C622" s="2" t="s">
        <v>4895</v>
      </c>
      <c r="D622" s="2">
        <v>1</v>
      </c>
      <c r="E622" s="4" t="s">
        <v>4218</v>
      </c>
      <c r="F622" s="4" t="s">
        <v>4220</v>
      </c>
      <c r="G622" s="4" t="s">
        <v>3661</v>
      </c>
      <c r="H622" s="61">
        <v>2861.169921875</v>
      </c>
      <c r="I622" s="62"/>
      <c r="J622" s="62"/>
      <c r="K622" s="78"/>
      <c r="L622" s="57"/>
      <c r="M622" s="57"/>
    </row>
    <row r="623" spans="1:13" ht="15" customHeight="1">
      <c r="A623" s="73" t="s">
        <v>4897</v>
      </c>
      <c r="B623" s="2">
        <v>16666</v>
      </c>
      <c r="C623" s="2" t="s">
        <v>4896</v>
      </c>
      <c r="D623" s="2">
        <v>3</v>
      </c>
      <c r="E623" s="4" t="s">
        <v>4215</v>
      </c>
      <c r="F623" s="4" t="s">
        <v>4220</v>
      </c>
      <c r="G623" s="4" t="s">
        <v>4262</v>
      </c>
      <c r="H623" s="55">
        <v>12892.5595703125</v>
      </c>
      <c r="I623" s="56"/>
      <c r="J623" s="56"/>
      <c r="K623" s="78"/>
      <c r="L623" s="57"/>
      <c r="M623" s="57"/>
    </row>
    <row r="624" spans="1:13" ht="15" customHeight="1">
      <c r="A624" s="73" t="s">
        <v>4897</v>
      </c>
      <c r="B624" s="2">
        <v>16667</v>
      </c>
      <c r="C624" s="2" t="s">
        <v>4898</v>
      </c>
      <c r="D624" s="2">
        <v>5</v>
      </c>
      <c r="E624" s="4" t="s">
        <v>4215</v>
      </c>
      <c r="F624" s="4" t="s">
        <v>4212</v>
      </c>
      <c r="G624" s="4" t="s">
        <v>1705</v>
      </c>
      <c r="H624" s="55">
        <v>33074.8984375</v>
      </c>
      <c r="I624" s="56"/>
      <c r="J624" s="56"/>
      <c r="K624" s="78"/>
      <c r="L624" s="57"/>
      <c r="M624" s="57"/>
    </row>
    <row r="625" spans="1:13" ht="15" customHeight="1">
      <c r="A625" s="73"/>
      <c r="B625" s="2"/>
      <c r="C625" s="2" t="s">
        <v>4899</v>
      </c>
      <c r="D625" s="2">
        <v>10</v>
      </c>
      <c r="E625" s="4"/>
      <c r="F625" s="4"/>
      <c r="G625" s="4"/>
      <c r="H625" s="55"/>
      <c r="I625" s="56"/>
      <c r="J625" s="56"/>
      <c r="K625" s="78"/>
      <c r="L625" s="57"/>
      <c r="M625" s="57"/>
    </row>
    <row r="626" spans="1:13" ht="15" customHeight="1">
      <c r="A626" s="73"/>
      <c r="B626" s="2"/>
      <c r="C626" s="2" t="s">
        <v>4900</v>
      </c>
      <c r="D626" s="2">
        <v>1</v>
      </c>
      <c r="E626" s="4"/>
      <c r="F626" s="4"/>
      <c r="G626" s="4"/>
      <c r="H626" s="55"/>
      <c r="I626" s="56"/>
      <c r="J626" s="56"/>
      <c r="K626" s="78"/>
      <c r="L626" s="57"/>
      <c r="M626" s="57"/>
    </row>
    <row r="627" spans="1:13" ht="15" customHeight="1">
      <c r="A627" s="73"/>
      <c r="B627" s="2"/>
      <c r="C627" s="2" t="s">
        <v>4901</v>
      </c>
      <c r="D627" s="2">
        <v>3</v>
      </c>
      <c r="E627" s="4"/>
      <c r="F627" s="4"/>
      <c r="G627" s="4"/>
      <c r="H627" s="55"/>
      <c r="I627" s="56"/>
      <c r="J627" s="56"/>
      <c r="K627" s="78"/>
      <c r="L627" s="57"/>
      <c r="M627" s="57"/>
    </row>
    <row r="628" spans="1:13" ht="15" customHeight="1">
      <c r="A628" s="73"/>
      <c r="B628" s="2"/>
      <c r="C628" s="2" t="s">
        <v>4902</v>
      </c>
      <c r="D628" s="2">
        <v>2</v>
      </c>
      <c r="E628" s="4"/>
      <c r="F628" s="4"/>
      <c r="G628" s="4"/>
      <c r="H628" s="55"/>
      <c r="I628" s="56"/>
      <c r="J628" s="56"/>
      <c r="K628" s="78"/>
      <c r="L628" s="57"/>
      <c r="M628" s="57"/>
    </row>
    <row r="629" spans="1:13" ht="15" customHeight="1">
      <c r="A629" s="73"/>
      <c r="B629" s="2"/>
      <c r="C629" s="2" t="s">
        <v>4903</v>
      </c>
      <c r="D629" s="2">
        <v>1</v>
      </c>
      <c r="E629" s="4"/>
      <c r="F629" s="4"/>
      <c r="G629" s="4"/>
      <c r="H629" s="55"/>
      <c r="I629" s="56"/>
      <c r="J629" s="56"/>
      <c r="K629" s="78"/>
      <c r="L629" s="57"/>
      <c r="M629" s="57"/>
    </row>
    <row r="630" spans="1:13" ht="15" customHeight="1">
      <c r="A630" s="73"/>
      <c r="B630" s="2"/>
      <c r="C630" s="2" t="s">
        <v>4904</v>
      </c>
      <c r="D630" s="2">
        <v>1</v>
      </c>
      <c r="E630" s="4"/>
      <c r="F630" s="4"/>
      <c r="G630" s="4"/>
      <c r="H630" s="55"/>
      <c r="I630" s="56"/>
      <c r="J630" s="56"/>
      <c r="K630" s="78"/>
      <c r="L630" s="57"/>
      <c r="M630" s="57"/>
    </row>
    <row r="631" spans="1:13" ht="15" customHeight="1">
      <c r="A631" s="73"/>
      <c r="B631" s="2"/>
      <c r="C631" s="2" t="s">
        <v>4869</v>
      </c>
      <c r="D631" s="2">
        <v>25</v>
      </c>
      <c r="E631" s="4"/>
      <c r="F631" s="4"/>
      <c r="G631" s="4"/>
      <c r="H631" s="55"/>
      <c r="I631" s="56"/>
      <c r="J631" s="56"/>
      <c r="K631" s="78"/>
      <c r="L631" s="57"/>
      <c r="M631" s="57"/>
    </row>
    <row r="632" spans="1:13" ht="15" customHeight="1">
      <c r="A632" s="73" t="s">
        <v>4897</v>
      </c>
      <c r="B632" s="2">
        <v>16668</v>
      </c>
      <c r="C632" s="2" t="s">
        <v>4905</v>
      </c>
      <c r="D632" s="2">
        <v>5</v>
      </c>
      <c r="E632" s="4" t="s">
        <v>4215</v>
      </c>
      <c r="F632" s="4" t="s">
        <v>4220</v>
      </c>
      <c r="G632" s="4" t="s">
        <v>1705</v>
      </c>
      <c r="H632" s="55">
        <v>5280</v>
      </c>
      <c r="I632" s="56"/>
      <c r="J632" s="56"/>
      <c r="K632" s="78"/>
      <c r="L632" s="57"/>
      <c r="M632" s="57"/>
    </row>
    <row r="633" spans="1:13" ht="15" customHeight="1">
      <c r="A633" s="73" t="s">
        <v>4897</v>
      </c>
      <c r="B633" s="2">
        <v>16669</v>
      </c>
      <c r="C633" s="2" t="s">
        <v>4906</v>
      </c>
      <c r="D633" s="2">
        <v>1</v>
      </c>
      <c r="E633" s="4" t="s">
        <v>4215</v>
      </c>
      <c r="F633" s="4" t="s">
        <v>4220</v>
      </c>
      <c r="G633" s="4" t="s">
        <v>3265</v>
      </c>
      <c r="H633" s="55">
        <v>15255.66015625</v>
      </c>
      <c r="I633" s="56"/>
      <c r="J633" s="56"/>
      <c r="K633" s="78"/>
      <c r="L633" s="57"/>
      <c r="M633" s="57"/>
    </row>
    <row r="634" spans="1:13" ht="15" customHeight="1">
      <c r="A634" s="73"/>
      <c r="B634" s="2"/>
      <c r="C634" s="2" t="s">
        <v>4907</v>
      </c>
      <c r="D634" s="2">
        <v>1</v>
      </c>
      <c r="E634" s="4"/>
      <c r="F634" s="4"/>
      <c r="G634" s="4"/>
      <c r="H634" s="55"/>
      <c r="I634" s="56"/>
      <c r="J634" s="56"/>
      <c r="K634" s="78"/>
      <c r="L634" s="57"/>
      <c r="M634" s="57"/>
    </row>
    <row r="635" spans="1:13" ht="15" customHeight="1">
      <c r="A635" s="73"/>
      <c r="B635" s="2"/>
      <c r="C635" s="2" t="s">
        <v>4908</v>
      </c>
      <c r="D635" s="2">
        <v>2</v>
      </c>
      <c r="E635" s="4"/>
      <c r="F635" s="4"/>
      <c r="G635" s="4"/>
      <c r="H635" s="55"/>
      <c r="I635" s="56"/>
      <c r="J635" s="56"/>
      <c r="K635" s="78"/>
      <c r="L635" s="57"/>
      <c r="M635" s="57"/>
    </row>
    <row r="636" spans="1:13" ht="15" customHeight="1">
      <c r="A636" s="73"/>
      <c r="B636" s="2"/>
      <c r="C636" s="2" t="s">
        <v>4909</v>
      </c>
      <c r="D636" s="2">
        <v>2</v>
      </c>
      <c r="E636" s="4"/>
      <c r="F636" s="4"/>
      <c r="G636" s="4"/>
      <c r="H636" s="55"/>
      <c r="I636" s="56"/>
      <c r="J636" s="56"/>
      <c r="K636" s="78"/>
      <c r="L636" s="57"/>
      <c r="M636" s="57"/>
    </row>
    <row r="637" spans="1:13" ht="15" customHeight="1">
      <c r="A637" s="73"/>
      <c r="B637" s="2"/>
      <c r="C637" s="2" t="s">
        <v>4910</v>
      </c>
      <c r="D637" s="2">
        <v>1</v>
      </c>
      <c r="E637" s="4"/>
      <c r="F637" s="4"/>
      <c r="G637" s="4"/>
      <c r="H637" s="55"/>
      <c r="I637" s="56"/>
      <c r="J637" s="56"/>
      <c r="K637" s="78"/>
      <c r="L637" s="57"/>
      <c r="M637" s="57"/>
    </row>
    <row r="638" spans="1:13" ht="15" customHeight="1">
      <c r="A638" s="73"/>
      <c r="B638" s="2"/>
      <c r="C638" s="2" t="s">
        <v>4911</v>
      </c>
      <c r="D638" s="2">
        <v>3</v>
      </c>
      <c r="E638" s="4"/>
      <c r="F638" s="4"/>
      <c r="G638" s="4"/>
      <c r="H638" s="55"/>
      <c r="I638" s="56"/>
      <c r="J638" s="56"/>
      <c r="K638" s="78"/>
      <c r="L638" s="57"/>
      <c r="M638" s="57"/>
    </row>
    <row r="639" spans="1:13" ht="15" customHeight="1">
      <c r="A639" s="73">
        <v>44963</v>
      </c>
      <c r="B639" s="2">
        <v>16670</v>
      </c>
      <c r="C639" s="2" t="s">
        <v>4912</v>
      </c>
      <c r="D639" s="2">
        <v>15</v>
      </c>
      <c r="E639" s="4" t="s">
        <v>4914</v>
      </c>
      <c r="F639" s="4" t="s">
        <v>4211</v>
      </c>
      <c r="G639" s="4" t="s">
        <v>3692</v>
      </c>
      <c r="H639" s="55">
        <v>0</v>
      </c>
      <c r="I639" s="56"/>
      <c r="J639" s="56"/>
      <c r="K639" s="78"/>
      <c r="L639" s="57"/>
      <c r="M639" s="57"/>
    </row>
    <row r="640" spans="1:13" ht="15" customHeight="1">
      <c r="A640" s="73"/>
      <c r="B640" s="2"/>
      <c r="C640" s="2" t="s">
        <v>4913</v>
      </c>
      <c r="D640" s="2">
        <v>26</v>
      </c>
      <c r="E640" s="4"/>
      <c r="F640" s="4"/>
      <c r="G640" s="4"/>
      <c r="H640" s="55"/>
      <c r="I640" s="56"/>
      <c r="J640" s="56"/>
      <c r="K640" s="78"/>
      <c r="L640" s="57"/>
      <c r="M640" s="57"/>
    </row>
    <row r="641" spans="1:13" ht="15" customHeight="1">
      <c r="A641" s="73">
        <v>45083</v>
      </c>
      <c r="B641" s="2">
        <v>16671</v>
      </c>
      <c r="C641" s="2" t="s">
        <v>4909</v>
      </c>
      <c r="D641" s="2">
        <v>2</v>
      </c>
      <c r="E641" s="4" t="s">
        <v>4215</v>
      </c>
      <c r="F641" s="4" t="s">
        <v>4220</v>
      </c>
      <c r="G641" s="4" t="s">
        <v>3265</v>
      </c>
      <c r="H641" s="55">
        <v>0</v>
      </c>
      <c r="I641" s="56"/>
      <c r="J641" s="56"/>
      <c r="K641" s="78"/>
      <c r="L641" s="57"/>
      <c r="M641" s="57"/>
    </row>
    <row r="642" spans="1:13" ht="15" customHeight="1">
      <c r="A642" s="73"/>
      <c r="B642" s="2"/>
      <c r="C642" s="2" t="s">
        <v>4915</v>
      </c>
      <c r="D642" s="2">
        <v>1</v>
      </c>
      <c r="E642" s="4"/>
      <c r="F642" s="4"/>
      <c r="G642" s="4"/>
      <c r="H642" s="55"/>
      <c r="I642" s="56"/>
      <c r="J642" s="56"/>
      <c r="K642" s="78"/>
      <c r="L642" s="57"/>
      <c r="M642" s="57"/>
    </row>
    <row r="643" spans="1:13" ht="15" customHeight="1">
      <c r="A643" s="73"/>
      <c r="B643" s="2"/>
      <c r="C643" s="2" t="s">
        <v>4916</v>
      </c>
      <c r="D643" s="2">
        <v>1</v>
      </c>
      <c r="E643" s="4"/>
      <c r="F643" s="4"/>
      <c r="G643" s="4"/>
      <c r="H643" s="55"/>
      <c r="I643" s="56"/>
      <c r="J643" s="56"/>
      <c r="K643" s="78"/>
      <c r="L643" s="57"/>
      <c r="M643" s="57"/>
    </row>
    <row r="644" spans="1:13" ht="15" customHeight="1">
      <c r="A644" s="73"/>
      <c r="B644" s="2"/>
      <c r="C644" s="2" t="s">
        <v>4917</v>
      </c>
      <c r="D644" s="2">
        <v>1</v>
      </c>
      <c r="E644" s="4"/>
      <c r="F644" s="4"/>
      <c r="G644" s="4"/>
      <c r="H644" s="55"/>
      <c r="I644" s="56"/>
      <c r="J644" s="56"/>
      <c r="K644" s="78"/>
      <c r="L644" s="57"/>
      <c r="M644" s="57"/>
    </row>
    <row r="645" spans="1:13" ht="15" customHeight="1">
      <c r="A645" s="73"/>
      <c r="B645" s="2"/>
      <c r="C645" s="2" t="s">
        <v>4918</v>
      </c>
      <c r="D645" s="2">
        <v>1</v>
      </c>
      <c r="E645" s="4"/>
      <c r="F645" s="4"/>
      <c r="G645" s="4"/>
      <c r="H645" s="55"/>
      <c r="I645" s="56"/>
      <c r="J645" s="56"/>
      <c r="K645" s="78"/>
      <c r="L645" s="57"/>
      <c r="M645" s="57"/>
    </row>
    <row r="646" spans="1:13" ht="15" customHeight="1">
      <c r="A646" s="73"/>
      <c r="B646" s="2"/>
      <c r="C646" s="2" t="s">
        <v>4919</v>
      </c>
      <c r="D646" s="2">
        <v>1</v>
      </c>
      <c r="E646" s="4"/>
      <c r="F646" s="4"/>
      <c r="G646" s="4"/>
      <c r="H646" s="55"/>
      <c r="I646" s="56"/>
      <c r="J646" s="56"/>
      <c r="K646" s="78"/>
      <c r="L646" s="57"/>
      <c r="M646" s="57"/>
    </row>
    <row r="647" spans="1:13" ht="15" customHeight="1">
      <c r="A647" s="73">
        <v>45083</v>
      </c>
      <c r="B647" s="2">
        <v>16672</v>
      </c>
      <c r="C647" s="2" t="s">
        <v>4920</v>
      </c>
      <c r="D647" s="2">
        <v>2</v>
      </c>
      <c r="E647" s="4" t="s">
        <v>4643</v>
      </c>
      <c r="F647" s="4" t="s">
        <v>4259</v>
      </c>
      <c r="G647" s="4" t="s">
        <v>1767</v>
      </c>
      <c r="H647" s="55">
        <v>179929.5625</v>
      </c>
      <c r="I647" s="56"/>
      <c r="J647" s="56"/>
      <c r="K647" s="78"/>
      <c r="L647" s="57"/>
      <c r="M647" s="57"/>
    </row>
    <row r="648" spans="1:13" ht="15" customHeight="1">
      <c r="A648" s="73">
        <v>45113</v>
      </c>
      <c r="B648" s="2">
        <v>16673</v>
      </c>
      <c r="C648" s="2" t="s">
        <v>4921</v>
      </c>
      <c r="D648" s="2">
        <v>12</v>
      </c>
      <c r="E648" s="4" t="s">
        <v>4412</v>
      </c>
      <c r="F648" s="4" t="s">
        <v>4268</v>
      </c>
      <c r="G648" s="4" t="s">
        <v>3661</v>
      </c>
      <c r="H648" s="55">
        <v>0</v>
      </c>
      <c r="I648" s="56"/>
      <c r="J648" s="56"/>
      <c r="K648" s="78"/>
      <c r="L648" s="57"/>
      <c r="M648" s="57"/>
    </row>
    <row r="649" spans="1:13" ht="15" customHeight="1">
      <c r="A649" s="73"/>
      <c r="B649" s="2"/>
      <c r="C649" s="2" t="s">
        <v>4922</v>
      </c>
      <c r="D649" s="2">
        <v>12</v>
      </c>
      <c r="E649" s="4"/>
      <c r="F649" s="4"/>
      <c r="G649" s="4"/>
      <c r="H649" s="55"/>
      <c r="I649" s="56"/>
      <c r="J649" s="56"/>
      <c r="K649" s="78"/>
      <c r="L649" s="57"/>
      <c r="M649" s="57"/>
    </row>
    <row r="650" spans="1:13" ht="15" customHeight="1">
      <c r="A650" s="73">
        <v>45144</v>
      </c>
      <c r="B650" s="2">
        <v>16674</v>
      </c>
      <c r="C650" s="2" t="s">
        <v>4928</v>
      </c>
      <c r="D650" s="2">
        <v>7</v>
      </c>
      <c r="E650" s="4" t="s">
        <v>4218</v>
      </c>
      <c r="F650" s="4" t="s">
        <v>4220</v>
      </c>
      <c r="G650" s="4" t="s">
        <v>3661</v>
      </c>
      <c r="H650" s="61">
        <v>1594.85595703125</v>
      </c>
      <c r="I650" s="62"/>
      <c r="J650" s="62"/>
      <c r="K650" s="78"/>
      <c r="L650" s="57"/>
      <c r="M650" s="57"/>
    </row>
    <row r="651" spans="1:13" ht="15" customHeight="1">
      <c r="A651" s="73"/>
      <c r="B651" s="2"/>
      <c r="C651" s="2" t="s">
        <v>4923</v>
      </c>
      <c r="D651" s="2">
        <v>6</v>
      </c>
      <c r="E651" s="4"/>
      <c r="F651" s="4"/>
      <c r="G651" s="4"/>
      <c r="H651" s="55"/>
      <c r="I651" s="56"/>
      <c r="J651" s="56"/>
      <c r="K651" s="78"/>
      <c r="L651" s="57"/>
      <c r="M651" s="57"/>
    </row>
    <row r="652" spans="1:13" ht="15" customHeight="1">
      <c r="A652" s="73"/>
      <c r="B652" s="2"/>
      <c r="C652" s="2" t="s">
        <v>4924</v>
      </c>
      <c r="D652" s="2">
        <v>100</v>
      </c>
      <c r="E652" s="4"/>
      <c r="F652" s="4"/>
      <c r="G652" s="4"/>
      <c r="H652" s="55"/>
      <c r="I652" s="56"/>
      <c r="J652" s="56"/>
      <c r="K652" s="78"/>
      <c r="L652" s="57"/>
      <c r="M652" s="57"/>
    </row>
    <row r="653" spans="1:13" ht="15" customHeight="1">
      <c r="A653" s="73"/>
      <c r="B653" s="2"/>
      <c r="C653" s="2" t="s">
        <v>4925</v>
      </c>
      <c r="D653" s="2">
        <v>50</v>
      </c>
      <c r="E653" s="4"/>
      <c r="F653" s="4"/>
      <c r="G653" s="4"/>
      <c r="H653" s="55"/>
      <c r="I653" s="56"/>
      <c r="J653" s="56"/>
      <c r="K653" s="78"/>
      <c r="L653" s="57"/>
      <c r="M653" s="57"/>
    </row>
    <row r="654" spans="1:13" ht="15" customHeight="1">
      <c r="A654" s="73"/>
      <c r="B654" s="2"/>
      <c r="C654" s="2" t="s">
        <v>4926</v>
      </c>
      <c r="D654" s="2">
        <v>2</v>
      </c>
      <c r="E654" s="4"/>
      <c r="F654" s="4"/>
      <c r="G654" s="4"/>
      <c r="H654" s="55"/>
      <c r="I654" s="56"/>
      <c r="J654" s="56"/>
      <c r="K654" s="78"/>
      <c r="L654" s="57"/>
      <c r="M654" s="57"/>
    </row>
    <row r="655" spans="1:13" ht="15" customHeight="1">
      <c r="A655" s="73"/>
      <c r="B655" s="2"/>
      <c r="C655" s="2" t="s">
        <v>4927</v>
      </c>
      <c r="D655" s="2">
        <v>1</v>
      </c>
      <c r="E655" s="4"/>
      <c r="F655" s="4"/>
      <c r="G655" s="4"/>
      <c r="H655" s="55"/>
      <c r="I655" s="56"/>
      <c r="J655" s="56"/>
      <c r="K655" s="78"/>
      <c r="L655" s="57"/>
      <c r="M655" s="57"/>
    </row>
    <row r="656" spans="1:13" ht="15" customHeight="1">
      <c r="A656" s="73"/>
      <c r="B656" s="2"/>
      <c r="C656" s="2" t="s">
        <v>4929</v>
      </c>
      <c r="D656" s="2">
        <v>2</v>
      </c>
      <c r="E656" s="4"/>
      <c r="F656" s="4"/>
      <c r="G656" s="4"/>
      <c r="H656" s="55"/>
      <c r="I656" s="56"/>
      <c r="J656" s="56"/>
      <c r="K656" s="78"/>
      <c r="L656" s="57"/>
      <c r="M656" s="57"/>
    </row>
    <row r="657" spans="1:13" ht="15" customHeight="1">
      <c r="A657" s="73"/>
      <c r="B657" s="2"/>
      <c r="C657" s="2" t="s">
        <v>4930</v>
      </c>
      <c r="D657" s="2">
        <v>2</v>
      </c>
      <c r="E657" s="4"/>
      <c r="F657" s="4"/>
      <c r="G657" s="4"/>
      <c r="H657" s="55"/>
      <c r="I657" s="56"/>
      <c r="J657" s="56"/>
      <c r="K657" s="78"/>
      <c r="L657" s="57"/>
      <c r="M657" s="57"/>
    </row>
    <row r="658" spans="1:13" ht="15" customHeight="1">
      <c r="A658" s="73"/>
      <c r="B658" s="2"/>
      <c r="C658" s="2" t="s">
        <v>4931</v>
      </c>
      <c r="D658" s="2">
        <v>2</v>
      </c>
      <c r="E658" s="4"/>
      <c r="F658" s="4"/>
      <c r="G658" s="4"/>
      <c r="H658" s="55"/>
      <c r="I658" s="56"/>
      <c r="J658" s="56"/>
      <c r="K658" s="78"/>
      <c r="L658" s="57"/>
      <c r="M658" s="57"/>
    </row>
    <row r="659" spans="1:13" ht="15" customHeight="1">
      <c r="A659" s="73"/>
      <c r="B659" s="2"/>
      <c r="C659" s="2" t="s">
        <v>4932</v>
      </c>
      <c r="D659" s="2">
        <v>2</v>
      </c>
      <c r="E659" s="4"/>
      <c r="F659" s="4"/>
      <c r="G659" s="4"/>
      <c r="H659" s="55"/>
      <c r="I659" s="56"/>
      <c r="J659" s="56"/>
      <c r="K659" s="78"/>
      <c r="L659" s="57"/>
      <c r="M659" s="57"/>
    </row>
    <row r="660" spans="1:13" ht="15" customHeight="1">
      <c r="A660" s="73"/>
      <c r="B660" s="2"/>
      <c r="C660" s="2" t="s">
        <v>4933</v>
      </c>
      <c r="D660" s="2">
        <v>6</v>
      </c>
      <c r="E660" s="4"/>
      <c r="F660" s="4"/>
      <c r="G660" s="4"/>
      <c r="H660" s="55"/>
      <c r="I660" s="56"/>
      <c r="J660" s="56"/>
      <c r="K660" s="78"/>
      <c r="L660" s="57"/>
      <c r="M660" s="57"/>
    </row>
    <row r="661" spans="1:13" ht="15" customHeight="1">
      <c r="A661" s="73"/>
      <c r="B661" s="2"/>
      <c r="C661" s="2" t="s">
        <v>4934</v>
      </c>
      <c r="D661" s="2">
        <v>4</v>
      </c>
      <c r="E661" s="4"/>
      <c r="F661" s="4"/>
      <c r="G661" s="4"/>
      <c r="H661" s="55"/>
      <c r="I661" s="56"/>
      <c r="J661" s="56"/>
      <c r="K661" s="78"/>
      <c r="L661" s="57"/>
      <c r="M661" s="57"/>
    </row>
    <row r="662" spans="1:13" ht="15" customHeight="1">
      <c r="A662" s="73"/>
      <c r="B662" s="2"/>
      <c r="C662" s="2" t="s">
        <v>4935</v>
      </c>
      <c r="D662" s="2">
        <v>1</v>
      </c>
      <c r="E662" s="4"/>
      <c r="F662" s="4"/>
      <c r="G662" s="4"/>
      <c r="H662" s="55"/>
      <c r="I662" s="56"/>
      <c r="J662" s="56"/>
      <c r="K662" s="78"/>
      <c r="L662" s="57"/>
      <c r="M662" s="57"/>
    </row>
    <row r="663" spans="1:13" ht="15" customHeight="1">
      <c r="A663" s="73">
        <v>45175</v>
      </c>
      <c r="B663" s="2">
        <v>16675</v>
      </c>
      <c r="C663" s="2" t="s">
        <v>4940</v>
      </c>
      <c r="D663" s="2">
        <v>1</v>
      </c>
      <c r="E663" s="4" t="s">
        <v>4792</v>
      </c>
      <c r="F663" s="4" t="s">
        <v>4211</v>
      </c>
      <c r="G663" s="4" t="s">
        <v>4936</v>
      </c>
      <c r="H663" s="55">
        <v>68600</v>
      </c>
      <c r="I663" s="56"/>
      <c r="J663" s="56"/>
      <c r="K663" s="78"/>
      <c r="L663" s="57"/>
      <c r="M663" s="57"/>
    </row>
    <row r="664" spans="1:13" ht="15" customHeight="1">
      <c r="A664" s="73">
        <v>45266</v>
      </c>
      <c r="B664" s="2">
        <v>16676</v>
      </c>
      <c r="C664" s="2" t="s">
        <v>4206</v>
      </c>
      <c r="D664" s="2">
        <v>300</v>
      </c>
      <c r="E664" s="4" t="s">
        <v>4218</v>
      </c>
      <c r="F664" s="4" t="s">
        <v>4217</v>
      </c>
      <c r="G664" s="4" t="s">
        <v>1338</v>
      </c>
      <c r="H664" s="61">
        <v>2541000</v>
      </c>
      <c r="I664" s="62"/>
      <c r="J664" s="62"/>
      <c r="K664" s="78"/>
      <c r="L664" s="57"/>
      <c r="M664" s="57"/>
    </row>
    <row r="665" spans="1:13" ht="15" customHeight="1">
      <c r="A665" s="73"/>
      <c r="B665" s="2"/>
      <c r="C665" s="2" t="s">
        <v>4425</v>
      </c>
      <c r="D665" s="2">
        <v>300</v>
      </c>
      <c r="E665" s="4"/>
      <c r="F665" s="4"/>
      <c r="G665" s="4"/>
      <c r="H665" s="55"/>
      <c r="I665" s="56"/>
      <c r="J665" s="56"/>
      <c r="K665" s="78"/>
      <c r="L665" s="57"/>
      <c r="M665" s="57"/>
    </row>
    <row r="666" spans="1:13" ht="15" customHeight="1">
      <c r="A666" s="73" t="s">
        <v>4944</v>
      </c>
      <c r="B666" s="2">
        <v>16677</v>
      </c>
      <c r="C666" s="2" t="s">
        <v>4941</v>
      </c>
      <c r="D666" s="2">
        <v>14</v>
      </c>
      <c r="E666" s="4" t="s">
        <v>4215</v>
      </c>
      <c r="F666" s="4" t="s">
        <v>4220</v>
      </c>
      <c r="G666" s="4" t="s">
        <v>3663</v>
      </c>
      <c r="H666" s="55">
        <v>79953.65625</v>
      </c>
      <c r="I666" s="56"/>
      <c r="J666" s="56"/>
      <c r="K666" s="78"/>
      <c r="L666" s="57"/>
      <c r="M666" s="57"/>
    </row>
    <row r="667" spans="1:13" ht="15" customHeight="1">
      <c r="A667" s="73" t="s">
        <v>4944</v>
      </c>
      <c r="B667" s="2">
        <v>16678</v>
      </c>
      <c r="C667" s="2" t="s">
        <v>4888</v>
      </c>
      <c r="D667" s="2">
        <v>12</v>
      </c>
      <c r="E667" s="4" t="s">
        <v>4215</v>
      </c>
      <c r="F667" s="4" t="s">
        <v>4220</v>
      </c>
      <c r="G667" s="4" t="s">
        <v>4887</v>
      </c>
      <c r="H667" s="55">
        <v>4447.2001953125</v>
      </c>
      <c r="I667" s="56"/>
      <c r="J667" s="56"/>
      <c r="K667" s="78"/>
      <c r="L667" s="57"/>
      <c r="M667" s="57"/>
    </row>
    <row r="668" spans="1:13" ht="15" customHeight="1">
      <c r="A668" s="73"/>
      <c r="B668" s="2"/>
      <c r="C668" s="2" t="s">
        <v>4942</v>
      </c>
      <c r="D668" s="2">
        <v>1</v>
      </c>
      <c r="E668" s="4"/>
      <c r="F668" s="4"/>
      <c r="G668" s="4"/>
      <c r="H668" s="55"/>
      <c r="I668" s="56"/>
      <c r="J668" s="56"/>
      <c r="K668" s="78"/>
      <c r="L668" s="57"/>
      <c r="M668" s="57"/>
    </row>
    <row r="669" spans="1:13" ht="15" customHeight="1">
      <c r="A669" s="73"/>
      <c r="B669" s="2"/>
      <c r="C669" s="2" t="s">
        <v>4943</v>
      </c>
      <c r="D669" s="2">
        <v>25</v>
      </c>
      <c r="E669" s="4"/>
      <c r="F669" s="4"/>
      <c r="G669" s="4"/>
      <c r="H669" s="55"/>
      <c r="I669" s="56"/>
      <c r="J669" s="56"/>
      <c r="K669" s="78"/>
      <c r="L669" s="57"/>
      <c r="M669" s="57"/>
    </row>
    <row r="670" spans="1:13" ht="15" customHeight="1">
      <c r="A670" s="73" t="s">
        <v>4950</v>
      </c>
      <c r="B670" s="2">
        <v>16680</v>
      </c>
      <c r="C670" s="2" t="s">
        <v>4948</v>
      </c>
      <c r="D670" s="2">
        <v>1</v>
      </c>
      <c r="E670" s="4" t="s">
        <v>4218</v>
      </c>
      <c r="F670" s="4" t="s">
        <v>4212</v>
      </c>
      <c r="G670" s="4" t="s">
        <v>3661</v>
      </c>
      <c r="H670" s="61">
        <v>4370</v>
      </c>
      <c r="I670" s="62"/>
      <c r="J670" s="62"/>
      <c r="K670" s="78"/>
      <c r="L670" s="57"/>
      <c r="M670" s="57"/>
    </row>
    <row r="671" spans="1:13" ht="15" customHeight="1">
      <c r="A671" s="73"/>
      <c r="B671" s="2"/>
      <c r="C671" s="2" t="s">
        <v>4949</v>
      </c>
      <c r="D671" s="2">
        <v>380</v>
      </c>
      <c r="E671" s="4"/>
      <c r="F671" s="4"/>
      <c r="G671" s="4"/>
      <c r="H671" s="55"/>
      <c r="I671" s="56"/>
      <c r="J671" s="56"/>
      <c r="K671" s="78"/>
      <c r="L671" s="57"/>
      <c r="M671" s="57"/>
    </row>
    <row r="672" spans="1:13" ht="15" customHeight="1">
      <c r="A672" s="73" t="s">
        <v>4950</v>
      </c>
      <c r="B672" s="2">
        <v>16681</v>
      </c>
      <c r="C672" s="2" t="s">
        <v>4951</v>
      </c>
      <c r="D672" s="2">
        <v>5</v>
      </c>
      <c r="E672" s="4" t="s">
        <v>4952</v>
      </c>
      <c r="F672" s="4" t="s">
        <v>4301</v>
      </c>
      <c r="G672" s="4" t="s">
        <v>1248</v>
      </c>
      <c r="H672" s="55">
        <v>20247.94921875</v>
      </c>
      <c r="I672" s="56"/>
      <c r="J672" s="56"/>
      <c r="K672" s="78"/>
      <c r="L672" s="57"/>
      <c r="M672" s="57"/>
    </row>
    <row r="673" spans="1:13" ht="15" customHeight="1">
      <c r="A673" s="73" t="s">
        <v>4954</v>
      </c>
      <c r="B673" s="2">
        <v>16682</v>
      </c>
      <c r="C673" s="2" t="s">
        <v>4953</v>
      </c>
      <c r="D673" s="2">
        <v>1</v>
      </c>
      <c r="E673" s="4" t="s">
        <v>4218</v>
      </c>
      <c r="F673" s="4" t="s">
        <v>4212</v>
      </c>
      <c r="G673" s="4" t="s">
        <v>3661</v>
      </c>
      <c r="H673" s="61">
        <v>8176.81005859375</v>
      </c>
      <c r="I673" s="62"/>
      <c r="J673" s="62"/>
      <c r="K673" s="78"/>
      <c r="L673" s="57"/>
      <c r="M673" s="57"/>
    </row>
    <row r="674" spans="1:13" ht="15" customHeight="1">
      <c r="A674" s="73" t="s">
        <v>4954</v>
      </c>
      <c r="B674" s="2">
        <v>16683</v>
      </c>
      <c r="C674" s="2" t="s">
        <v>4955</v>
      </c>
      <c r="D674" s="2">
        <v>1</v>
      </c>
      <c r="E674" s="4" t="s">
        <v>4215</v>
      </c>
      <c r="F674" s="4" t="s">
        <v>4212</v>
      </c>
      <c r="G674" s="4" t="s">
        <v>3653</v>
      </c>
      <c r="H674" s="55">
        <v>2278.43994140625</v>
      </c>
      <c r="I674" s="56"/>
      <c r="J674" s="56"/>
      <c r="K674" s="78"/>
      <c r="L674" s="57"/>
      <c r="M674" s="57"/>
    </row>
    <row r="675" spans="1:13" ht="15" customHeight="1">
      <c r="A675" s="73" t="s">
        <v>4954</v>
      </c>
      <c r="B675" s="2">
        <v>16685</v>
      </c>
      <c r="C675" s="2" t="s">
        <v>4959</v>
      </c>
      <c r="D675" s="2">
        <v>1</v>
      </c>
      <c r="E675" s="4" t="s">
        <v>4215</v>
      </c>
      <c r="F675" s="4" t="s">
        <v>4220</v>
      </c>
      <c r="G675" s="4" t="s">
        <v>3662</v>
      </c>
      <c r="H675" s="55">
        <v>1250</v>
      </c>
      <c r="I675" s="56"/>
      <c r="J675" s="56"/>
      <c r="K675" s="78"/>
      <c r="L675" s="57"/>
      <c r="M675" s="57"/>
    </row>
    <row r="676" spans="1:13" ht="15" customHeight="1">
      <c r="A676" s="73" t="s">
        <v>4947</v>
      </c>
      <c r="B676" s="2">
        <v>16679</v>
      </c>
      <c r="C676" s="2" t="s">
        <v>4946</v>
      </c>
      <c r="D676" s="5">
        <v>1</v>
      </c>
      <c r="E676" s="4" t="s">
        <v>4945</v>
      </c>
      <c r="F676" s="4" t="s">
        <v>4259</v>
      </c>
      <c r="G676" s="4" t="s">
        <v>3810</v>
      </c>
      <c r="H676" s="55">
        <v>450000</v>
      </c>
      <c r="I676" s="56"/>
      <c r="J676" s="56"/>
      <c r="K676" s="78"/>
      <c r="L676" s="57"/>
      <c r="M676" s="57"/>
    </row>
    <row r="677" spans="1:13" ht="15" customHeight="1">
      <c r="A677" s="73" t="s">
        <v>4954</v>
      </c>
      <c r="B677" s="2">
        <v>16686</v>
      </c>
      <c r="C677" s="2" t="s">
        <v>4960</v>
      </c>
      <c r="D677" s="2">
        <v>12</v>
      </c>
      <c r="E677" s="4" t="s">
        <v>4962</v>
      </c>
      <c r="F677" s="4" t="s">
        <v>4259</v>
      </c>
      <c r="G677" s="4" t="s">
        <v>3265</v>
      </c>
      <c r="H677" s="55">
        <v>188129.203125</v>
      </c>
      <c r="I677" s="56"/>
      <c r="J677" s="56"/>
      <c r="K677" s="78"/>
      <c r="L677" s="57"/>
      <c r="M677" s="57"/>
    </row>
    <row r="678" spans="1:13" ht="15" customHeight="1">
      <c r="A678" s="73"/>
      <c r="B678" s="2"/>
      <c r="C678" s="2" t="s">
        <v>4961</v>
      </c>
      <c r="D678" s="2">
        <v>1</v>
      </c>
      <c r="E678" s="4"/>
      <c r="F678" s="4"/>
      <c r="G678" s="4"/>
      <c r="H678" s="55"/>
      <c r="I678" s="56"/>
      <c r="J678" s="56"/>
      <c r="K678" s="78"/>
      <c r="L678" s="57"/>
      <c r="M678" s="57"/>
    </row>
    <row r="679" spans="1:13" ht="15" customHeight="1">
      <c r="A679" s="73" t="s">
        <v>4954</v>
      </c>
      <c r="B679" s="2">
        <v>16687</v>
      </c>
      <c r="C679" s="2" t="s">
        <v>4963</v>
      </c>
      <c r="D679" s="2">
        <v>1</v>
      </c>
      <c r="E679" s="4" t="s">
        <v>4945</v>
      </c>
      <c r="F679" s="4" t="s">
        <v>4259</v>
      </c>
      <c r="G679" s="4" t="s">
        <v>1767</v>
      </c>
      <c r="H679" s="55">
        <v>392182</v>
      </c>
      <c r="I679" s="56"/>
      <c r="J679" s="56"/>
      <c r="K679" s="78"/>
      <c r="L679" s="57"/>
      <c r="M679" s="57"/>
    </row>
    <row r="680" spans="1:13" ht="15" customHeight="1">
      <c r="A680" s="73" t="s">
        <v>4954</v>
      </c>
      <c r="B680" s="2">
        <v>16684</v>
      </c>
      <c r="C680" s="2" t="s">
        <v>4958</v>
      </c>
      <c r="D680" s="2">
        <v>1</v>
      </c>
      <c r="E680" s="4" t="s">
        <v>4215</v>
      </c>
      <c r="F680" s="4" t="s">
        <v>4212</v>
      </c>
      <c r="G680" s="4" t="s">
        <v>4956</v>
      </c>
      <c r="H680" s="55">
        <v>96727</v>
      </c>
      <c r="I680" s="56"/>
      <c r="J680" s="56"/>
      <c r="K680" s="78"/>
      <c r="L680" s="57"/>
      <c r="M680" s="57"/>
    </row>
    <row r="681" spans="1:13" ht="15" customHeight="1">
      <c r="A681" s="73" t="s">
        <v>4954</v>
      </c>
      <c r="B681" s="2">
        <v>16688</v>
      </c>
      <c r="C681" s="2" t="s">
        <v>4964</v>
      </c>
      <c r="D681" s="2">
        <v>1</v>
      </c>
      <c r="E681" s="4" t="s">
        <v>4643</v>
      </c>
      <c r="F681" s="4" t="s">
        <v>4259</v>
      </c>
      <c r="G681" s="4" t="s">
        <v>2620</v>
      </c>
      <c r="H681" s="55">
        <v>185</v>
      </c>
      <c r="I681" s="56"/>
      <c r="J681" s="56"/>
      <c r="K681" s="78"/>
      <c r="L681" s="57"/>
      <c r="M681" s="57"/>
    </row>
    <row r="682" spans="1:13" ht="15" customHeight="1">
      <c r="A682" s="73" t="s">
        <v>4970</v>
      </c>
      <c r="B682" s="2">
        <v>16690</v>
      </c>
      <c r="C682" s="2" t="s">
        <v>4968</v>
      </c>
      <c r="D682" s="2">
        <v>24</v>
      </c>
      <c r="E682" s="4" t="s">
        <v>4969</v>
      </c>
      <c r="F682" s="4" t="s">
        <v>4259</v>
      </c>
      <c r="G682" s="4" t="s">
        <v>4965</v>
      </c>
      <c r="H682" s="55">
        <v>2593.919921875</v>
      </c>
      <c r="I682" s="56"/>
      <c r="J682" s="56"/>
      <c r="K682" s="78"/>
      <c r="L682" s="57"/>
      <c r="M682" s="57"/>
    </row>
    <row r="683" spans="1:13" ht="15" customHeight="1">
      <c r="A683" s="73" t="s">
        <v>4971</v>
      </c>
      <c r="B683" s="2">
        <v>16691</v>
      </c>
      <c r="C683" s="2" t="s">
        <v>4960</v>
      </c>
      <c r="D683" s="2">
        <v>5</v>
      </c>
      <c r="E683" s="4" t="s">
        <v>4264</v>
      </c>
      <c r="F683" s="4" t="s">
        <v>4259</v>
      </c>
      <c r="G683" s="4" t="s">
        <v>3265</v>
      </c>
      <c r="H683" s="55">
        <v>51003</v>
      </c>
      <c r="I683" s="56"/>
      <c r="J683" s="56"/>
      <c r="K683" s="78"/>
      <c r="L683" s="57"/>
      <c r="M683" s="57"/>
    </row>
    <row r="684" spans="1:13" ht="15" customHeight="1">
      <c r="A684" s="73" t="s">
        <v>4971</v>
      </c>
      <c r="B684" s="2">
        <v>16692</v>
      </c>
      <c r="C684" s="2" t="s">
        <v>4972</v>
      </c>
      <c r="D684" s="2">
        <v>14</v>
      </c>
      <c r="E684" s="4" t="s">
        <v>4973</v>
      </c>
      <c r="F684" s="4" t="s">
        <v>4220</v>
      </c>
      <c r="G684" s="4" t="s">
        <v>3295</v>
      </c>
      <c r="H684" s="55">
        <v>443100</v>
      </c>
      <c r="I684" s="56"/>
      <c r="J684" s="56"/>
      <c r="K684" s="78"/>
      <c r="L684" s="57"/>
      <c r="M684" s="57"/>
    </row>
    <row r="685" spans="1:13" ht="15" customHeight="1">
      <c r="A685" s="73" t="s">
        <v>4971</v>
      </c>
      <c r="B685" s="2">
        <v>16693</v>
      </c>
      <c r="C685" s="2" t="s">
        <v>4780</v>
      </c>
      <c r="D685" s="2">
        <v>69</v>
      </c>
      <c r="E685" s="4" t="s">
        <v>4974</v>
      </c>
      <c r="F685" s="4" t="s">
        <v>4301</v>
      </c>
      <c r="G685" s="4" t="s">
        <v>3295</v>
      </c>
      <c r="H685" s="55">
        <v>2028300</v>
      </c>
      <c r="I685" s="56"/>
      <c r="J685" s="56"/>
      <c r="K685" s="78"/>
      <c r="L685" s="57"/>
      <c r="M685" s="57"/>
    </row>
    <row r="686" spans="1:13" ht="15" customHeight="1">
      <c r="A686" s="73"/>
      <c r="B686" s="2"/>
      <c r="C686" s="2" t="s">
        <v>4777</v>
      </c>
      <c r="D686" s="2">
        <v>1</v>
      </c>
      <c r="E686" s="4"/>
      <c r="F686" s="4"/>
      <c r="G686" s="4"/>
      <c r="H686" s="55"/>
      <c r="I686" s="56"/>
      <c r="J686" s="56"/>
      <c r="K686" s="78"/>
      <c r="L686" s="57"/>
      <c r="M686" s="57"/>
    </row>
    <row r="687" spans="1:13" ht="15" customHeight="1">
      <c r="A687" s="73" t="s">
        <v>4971</v>
      </c>
      <c r="B687" s="2">
        <v>16694</v>
      </c>
      <c r="C687" s="2" t="s">
        <v>4777</v>
      </c>
      <c r="D687" s="2">
        <v>12.75</v>
      </c>
      <c r="E687" s="4" t="s">
        <v>4377</v>
      </c>
      <c r="F687" s="4" t="s">
        <v>4687</v>
      </c>
      <c r="G687" s="4" t="s">
        <v>3295</v>
      </c>
      <c r="H687" s="61">
        <v>399075</v>
      </c>
      <c r="I687" s="62"/>
      <c r="J687" s="62"/>
      <c r="K687" s="78"/>
      <c r="L687" s="57"/>
      <c r="M687" s="57"/>
    </row>
    <row r="688" spans="1:13" ht="15" customHeight="1">
      <c r="A688" s="73" t="s">
        <v>4971</v>
      </c>
      <c r="B688" s="2">
        <v>16695</v>
      </c>
      <c r="C688" s="2" t="s">
        <v>4775</v>
      </c>
      <c r="D688" s="2">
        <v>18</v>
      </c>
      <c r="E688" s="4" t="s">
        <v>4974</v>
      </c>
      <c r="F688" s="4" t="s">
        <v>4690</v>
      </c>
      <c r="G688" s="4" t="s">
        <v>3295</v>
      </c>
      <c r="H688" s="55">
        <v>4754100</v>
      </c>
      <c r="I688" s="56"/>
      <c r="J688" s="56"/>
      <c r="K688" s="78"/>
      <c r="L688" s="57"/>
      <c r="M688" s="57"/>
    </row>
    <row r="689" spans="1:13" ht="15" customHeight="1">
      <c r="A689" s="73" t="s">
        <v>4954</v>
      </c>
      <c r="B689" s="2">
        <v>16689</v>
      </c>
      <c r="C689" s="2" t="s">
        <v>4780</v>
      </c>
      <c r="D689" s="2">
        <v>90</v>
      </c>
      <c r="E689" s="4" t="s">
        <v>4643</v>
      </c>
      <c r="F689" s="4" t="s">
        <v>4259</v>
      </c>
      <c r="G689" s="4" t="s">
        <v>2620</v>
      </c>
      <c r="H689" s="55">
        <v>8880</v>
      </c>
      <c r="I689" s="56"/>
      <c r="J689" s="56"/>
      <c r="K689" s="78"/>
      <c r="L689" s="57"/>
      <c r="M689" s="57"/>
    </row>
    <row r="690" spans="1:13" ht="15" customHeight="1">
      <c r="A690" s="73"/>
      <c r="B690" s="2"/>
      <c r="C690" s="2" t="s">
        <v>4775</v>
      </c>
      <c r="D690" s="2">
        <v>50</v>
      </c>
      <c r="E690" s="4"/>
      <c r="F690" s="4"/>
      <c r="G690" s="4"/>
      <c r="H690" s="55"/>
      <c r="I690" s="56"/>
      <c r="J690" s="56"/>
      <c r="K690" s="78"/>
      <c r="L690" s="57"/>
      <c r="M690" s="57"/>
    </row>
    <row r="691" spans="1:13" ht="15" customHeight="1">
      <c r="A691" s="73" t="s">
        <v>4971</v>
      </c>
      <c r="B691" s="2">
        <v>16696</v>
      </c>
      <c r="C691" s="2" t="s">
        <v>4777</v>
      </c>
      <c r="D691" s="2">
        <v>7</v>
      </c>
      <c r="E691" s="4" t="s">
        <v>4739</v>
      </c>
      <c r="F691" s="4" t="s">
        <v>4227</v>
      </c>
      <c r="G691" s="4" t="s">
        <v>596</v>
      </c>
      <c r="H691" s="55">
        <v>215950</v>
      </c>
      <c r="I691" s="56"/>
      <c r="J691" s="56"/>
      <c r="K691" s="78"/>
      <c r="L691" s="57"/>
      <c r="M691" s="57"/>
    </row>
    <row r="692" spans="1:13" ht="15" customHeight="1">
      <c r="A692" s="73">
        <v>45023</v>
      </c>
      <c r="B692" s="2">
        <v>16697</v>
      </c>
      <c r="C692" s="2" t="s">
        <v>4975</v>
      </c>
      <c r="D692" s="2">
        <v>6</v>
      </c>
      <c r="E692" s="4" t="s">
        <v>4977</v>
      </c>
      <c r="F692" s="4" t="s">
        <v>4217</v>
      </c>
      <c r="G692" s="4" t="s">
        <v>3778</v>
      </c>
      <c r="H692" s="55">
        <v>645</v>
      </c>
      <c r="I692" s="56"/>
      <c r="J692" s="56"/>
      <c r="K692" s="78"/>
      <c r="L692" s="57"/>
      <c r="M692" s="57"/>
    </row>
    <row r="693" spans="1:13" ht="15" customHeight="1">
      <c r="A693" s="73"/>
      <c r="B693" s="2"/>
      <c r="C693" s="2" t="s">
        <v>4976</v>
      </c>
      <c r="D693" s="2">
        <v>3</v>
      </c>
      <c r="E693" s="4"/>
      <c r="F693" s="4"/>
      <c r="G693" s="4"/>
      <c r="H693" s="55"/>
      <c r="I693" s="56"/>
      <c r="J693" s="56"/>
      <c r="K693" s="78"/>
      <c r="L693" s="57"/>
      <c r="M693" s="57"/>
    </row>
    <row r="694" spans="1:13" ht="15" customHeight="1">
      <c r="A694" s="73">
        <v>45084</v>
      </c>
      <c r="B694" s="2">
        <v>16698</v>
      </c>
      <c r="C694" s="2" t="s">
        <v>4978</v>
      </c>
      <c r="D694" s="2">
        <v>1</v>
      </c>
      <c r="E694" s="4" t="s">
        <v>4310</v>
      </c>
      <c r="F694" s="4" t="s">
        <v>4234</v>
      </c>
      <c r="G694" s="4" t="s">
        <v>3661</v>
      </c>
      <c r="H694" s="55">
        <v>52169.37890625</v>
      </c>
      <c r="I694" s="56"/>
      <c r="J694" s="56"/>
      <c r="K694" s="78"/>
      <c r="L694" s="57"/>
      <c r="M694" s="57"/>
    </row>
    <row r="695" spans="1:13" ht="15" customHeight="1">
      <c r="A695" s="73">
        <v>45114</v>
      </c>
      <c r="B695" s="2">
        <v>16699</v>
      </c>
      <c r="C695" s="2" t="s">
        <v>4982</v>
      </c>
      <c r="D695" s="2">
        <v>4</v>
      </c>
      <c r="E695" s="4" t="s">
        <v>4218</v>
      </c>
      <c r="F695" s="4" t="s">
        <v>4328</v>
      </c>
      <c r="G695" s="4" t="s">
        <v>626</v>
      </c>
      <c r="H695" s="61">
        <v>160920</v>
      </c>
      <c r="I695" s="62"/>
      <c r="J695" s="62"/>
      <c r="K695" s="78"/>
      <c r="L695" s="57"/>
      <c r="M695" s="57"/>
    </row>
    <row r="696" spans="1:13" ht="15" customHeight="1">
      <c r="A696" s="73">
        <v>45114</v>
      </c>
      <c r="B696" s="2">
        <v>16700</v>
      </c>
      <c r="C696" s="2" t="s">
        <v>4983</v>
      </c>
      <c r="D696" s="2">
        <v>20</v>
      </c>
      <c r="E696" s="4" t="s">
        <v>4218</v>
      </c>
      <c r="F696" s="4" t="s">
        <v>4220</v>
      </c>
      <c r="G696" s="4" t="s">
        <v>3661</v>
      </c>
      <c r="H696" s="61">
        <v>7057.66015625</v>
      </c>
      <c r="I696" s="62"/>
      <c r="J696" s="62"/>
      <c r="K696" s="78"/>
      <c r="L696" s="57"/>
      <c r="M696" s="57"/>
    </row>
    <row r="697" spans="1:13" ht="15" customHeight="1">
      <c r="A697" s="73"/>
      <c r="B697" s="2"/>
      <c r="C697" s="2" t="s">
        <v>4984</v>
      </c>
      <c r="D697" s="2">
        <v>2</v>
      </c>
      <c r="E697" s="4"/>
      <c r="F697" s="4"/>
      <c r="G697" s="4"/>
      <c r="H697" s="55"/>
      <c r="I697" s="56"/>
      <c r="J697" s="56"/>
      <c r="K697" s="78"/>
      <c r="L697" s="57"/>
      <c r="M697" s="57"/>
    </row>
    <row r="698" spans="1:13" ht="15" customHeight="1">
      <c r="A698" s="73">
        <v>45206</v>
      </c>
      <c r="B698" s="2">
        <v>16701</v>
      </c>
      <c r="C698" s="2" t="s">
        <v>4382</v>
      </c>
      <c r="D698" s="2">
        <v>120</v>
      </c>
      <c r="E698" s="4" t="s">
        <v>4739</v>
      </c>
      <c r="F698" s="4" t="s">
        <v>4227</v>
      </c>
      <c r="G698" s="4" t="s">
        <v>3971</v>
      </c>
      <c r="H698" s="55">
        <v>60000</v>
      </c>
      <c r="I698" s="56"/>
      <c r="J698" s="56"/>
      <c r="K698" s="78"/>
      <c r="L698" s="57"/>
      <c r="M698" s="57"/>
    </row>
    <row r="699" spans="1:13" ht="15" customHeight="1">
      <c r="A699" s="73">
        <v>45206</v>
      </c>
      <c r="B699" s="2">
        <v>16702</v>
      </c>
      <c r="C699" s="2" t="s">
        <v>4985</v>
      </c>
      <c r="D699" s="2">
        <v>83</v>
      </c>
      <c r="E699" s="4" t="s">
        <v>4264</v>
      </c>
      <c r="F699" s="4" t="s">
        <v>4414</v>
      </c>
      <c r="G699" s="4" t="s">
        <v>1793</v>
      </c>
      <c r="H699" s="55">
        <v>290500</v>
      </c>
      <c r="I699" s="56"/>
      <c r="J699" s="56"/>
      <c r="K699" s="78"/>
      <c r="L699" s="57"/>
      <c r="M699" s="57"/>
    </row>
    <row r="700" spans="1:13" ht="15" customHeight="1">
      <c r="A700" s="73">
        <v>45237</v>
      </c>
      <c r="B700" s="2">
        <v>16703</v>
      </c>
      <c r="C700" s="2" t="s">
        <v>4986</v>
      </c>
      <c r="D700" s="2">
        <v>1</v>
      </c>
      <c r="E700" s="4" t="s">
        <v>4643</v>
      </c>
      <c r="F700" s="4" t="s">
        <v>4259</v>
      </c>
      <c r="G700" s="4" t="s">
        <v>2330</v>
      </c>
      <c r="H700" s="55">
        <v>0</v>
      </c>
      <c r="I700" s="56"/>
      <c r="J700" s="56"/>
      <c r="K700" s="78"/>
      <c r="L700" s="57"/>
      <c r="M700" s="57"/>
    </row>
    <row r="701" spans="1:13" ht="15" customHeight="1">
      <c r="A701" s="73"/>
      <c r="B701" s="2"/>
      <c r="C701" s="2" t="s">
        <v>4987</v>
      </c>
      <c r="D701" s="2">
        <v>43</v>
      </c>
      <c r="E701" s="4"/>
      <c r="F701" s="4"/>
      <c r="G701" s="4"/>
      <c r="H701" s="55"/>
      <c r="I701" s="56"/>
      <c r="J701" s="56"/>
      <c r="K701" s="78"/>
      <c r="L701" s="57"/>
      <c r="M701" s="57"/>
    </row>
    <row r="702" spans="1:13" ht="15" customHeight="1">
      <c r="A702" s="73">
        <v>45237</v>
      </c>
      <c r="B702" s="2">
        <v>16704</v>
      </c>
      <c r="C702" s="2" t="s">
        <v>4988</v>
      </c>
      <c r="D702" s="2">
        <v>12</v>
      </c>
      <c r="E702" s="4" t="s">
        <v>4643</v>
      </c>
      <c r="F702" s="4" t="s">
        <v>4259</v>
      </c>
      <c r="G702" s="4" t="s">
        <v>3907</v>
      </c>
      <c r="H702" s="55">
        <v>25388.435546875</v>
      </c>
      <c r="I702" s="56"/>
      <c r="J702" s="56"/>
      <c r="K702" s="78"/>
      <c r="L702" s="57"/>
      <c r="M702" s="57"/>
    </row>
    <row r="703" spans="1:13" ht="15" customHeight="1">
      <c r="A703" s="73">
        <v>45267</v>
      </c>
      <c r="B703" s="2">
        <v>16705</v>
      </c>
      <c r="C703" s="2" t="s">
        <v>4989</v>
      </c>
      <c r="D703" s="2">
        <v>2</v>
      </c>
      <c r="E703" s="4" t="s">
        <v>4990</v>
      </c>
      <c r="F703" s="4" t="s">
        <v>4211</v>
      </c>
      <c r="G703" s="4" t="s">
        <v>3265</v>
      </c>
      <c r="H703" s="55">
        <v>6127.43994140625</v>
      </c>
      <c r="I703" s="56"/>
      <c r="J703" s="56"/>
      <c r="K703" s="78"/>
      <c r="L703" s="57"/>
      <c r="M703" s="57"/>
    </row>
    <row r="704" spans="1:13" ht="15" customHeight="1">
      <c r="A704" s="73" t="s">
        <v>4995</v>
      </c>
      <c r="B704" s="2">
        <v>16706</v>
      </c>
      <c r="C704" s="2" t="s">
        <v>4991</v>
      </c>
      <c r="D704" s="2">
        <v>3</v>
      </c>
      <c r="E704" s="4" t="s">
        <v>4994</v>
      </c>
      <c r="F704" s="4" t="s">
        <v>4217</v>
      </c>
      <c r="G704" s="4" t="s">
        <v>3265</v>
      </c>
      <c r="H704" s="55">
        <v>0</v>
      </c>
      <c r="I704" s="56"/>
      <c r="J704" s="56"/>
      <c r="K704" s="78"/>
      <c r="L704" s="57"/>
      <c r="M704" s="57"/>
    </row>
    <row r="705" spans="1:13" ht="15" customHeight="1">
      <c r="A705" s="73"/>
      <c r="B705" s="2"/>
      <c r="C705" s="2" t="s">
        <v>4992</v>
      </c>
      <c r="D705" s="2">
        <v>2</v>
      </c>
      <c r="E705" s="4"/>
      <c r="F705" s="4"/>
      <c r="G705" s="4"/>
      <c r="H705" s="55"/>
      <c r="I705" s="56"/>
      <c r="J705" s="56"/>
      <c r="K705" s="78"/>
      <c r="L705" s="57"/>
      <c r="M705" s="57"/>
    </row>
    <row r="706" spans="1:13" ht="15" customHeight="1">
      <c r="A706" s="73"/>
      <c r="B706" s="2"/>
      <c r="C706" s="2" t="s">
        <v>4993</v>
      </c>
      <c r="D706" s="2">
        <v>2</v>
      </c>
      <c r="E706" s="4"/>
      <c r="F706" s="4"/>
      <c r="G706" s="4"/>
      <c r="H706" s="55"/>
      <c r="I706" s="56"/>
      <c r="J706" s="56"/>
      <c r="K706" s="78"/>
      <c r="L706" s="57"/>
      <c r="M706" s="57"/>
    </row>
    <row r="707" spans="1:13" ht="15" customHeight="1">
      <c r="A707" s="73" t="s">
        <v>4995</v>
      </c>
      <c r="B707" s="2">
        <v>16707</v>
      </c>
      <c r="C707" s="2" t="s">
        <v>4996</v>
      </c>
      <c r="D707" s="2">
        <v>1</v>
      </c>
      <c r="E707" s="4" t="s">
        <v>4246</v>
      </c>
      <c r="F707" s="4" t="s">
        <v>4211</v>
      </c>
      <c r="G707" s="4" t="s">
        <v>4175</v>
      </c>
      <c r="H707" s="55">
        <v>33466</v>
      </c>
      <c r="I707" s="56"/>
      <c r="J707" s="56"/>
      <c r="K707" s="78"/>
      <c r="L707" s="57"/>
      <c r="M707" s="57"/>
    </row>
    <row r="708" spans="1:13" ht="15" customHeight="1">
      <c r="A708" s="73" t="s">
        <v>4998</v>
      </c>
      <c r="B708" s="2">
        <v>16708</v>
      </c>
      <c r="C708" s="2" t="s">
        <v>4997</v>
      </c>
      <c r="D708" s="2">
        <v>3</v>
      </c>
      <c r="E708" s="4" t="s">
        <v>4208</v>
      </c>
      <c r="F708" s="4" t="s">
        <v>4534</v>
      </c>
      <c r="G708" s="4" t="s">
        <v>4139</v>
      </c>
      <c r="H708" s="55">
        <v>3900</v>
      </c>
      <c r="I708" s="56"/>
      <c r="J708" s="56"/>
      <c r="K708" s="78"/>
      <c r="L708" s="57"/>
      <c r="M708" s="57"/>
    </row>
    <row r="709" spans="1:13" ht="15" customHeight="1">
      <c r="A709" s="73" t="s">
        <v>4998</v>
      </c>
      <c r="B709" s="2">
        <v>16709</v>
      </c>
      <c r="C709" s="2" t="s">
        <v>4999</v>
      </c>
      <c r="D709" s="2">
        <v>10</v>
      </c>
      <c r="E709" s="4" t="s">
        <v>4208</v>
      </c>
      <c r="F709" s="4" t="s">
        <v>5001</v>
      </c>
      <c r="G709" s="4" t="s">
        <v>4139</v>
      </c>
      <c r="H709" s="55">
        <v>50000</v>
      </c>
      <c r="I709" s="56"/>
      <c r="J709" s="56"/>
      <c r="K709" s="78"/>
      <c r="L709" s="57"/>
      <c r="M709" s="57"/>
    </row>
    <row r="710" spans="1:13" ht="15" customHeight="1">
      <c r="A710" s="73"/>
      <c r="B710" s="2"/>
      <c r="C710" s="2" t="s">
        <v>5000</v>
      </c>
      <c r="D710" s="2">
        <v>2</v>
      </c>
      <c r="E710" s="4"/>
      <c r="F710" s="4"/>
      <c r="G710" s="4"/>
      <c r="H710" s="55"/>
      <c r="I710" s="56"/>
      <c r="J710" s="56"/>
      <c r="K710" s="78"/>
      <c r="L710" s="57"/>
      <c r="M710" s="57"/>
    </row>
    <row r="711" spans="1:13" ht="15" customHeight="1">
      <c r="A711" s="73" t="s">
        <v>4998</v>
      </c>
      <c r="B711" s="2">
        <v>16710</v>
      </c>
      <c r="C711" s="2" t="s">
        <v>5002</v>
      </c>
      <c r="D711" s="2">
        <v>1</v>
      </c>
      <c r="E711" s="4" t="s">
        <v>4264</v>
      </c>
      <c r="F711" s="4" t="s">
        <v>4414</v>
      </c>
      <c r="G711" s="4" t="s">
        <v>75</v>
      </c>
      <c r="H711" s="55">
        <v>22000</v>
      </c>
      <c r="I711" s="56"/>
      <c r="J711" s="56"/>
      <c r="K711" s="78"/>
      <c r="L711" s="57"/>
      <c r="M711" s="57"/>
    </row>
    <row r="712" spans="1:13" ht="15" customHeight="1">
      <c r="A712" s="73" t="s">
        <v>4998</v>
      </c>
      <c r="B712" s="2">
        <v>16711</v>
      </c>
      <c r="C712" s="2" t="s">
        <v>5003</v>
      </c>
      <c r="D712" s="2">
        <v>10</v>
      </c>
      <c r="E712" s="4" t="s">
        <v>4264</v>
      </c>
      <c r="F712" s="4" t="s">
        <v>4301</v>
      </c>
      <c r="G712" s="4" t="s">
        <v>338</v>
      </c>
      <c r="H712" s="55">
        <v>46281</v>
      </c>
      <c r="I712" s="56"/>
      <c r="J712" s="56"/>
      <c r="K712" s="78"/>
      <c r="L712" s="57"/>
      <c r="M712" s="57"/>
    </row>
    <row r="713" spans="1:13" ht="15" customHeight="1">
      <c r="A713" s="73" t="s">
        <v>5006</v>
      </c>
      <c r="B713" s="2">
        <v>16712</v>
      </c>
      <c r="C713" s="2" t="s">
        <v>5004</v>
      </c>
      <c r="D713" s="2">
        <v>4</v>
      </c>
      <c r="E713" s="4" t="s">
        <v>5005</v>
      </c>
      <c r="F713" s="4" t="s">
        <v>4220</v>
      </c>
      <c r="G713" s="4" t="s">
        <v>4887</v>
      </c>
      <c r="H713" s="55">
        <v>1540</v>
      </c>
      <c r="I713" s="56"/>
      <c r="J713" s="56"/>
      <c r="K713" s="78"/>
      <c r="L713" s="57"/>
      <c r="M713" s="57"/>
    </row>
    <row r="714" spans="1:13" ht="15" customHeight="1">
      <c r="A714" s="73" t="s">
        <v>5009</v>
      </c>
      <c r="B714" s="2">
        <v>16713</v>
      </c>
      <c r="C714" s="2" t="s">
        <v>4777</v>
      </c>
      <c r="D714" s="2">
        <v>430</v>
      </c>
      <c r="E714" s="4" t="s">
        <v>5008</v>
      </c>
      <c r="F714" s="4" t="s">
        <v>4227</v>
      </c>
      <c r="G714" s="4" t="s">
        <v>3295</v>
      </c>
      <c r="H714" s="55">
        <v>71858000</v>
      </c>
      <c r="I714" s="56"/>
      <c r="J714" s="56"/>
      <c r="K714" s="78"/>
      <c r="L714" s="57"/>
      <c r="M714" s="57"/>
    </row>
    <row r="715" spans="1:13" ht="15" customHeight="1">
      <c r="A715" s="73"/>
      <c r="B715" s="2"/>
      <c r="C715" s="2" t="s">
        <v>4775</v>
      </c>
      <c r="D715" s="2">
        <v>1200</v>
      </c>
      <c r="E715" s="4"/>
      <c r="F715" s="4"/>
      <c r="G715" s="4"/>
      <c r="H715" s="55"/>
      <c r="I715" s="56"/>
      <c r="J715" s="56"/>
      <c r="K715" s="78"/>
      <c r="L715" s="57"/>
      <c r="M715" s="57"/>
    </row>
    <row r="716" spans="1:13" ht="15" customHeight="1">
      <c r="A716" s="73"/>
      <c r="B716" s="2"/>
      <c r="C716" s="2" t="s">
        <v>4776</v>
      </c>
      <c r="D716" s="2">
        <v>200</v>
      </c>
      <c r="E716" s="4"/>
      <c r="F716" s="4"/>
      <c r="G716" s="4"/>
      <c r="H716" s="55"/>
      <c r="I716" s="56"/>
      <c r="J716" s="56"/>
      <c r="K716" s="78"/>
      <c r="L716" s="57"/>
      <c r="M716" s="57"/>
    </row>
    <row r="717" spans="1:13" ht="15" customHeight="1">
      <c r="A717" s="73"/>
      <c r="B717" s="2"/>
      <c r="C717" s="2" t="s">
        <v>5007</v>
      </c>
      <c r="D717" s="2">
        <v>140</v>
      </c>
      <c r="E717" s="4"/>
      <c r="F717" s="4"/>
      <c r="G717" s="4"/>
      <c r="H717" s="55"/>
      <c r="I717" s="56"/>
      <c r="J717" s="56"/>
      <c r="K717" s="78"/>
      <c r="L717" s="57"/>
      <c r="M717" s="57"/>
    </row>
    <row r="718" spans="1:13" ht="15" customHeight="1">
      <c r="A718" s="73" t="s">
        <v>5009</v>
      </c>
      <c r="B718" s="2">
        <v>16714</v>
      </c>
      <c r="C718" s="2" t="s">
        <v>5010</v>
      </c>
      <c r="D718" s="2">
        <v>500</v>
      </c>
      <c r="E718" s="4" t="s">
        <v>5011</v>
      </c>
      <c r="F718" s="4" t="s">
        <v>4227</v>
      </c>
      <c r="G718" s="4" t="s">
        <v>3295</v>
      </c>
      <c r="H718" s="55">
        <v>21450000</v>
      </c>
      <c r="I718" s="56"/>
      <c r="J718" s="56"/>
      <c r="K718" s="78"/>
      <c r="L718" s="57"/>
      <c r="M718" s="57"/>
    </row>
    <row r="719" spans="1:13" ht="15" customHeight="1">
      <c r="A719" s="73" t="s">
        <v>5013</v>
      </c>
      <c r="B719" s="2">
        <v>16715</v>
      </c>
      <c r="C719" s="2" t="s">
        <v>5012</v>
      </c>
      <c r="D719" s="2">
        <v>600</v>
      </c>
      <c r="E719" s="4" t="s">
        <v>4412</v>
      </c>
      <c r="F719" s="4" t="s">
        <v>4268</v>
      </c>
      <c r="G719" s="4" t="s">
        <v>3295</v>
      </c>
      <c r="H719" s="55">
        <v>390000</v>
      </c>
      <c r="I719" s="56"/>
      <c r="J719" s="56"/>
      <c r="K719" s="78"/>
      <c r="L719" s="57"/>
      <c r="M719" s="57"/>
    </row>
    <row r="720" spans="1:13" ht="15" customHeight="1">
      <c r="A720" s="73" t="s">
        <v>5017</v>
      </c>
      <c r="B720" s="2">
        <v>16716</v>
      </c>
      <c r="C720" s="2" t="s">
        <v>5014</v>
      </c>
      <c r="D720" s="2">
        <v>48</v>
      </c>
      <c r="E720" s="4" t="s">
        <v>5016</v>
      </c>
      <c r="F720" s="4" t="s">
        <v>5015</v>
      </c>
      <c r="G720" s="4" t="s">
        <v>3659</v>
      </c>
      <c r="H720" s="55">
        <v>1071970.375</v>
      </c>
      <c r="I720" s="56"/>
      <c r="J720" s="56"/>
      <c r="K720" s="78"/>
      <c r="L720" s="57"/>
      <c r="M720" s="57"/>
    </row>
    <row r="721" spans="1:13" ht="15" customHeight="1">
      <c r="A721" s="73"/>
      <c r="B721" s="2"/>
      <c r="C721" s="2" t="s">
        <v>4713</v>
      </c>
      <c r="D721" s="2">
        <v>1</v>
      </c>
      <c r="E721" s="4"/>
      <c r="F721" s="4"/>
      <c r="G721" s="4"/>
      <c r="H721" s="55"/>
      <c r="I721" s="56"/>
      <c r="J721" s="56"/>
      <c r="K721" s="78"/>
      <c r="L721" s="57"/>
      <c r="M721" s="57"/>
    </row>
    <row r="722" spans="1:13" ht="15" customHeight="1">
      <c r="A722" s="73" t="s">
        <v>5017</v>
      </c>
      <c r="B722" s="2">
        <v>16717</v>
      </c>
      <c r="C722" s="2" t="s">
        <v>4382</v>
      </c>
      <c r="D722" s="2">
        <v>30000</v>
      </c>
      <c r="E722" s="4" t="s">
        <v>5018</v>
      </c>
      <c r="F722" s="4" t="s">
        <v>4227</v>
      </c>
      <c r="G722" s="4" t="s">
        <v>4158</v>
      </c>
      <c r="H722" s="55">
        <v>20250000</v>
      </c>
      <c r="I722" s="56"/>
      <c r="J722" s="56"/>
      <c r="K722" s="78"/>
      <c r="L722" s="57"/>
      <c r="M722" s="57"/>
    </row>
    <row r="723" spans="1:13" ht="15" customHeight="1">
      <c r="A723" s="73">
        <v>44934</v>
      </c>
      <c r="B723" s="2">
        <v>16718</v>
      </c>
      <c r="C723" s="2" t="s">
        <v>5019</v>
      </c>
      <c r="D723" s="2">
        <v>25</v>
      </c>
      <c r="E723" s="4" t="s">
        <v>5020</v>
      </c>
      <c r="F723" s="4" t="s">
        <v>4227</v>
      </c>
      <c r="G723" s="4" t="s">
        <v>4887</v>
      </c>
      <c r="H723" s="55">
        <v>10725</v>
      </c>
      <c r="I723" s="56"/>
      <c r="J723" s="56"/>
      <c r="K723" s="78"/>
      <c r="L723" s="57"/>
      <c r="M723" s="57"/>
    </row>
    <row r="724" spans="1:13" ht="15" customHeight="1">
      <c r="A724" s="73">
        <v>44934</v>
      </c>
      <c r="B724" s="2">
        <v>16719</v>
      </c>
      <c r="C724" s="2" t="s">
        <v>5021</v>
      </c>
      <c r="D724" s="2">
        <v>278.39999389648438</v>
      </c>
      <c r="E724" s="4" t="s">
        <v>5022</v>
      </c>
      <c r="F724" s="4" t="s">
        <v>4227</v>
      </c>
      <c r="G724" s="4" t="s">
        <v>3659</v>
      </c>
      <c r="H724" s="55">
        <v>6780550.5</v>
      </c>
      <c r="I724" s="56"/>
      <c r="J724" s="56"/>
      <c r="K724" s="78"/>
      <c r="L724" s="57"/>
      <c r="M724" s="57"/>
    </row>
    <row r="725" spans="1:13" ht="15" customHeight="1">
      <c r="A725" s="73"/>
      <c r="B725" s="2"/>
      <c r="C725" s="2" t="s">
        <v>4713</v>
      </c>
      <c r="D725" s="2">
        <v>7</v>
      </c>
      <c r="E725" s="4"/>
      <c r="F725" s="4"/>
      <c r="G725" s="4"/>
      <c r="H725" s="55"/>
      <c r="I725" s="56"/>
      <c r="J725" s="56"/>
      <c r="K725" s="78"/>
      <c r="L725" s="57"/>
      <c r="M725" s="57"/>
    </row>
    <row r="726" spans="1:13" ht="15" customHeight="1">
      <c r="A726" s="73">
        <v>44965</v>
      </c>
      <c r="B726" s="2">
        <v>16720</v>
      </c>
      <c r="C726" s="2" t="s">
        <v>4206</v>
      </c>
      <c r="D726" s="2">
        <v>300</v>
      </c>
      <c r="E726" s="4" t="s">
        <v>5023</v>
      </c>
      <c r="F726" s="4" t="s">
        <v>4217</v>
      </c>
      <c r="G726" s="4" t="s">
        <v>1338</v>
      </c>
      <c r="H726" s="55">
        <v>1413000</v>
      </c>
      <c r="I726" s="56"/>
      <c r="J726" s="56"/>
      <c r="K726" s="78"/>
      <c r="L726" s="57"/>
      <c r="M726" s="57"/>
    </row>
    <row r="727" spans="1:13" ht="15" customHeight="1">
      <c r="A727" s="73">
        <v>44993</v>
      </c>
      <c r="B727" s="2">
        <v>16721</v>
      </c>
      <c r="C727" s="2" t="s">
        <v>5024</v>
      </c>
      <c r="D727" s="2">
        <v>2</v>
      </c>
      <c r="E727" s="4" t="s">
        <v>4264</v>
      </c>
      <c r="F727" s="4" t="s">
        <v>4301</v>
      </c>
      <c r="G727" s="4" t="s">
        <v>3728</v>
      </c>
      <c r="H727" s="55">
        <v>20495.8203125</v>
      </c>
      <c r="I727" s="56"/>
      <c r="J727" s="56"/>
      <c r="K727" s="78"/>
      <c r="L727" s="57"/>
      <c r="M727" s="57"/>
    </row>
    <row r="728" spans="1:13" ht="15" customHeight="1">
      <c r="A728" s="73"/>
      <c r="B728" s="2"/>
      <c r="C728" s="2" t="s">
        <v>5025</v>
      </c>
      <c r="D728" s="2">
        <v>4</v>
      </c>
      <c r="E728" s="4"/>
      <c r="F728" s="4"/>
      <c r="G728" s="4"/>
      <c r="H728" s="55"/>
      <c r="I728" s="56"/>
      <c r="J728" s="56"/>
      <c r="K728" s="78"/>
      <c r="L728" s="57"/>
      <c r="M728" s="57"/>
    </row>
    <row r="729" spans="1:13" ht="15" customHeight="1">
      <c r="A729" s="73"/>
      <c r="B729" s="2"/>
      <c r="C729" s="2" t="s">
        <v>5026</v>
      </c>
      <c r="D729" s="2">
        <v>2</v>
      </c>
      <c r="E729" s="4"/>
      <c r="F729" s="4"/>
      <c r="G729" s="4"/>
      <c r="H729" s="55"/>
      <c r="I729" s="56"/>
      <c r="J729" s="56"/>
      <c r="K729" s="78"/>
      <c r="L729" s="57"/>
      <c r="M729" s="57"/>
    </row>
    <row r="730" spans="1:13" ht="15" customHeight="1">
      <c r="A730" s="73">
        <v>44993</v>
      </c>
      <c r="B730" s="2">
        <v>16722</v>
      </c>
      <c r="C730" s="2" t="s">
        <v>5031</v>
      </c>
      <c r="D730" s="2">
        <v>1</v>
      </c>
      <c r="E730" s="4" t="s">
        <v>4246</v>
      </c>
      <c r="F730" s="4" t="s">
        <v>4211</v>
      </c>
      <c r="G730" s="4" t="s">
        <v>5027</v>
      </c>
      <c r="H730" s="55">
        <v>43000</v>
      </c>
      <c r="I730" s="56"/>
      <c r="J730" s="56"/>
      <c r="K730" s="78"/>
      <c r="L730" s="57"/>
      <c r="M730" s="57"/>
    </row>
    <row r="731" spans="1:13" ht="15" customHeight="1">
      <c r="A731" s="73">
        <v>44993</v>
      </c>
      <c r="B731" s="2">
        <v>16723</v>
      </c>
      <c r="C731" s="2" t="s">
        <v>5032</v>
      </c>
      <c r="D731" s="2">
        <v>10</v>
      </c>
      <c r="E731" s="4" t="s">
        <v>4246</v>
      </c>
      <c r="F731" s="4" t="s">
        <v>4328</v>
      </c>
      <c r="G731" s="4" t="s">
        <v>4194</v>
      </c>
      <c r="H731" s="55">
        <v>0</v>
      </c>
      <c r="I731" s="56"/>
      <c r="J731" s="56"/>
      <c r="K731" s="78"/>
      <c r="L731" s="57"/>
      <c r="M731" s="57"/>
    </row>
    <row r="732" spans="1:13" ht="15" customHeight="1">
      <c r="A732" s="73">
        <v>45024</v>
      </c>
      <c r="B732" s="2">
        <v>16724</v>
      </c>
      <c r="C732" s="2" t="s">
        <v>5033</v>
      </c>
      <c r="D732" s="2">
        <v>150</v>
      </c>
      <c r="E732" s="4" t="s">
        <v>4246</v>
      </c>
      <c r="F732" s="4" t="s">
        <v>4211</v>
      </c>
      <c r="G732" s="4" t="s">
        <v>4194</v>
      </c>
      <c r="H732" s="55">
        <v>0</v>
      </c>
      <c r="I732" s="56"/>
      <c r="J732" s="56"/>
      <c r="K732" s="78"/>
      <c r="L732" s="57"/>
      <c r="M732" s="57"/>
    </row>
    <row r="733" spans="1:13" ht="15" customHeight="1">
      <c r="A733" s="73">
        <v>45024</v>
      </c>
      <c r="B733" s="2">
        <v>16725</v>
      </c>
      <c r="C733" s="2" t="s">
        <v>5034</v>
      </c>
      <c r="D733" s="2">
        <v>1</v>
      </c>
      <c r="E733" s="4" t="s">
        <v>4218</v>
      </c>
      <c r="F733" s="4" t="s">
        <v>4220</v>
      </c>
      <c r="G733" s="4" t="s">
        <v>3661</v>
      </c>
      <c r="H733" s="61">
        <v>2797.10009765625</v>
      </c>
      <c r="I733" s="62"/>
      <c r="J733" s="62"/>
      <c r="K733" s="78"/>
      <c r="L733" s="57"/>
      <c r="M733" s="57"/>
    </row>
    <row r="734" spans="1:13" ht="15" customHeight="1">
      <c r="A734" s="73"/>
      <c r="B734" s="2"/>
      <c r="C734" s="2" t="s">
        <v>5035</v>
      </c>
      <c r="D734" s="2">
        <v>9</v>
      </c>
      <c r="E734" s="4"/>
      <c r="F734" s="4"/>
      <c r="G734" s="4"/>
      <c r="H734" s="55"/>
      <c r="I734" s="56"/>
      <c r="J734" s="56"/>
      <c r="K734" s="78"/>
      <c r="L734" s="57"/>
      <c r="M734" s="57"/>
    </row>
    <row r="735" spans="1:13" ht="15" customHeight="1">
      <c r="A735" s="73"/>
      <c r="B735" s="2"/>
      <c r="C735" s="2" t="s">
        <v>5036</v>
      </c>
      <c r="D735" s="2">
        <v>200</v>
      </c>
      <c r="E735" s="4"/>
      <c r="F735" s="4"/>
      <c r="G735" s="4"/>
      <c r="H735" s="55"/>
      <c r="I735" s="56"/>
      <c r="J735" s="56"/>
      <c r="K735" s="78"/>
      <c r="L735" s="57"/>
      <c r="M735" s="57"/>
    </row>
    <row r="736" spans="1:13" ht="15" customHeight="1">
      <c r="A736" s="73">
        <v>45024</v>
      </c>
      <c r="B736" s="2">
        <v>16726</v>
      </c>
      <c r="C736" s="2" t="s">
        <v>5037</v>
      </c>
      <c r="D736" s="2">
        <v>300</v>
      </c>
      <c r="E736" s="4" t="s">
        <v>5016</v>
      </c>
      <c r="F736" s="4" t="s">
        <v>4259</v>
      </c>
      <c r="G736" s="4" t="s">
        <v>1338</v>
      </c>
      <c r="H736" s="55">
        <v>630000</v>
      </c>
      <c r="I736" s="56"/>
      <c r="J736" s="56"/>
      <c r="K736" s="78"/>
      <c r="L736" s="57"/>
      <c r="M736" s="57"/>
    </row>
    <row r="737" spans="1:13" ht="15" customHeight="1">
      <c r="A737" s="73">
        <v>45115</v>
      </c>
      <c r="B737" s="2">
        <v>16727</v>
      </c>
      <c r="C737" s="2" t="s">
        <v>5041</v>
      </c>
      <c r="D737" s="2">
        <v>2</v>
      </c>
      <c r="E737" s="4" t="s">
        <v>4246</v>
      </c>
      <c r="F737" s="4" t="s">
        <v>4211</v>
      </c>
      <c r="G737" s="4" t="s">
        <v>5038</v>
      </c>
      <c r="H737" s="55">
        <v>67766.9375</v>
      </c>
      <c r="I737" s="56"/>
      <c r="J737" s="56"/>
      <c r="K737" s="78"/>
      <c r="L737" s="57"/>
      <c r="M737" s="57"/>
    </row>
    <row r="738" spans="1:13" ht="15" customHeight="1">
      <c r="A738" s="73">
        <v>45146</v>
      </c>
      <c r="B738" s="2">
        <v>16728</v>
      </c>
      <c r="C738" s="2" t="s">
        <v>5045</v>
      </c>
      <c r="D738" s="2">
        <v>25</v>
      </c>
      <c r="E738" s="4" t="s">
        <v>4227</v>
      </c>
      <c r="F738" s="4" t="s">
        <v>4227</v>
      </c>
      <c r="G738" s="4" t="s">
        <v>3661</v>
      </c>
      <c r="H738" s="55">
        <v>0</v>
      </c>
      <c r="I738" s="56"/>
      <c r="J738" s="56"/>
      <c r="K738" s="78"/>
      <c r="L738" s="57"/>
      <c r="M738" s="57"/>
    </row>
    <row r="739" spans="1:13" ht="15" customHeight="1">
      <c r="A739" s="73"/>
      <c r="B739" s="2"/>
      <c r="C739" s="2" t="s">
        <v>5046</v>
      </c>
      <c r="D739" s="2">
        <v>25</v>
      </c>
      <c r="E739" s="4"/>
      <c r="F739" s="4"/>
      <c r="G739" s="4"/>
      <c r="H739" s="55"/>
      <c r="I739" s="56"/>
      <c r="J739" s="56"/>
      <c r="K739" s="78"/>
      <c r="L739" s="57"/>
      <c r="M739" s="57"/>
    </row>
    <row r="740" spans="1:13" ht="15" customHeight="1">
      <c r="A740" s="73"/>
      <c r="B740" s="2"/>
      <c r="C740" s="2" t="s">
        <v>5042</v>
      </c>
      <c r="D740" s="2">
        <v>2</v>
      </c>
      <c r="E740" s="4"/>
      <c r="F740" s="4"/>
      <c r="G740" s="4"/>
      <c r="H740" s="55"/>
      <c r="I740" s="56"/>
      <c r="J740" s="56"/>
      <c r="K740" s="78"/>
      <c r="L740" s="57"/>
      <c r="M740" s="57"/>
    </row>
    <row r="741" spans="1:13" ht="15" customHeight="1">
      <c r="A741" s="73"/>
      <c r="B741" s="2"/>
      <c r="C741" s="2" t="s">
        <v>5043</v>
      </c>
      <c r="D741" s="2">
        <v>2</v>
      </c>
      <c r="E741" s="4"/>
      <c r="F741" s="4"/>
      <c r="G741" s="4"/>
      <c r="H741" s="55"/>
      <c r="I741" s="56"/>
      <c r="J741" s="56"/>
      <c r="K741" s="78"/>
      <c r="L741" s="57"/>
      <c r="M741" s="57"/>
    </row>
    <row r="742" spans="1:13" ht="15" customHeight="1">
      <c r="A742" s="73"/>
      <c r="B742" s="2"/>
      <c r="C742" s="2" t="s">
        <v>5044</v>
      </c>
      <c r="D742" s="2">
        <v>2</v>
      </c>
      <c r="E742" s="4"/>
      <c r="F742" s="4"/>
      <c r="G742" s="4"/>
      <c r="H742" s="55"/>
      <c r="I742" s="56"/>
      <c r="J742" s="56"/>
      <c r="K742" s="78"/>
      <c r="L742" s="57"/>
      <c r="M742" s="57"/>
    </row>
    <row r="743" spans="1:13" ht="15" customHeight="1">
      <c r="A743" s="73">
        <v>45146</v>
      </c>
      <c r="B743" s="2">
        <v>16729</v>
      </c>
      <c r="C743" s="2" t="s">
        <v>5047</v>
      </c>
      <c r="D743" s="2">
        <v>3</v>
      </c>
      <c r="E743" s="4" t="s">
        <v>5048</v>
      </c>
      <c r="F743" s="4" t="s">
        <v>4239</v>
      </c>
      <c r="G743" s="4" t="s">
        <v>2776</v>
      </c>
      <c r="H743" s="55">
        <v>414888</v>
      </c>
      <c r="I743" s="56"/>
      <c r="J743" s="56"/>
      <c r="K743" s="78"/>
      <c r="L743" s="57"/>
      <c r="M743" s="57"/>
    </row>
    <row r="744" spans="1:13" ht="15" customHeight="1">
      <c r="A744" s="73">
        <v>45146</v>
      </c>
      <c r="B744" s="2">
        <v>16730</v>
      </c>
      <c r="C744" s="2" t="s">
        <v>5049</v>
      </c>
      <c r="D744" s="2">
        <v>10</v>
      </c>
      <c r="E744" s="4" t="s">
        <v>4264</v>
      </c>
      <c r="F744" s="4" t="s">
        <v>4301</v>
      </c>
      <c r="G744" s="4" t="s">
        <v>655</v>
      </c>
      <c r="H744" s="55">
        <v>12314</v>
      </c>
      <c r="I744" s="56"/>
      <c r="J744" s="56"/>
      <c r="K744" s="78"/>
      <c r="L744" s="57"/>
      <c r="M744" s="57"/>
    </row>
    <row r="745" spans="1:13" ht="15" customHeight="1">
      <c r="A745" s="73">
        <v>45146</v>
      </c>
      <c r="B745" s="2">
        <v>16731</v>
      </c>
      <c r="C745" s="2" t="s">
        <v>5050</v>
      </c>
      <c r="D745" s="2">
        <v>4</v>
      </c>
      <c r="E745" s="4" t="s">
        <v>5051</v>
      </c>
      <c r="F745" s="4" t="s">
        <v>4239</v>
      </c>
      <c r="G745" s="4" t="s">
        <v>1248</v>
      </c>
      <c r="H745" s="55">
        <v>8264.48046875</v>
      </c>
      <c r="I745" s="56"/>
      <c r="J745" s="56"/>
      <c r="K745" s="78"/>
      <c r="L745" s="57"/>
      <c r="M745" s="57"/>
    </row>
    <row r="746" spans="1:13" ht="15" customHeight="1">
      <c r="A746" s="73">
        <v>45146</v>
      </c>
      <c r="B746" s="2">
        <v>16732</v>
      </c>
      <c r="C746" s="2" t="s">
        <v>5052</v>
      </c>
      <c r="D746" s="2">
        <v>2</v>
      </c>
      <c r="E746" s="4" t="s">
        <v>4264</v>
      </c>
      <c r="F746" s="4" t="s">
        <v>4301</v>
      </c>
      <c r="G746" s="4" t="s">
        <v>1753</v>
      </c>
      <c r="H746" s="55">
        <v>271.79998779296875</v>
      </c>
      <c r="I746" s="56"/>
      <c r="J746" s="56"/>
      <c r="K746" s="78"/>
      <c r="L746" s="57"/>
      <c r="M746" s="57"/>
    </row>
    <row r="747" spans="1:13" ht="15" customHeight="1">
      <c r="A747" s="73">
        <v>45177</v>
      </c>
      <c r="B747" s="2">
        <v>16733</v>
      </c>
      <c r="C747" s="2" t="s">
        <v>5053</v>
      </c>
      <c r="D747" s="2">
        <v>1</v>
      </c>
      <c r="E747" s="4" t="s">
        <v>5020</v>
      </c>
      <c r="F747" s="4" t="s">
        <v>4207</v>
      </c>
      <c r="G747" s="4" t="s">
        <v>3692</v>
      </c>
      <c r="H747" s="55">
        <v>196288.34375</v>
      </c>
      <c r="I747" s="56"/>
      <c r="J747" s="56"/>
      <c r="K747" s="78"/>
      <c r="L747" s="57"/>
      <c r="M747" s="57"/>
    </row>
    <row r="748" spans="1:13" ht="15" customHeight="1">
      <c r="A748" s="73"/>
      <c r="B748" s="2"/>
      <c r="C748" s="2" t="s">
        <v>5054</v>
      </c>
      <c r="D748" s="2">
        <v>1</v>
      </c>
      <c r="E748" s="4"/>
      <c r="F748" s="4"/>
      <c r="G748" s="4"/>
      <c r="H748" s="55"/>
      <c r="I748" s="56"/>
      <c r="J748" s="56"/>
      <c r="K748" s="78"/>
      <c r="L748" s="57"/>
      <c r="M748" s="57"/>
    </row>
    <row r="749" spans="1:13" ht="15" customHeight="1">
      <c r="A749" s="73"/>
      <c r="B749" s="2"/>
      <c r="C749" s="2" t="s">
        <v>5055</v>
      </c>
      <c r="D749" s="2">
        <v>1</v>
      </c>
      <c r="E749" s="4"/>
      <c r="F749" s="4"/>
      <c r="G749" s="4"/>
      <c r="H749" s="55"/>
      <c r="I749" s="56"/>
      <c r="J749" s="56"/>
      <c r="K749" s="78"/>
      <c r="L749" s="57"/>
      <c r="M749" s="57"/>
    </row>
    <row r="750" spans="1:13" ht="15" customHeight="1">
      <c r="A750" s="73"/>
      <c r="B750" s="2"/>
      <c r="C750" s="2" t="s">
        <v>5056</v>
      </c>
      <c r="D750" s="2">
        <v>1</v>
      </c>
      <c r="E750" s="4"/>
      <c r="F750" s="4"/>
      <c r="G750" s="4"/>
      <c r="H750" s="55"/>
      <c r="I750" s="56"/>
      <c r="J750" s="56"/>
      <c r="K750" s="78"/>
      <c r="L750" s="57"/>
      <c r="M750" s="57"/>
    </row>
    <row r="751" spans="1:13" ht="15" customHeight="1">
      <c r="A751" s="73"/>
      <c r="B751" s="2"/>
      <c r="C751" s="2" t="s">
        <v>5057</v>
      </c>
      <c r="D751" s="2">
        <v>1</v>
      </c>
      <c r="E751" s="4"/>
      <c r="F751" s="4"/>
      <c r="G751" s="4"/>
      <c r="H751" s="55"/>
      <c r="I751" s="56"/>
      <c r="J751" s="56"/>
      <c r="K751" s="78"/>
      <c r="L751" s="57"/>
      <c r="M751" s="57"/>
    </row>
    <row r="752" spans="1:13" ht="15" customHeight="1">
      <c r="A752" s="73"/>
      <c r="B752" s="2"/>
      <c r="C752" s="2" t="s">
        <v>5058</v>
      </c>
      <c r="D752" s="2">
        <v>1</v>
      </c>
      <c r="E752" s="4"/>
      <c r="F752" s="4"/>
      <c r="G752" s="4"/>
      <c r="H752" s="55"/>
      <c r="I752" s="56"/>
      <c r="J752" s="56"/>
      <c r="K752" s="78"/>
      <c r="L752" s="57"/>
      <c r="M752" s="57"/>
    </row>
    <row r="753" spans="1:13" ht="15" customHeight="1">
      <c r="A753" s="73"/>
      <c r="B753" s="2"/>
      <c r="C753" s="2" t="s">
        <v>5059</v>
      </c>
      <c r="D753" s="2">
        <v>1</v>
      </c>
      <c r="E753" s="4"/>
      <c r="F753" s="4"/>
      <c r="G753" s="4"/>
      <c r="H753" s="55"/>
      <c r="I753" s="56"/>
      <c r="J753" s="56"/>
      <c r="K753" s="78"/>
      <c r="L753" s="57"/>
      <c r="M753" s="57"/>
    </row>
    <row r="754" spans="1:13" ht="15" customHeight="1">
      <c r="A754" s="73">
        <v>45177</v>
      </c>
      <c r="B754" s="2">
        <v>16734</v>
      </c>
      <c r="C754" s="2" t="s">
        <v>5060</v>
      </c>
      <c r="D754" s="2">
        <v>1</v>
      </c>
      <c r="E754" s="4" t="s">
        <v>5020</v>
      </c>
      <c r="F754" s="4" t="s">
        <v>4220</v>
      </c>
      <c r="G754" s="4" t="s">
        <v>3661</v>
      </c>
      <c r="H754" s="55">
        <v>18963.23046875</v>
      </c>
      <c r="I754" s="56"/>
      <c r="J754" s="56"/>
      <c r="K754" s="78"/>
      <c r="L754" s="57"/>
      <c r="M754" s="57"/>
    </row>
    <row r="755" spans="1:13" ht="15" customHeight="1">
      <c r="A755" s="73">
        <v>45177</v>
      </c>
      <c r="B755" s="2">
        <v>16735</v>
      </c>
      <c r="C755" s="2" t="s">
        <v>5063</v>
      </c>
      <c r="D755" s="2">
        <v>37</v>
      </c>
      <c r="E755" s="4" t="s">
        <v>5065</v>
      </c>
      <c r="F755" s="4" t="s">
        <v>5064</v>
      </c>
      <c r="G755" s="4" t="s">
        <v>626</v>
      </c>
      <c r="H755" s="55">
        <v>3318160</v>
      </c>
      <c r="I755" s="56"/>
      <c r="J755" s="56"/>
      <c r="K755" s="78"/>
      <c r="L755" s="57"/>
      <c r="M755" s="57"/>
    </row>
    <row r="756" spans="1:13" ht="15" customHeight="1">
      <c r="A756" s="73"/>
      <c r="B756" s="2"/>
      <c r="C756" s="2" t="s">
        <v>5061</v>
      </c>
      <c r="D756" s="2">
        <v>1</v>
      </c>
      <c r="E756" s="4"/>
      <c r="F756" s="4"/>
      <c r="G756" s="4"/>
      <c r="H756" s="55"/>
      <c r="I756" s="56"/>
      <c r="J756" s="56"/>
      <c r="K756" s="78"/>
      <c r="L756" s="57"/>
      <c r="M756" s="57"/>
    </row>
    <row r="757" spans="1:13" ht="15" customHeight="1">
      <c r="A757" s="73">
        <v>45177</v>
      </c>
      <c r="B757" s="2">
        <v>16735</v>
      </c>
      <c r="C757" s="2" t="s">
        <v>5063</v>
      </c>
      <c r="D757" s="2">
        <v>37</v>
      </c>
      <c r="E757" s="4" t="s">
        <v>5066</v>
      </c>
      <c r="F757" s="4" t="s">
        <v>5064</v>
      </c>
      <c r="G757" s="4" t="s">
        <v>626</v>
      </c>
      <c r="H757" s="55">
        <v>3318160</v>
      </c>
      <c r="I757" s="56"/>
      <c r="J757" s="56"/>
      <c r="K757" s="78"/>
      <c r="L757" s="57"/>
      <c r="M757" s="57"/>
    </row>
    <row r="758" spans="1:13" ht="15" customHeight="1">
      <c r="A758" s="73"/>
      <c r="B758" s="2"/>
      <c r="C758" s="2" t="s">
        <v>5062</v>
      </c>
      <c r="D758" s="2">
        <v>1</v>
      </c>
      <c r="E758" s="4"/>
      <c r="F758" s="4"/>
      <c r="G758" s="4"/>
      <c r="H758" s="55"/>
      <c r="I758" s="56"/>
      <c r="J758" s="56"/>
      <c r="K758" s="78"/>
      <c r="L758" s="57"/>
      <c r="M758" s="57"/>
    </row>
    <row r="759" spans="1:13" ht="15" customHeight="1">
      <c r="A759" s="73">
        <v>45177</v>
      </c>
      <c r="B759" s="2">
        <v>16736</v>
      </c>
      <c r="C759" s="2" t="s">
        <v>5067</v>
      </c>
      <c r="D759" s="2">
        <v>500</v>
      </c>
      <c r="E759" s="4" t="s">
        <v>5020</v>
      </c>
      <c r="F759" s="4" t="s">
        <v>4220</v>
      </c>
      <c r="G759" s="4" t="s">
        <v>3265</v>
      </c>
      <c r="H759" s="55">
        <v>5004500</v>
      </c>
      <c r="I759" s="56"/>
      <c r="J759" s="56"/>
      <c r="K759" s="78"/>
      <c r="L759" s="57"/>
      <c r="M759" s="57"/>
    </row>
    <row r="760" spans="1:13" ht="15" customHeight="1">
      <c r="A760" s="73">
        <v>45177</v>
      </c>
      <c r="B760" s="2">
        <v>16737</v>
      </c>
      <c r="C760" s="2" t="s">
        <v>5068</v>
      </c>
      <c r="D760" s="2">
        <v>1</v>
      </c>
      <c r="E760" s="4" t="s">
        <v>4945</v>
      </c>
      <c r="F760" s="4" t="s">
        <v>4259</v>
      </c>
      <c r="G760" s="4" t="s">
        <v>4965</v>
      </c>
      <c r="H760" s="55">
        <v>340</v>
      </c>
      <c r="I760" s="56"/>
      <c r="J760" s="56"/>
      <c r="K760" s="78"/>
      <c r="L760" s="57"/>
      <c r="M760" s="57"/>
    </row>
    <row r="761" spans="1:13" ht="15" customHeight="1">
      <c r="A761" s="73">
        <v>45268</v>
      </c>
      <c r="B761" s="2">
        <v>16738</v>
      </c>
      <c r="C761" s="2" t="s">
        <v>5069</v>
      </c>
      <c r="D761" s="2">
        <v>1</v>
      </c>
      <c r="E761" s="4" t="s">
        <v>5073</v>
      </c>
      <c r="F761" s="4" t="s">
        <v>5072</v>
      </c>
      <c r="G761" s="4" t="s">
        <v>1248</v>
      </c>
      <c r="H761" s="55">
        <v>20900</v>
      </c>
      <c r="I761" s="56"/>
      <c r="J761" s="56"/>
      <c r="K761" s="78"/>
      <c r="L761" s="57"/>
      <c r="M761" s="57"/>
    </row>
    <row r="762" spans="1:13" ht="15" customHeight="1">
      <c r="A762" s="73"/>
      <c r="B762" s="2"/>
      <c r="C762" s="2" t="s">
        <v>5070</v>
      </c>
      <c r="D762" s="2">
        <v>1</v>
      </c>
      <c r="E762" s="4"/>
      <c r="F762" s="4"/>
      <c r="G762" s="4"/>
      <c r="H762" s="55"/>
      <c r="I762" s="56"/>
      <c r="J762" s="56"/>
      <c r="K762" s="78"/>
      <c r="L762" s="57"/>
      <c r="M762" s="57"/>
    </row>
    <row r="763" spans="1:13" ht="15" customHeight="1">
      <c r="A763" s="73"/>
      <c r="B763" s="2"/>
      <c r="C763" s="2" t="s">
        <v>5071</v>
      </c>
      <c r="D763" s="2">
        <v>1</v>
      </c>
      <c r="E763" s="4"/>
      <c r="F763" s="4"/>
      <c r="G763" s="4"/>
      <c r="H763" s="55"/>
      <c r="I763" s="56"/>
      <c r="J763" s="56"/>
      <c r="K763" s="78"/>
      <c r="L763" s="57"/>
      <c r="M763" s="57"/>
    </row>
    <row r="764" spans="1:13" ht="15" customHeight="1">
      <c r="A764" s="73">
        <v>45268</v>
      </c>
      <c r="B764" s="2">
        <v>16739</v>
      </c>
      <c r="C764" s="2" t="s">
        <v>5074</v>
      </c>
      <c r="D764" s="2">
        <v>1</v>
      </c>
      <c r="E764" s="4" t="s">
        <v>5075</v>
      </c>
      <c r="F764" s="4" t="s">
        <v>4301</v>
      </c>
      <c r="G764" s="4" t="s">
        <v>1248</v>
      </c>
      <c r="H764" s="55">
        <v>4958.68017578125</v>
      </c>
      <c r="I764" s="56"/>
      <c r="J764" s="56"/>
      <c r="K764" s="78"/>
      <c r="L764" s="57"/>
      <c r="M764" s="57"/>
    </row>
    <row r="765" spans="1:13" ht="15" customHeight="1">
      <c r="A765" s="73" t="s">
        <v>5076</v>
      </c>
      <c r="B765" s="2">
        <v>16740</v>
      </c>
      <c r="C765" s="2" t="s">
        <v>4637</v>
      </c>
      <c r="D765" s="2">
        <v>350</v>
      </c>
      <c r="E765" s="4" t="s">
        <v>4218</v>
      </c>
      <c r="F765" s="4" t="s">
        <v>4220</v>
      </c>
      <c r="G765" s="4" t="s">
        <v>3663</v>
      </c>
      <c r="H765" s="61">
        <v>8029000</v>
      </c>
      <c r="I765" s="62"/>
      <c r="J765" s="62"/>
      <c r="K765" s="78"/>
      <c r="L765" s="57"/>
      <c r="M765" s="57"/>
    </row>
    <row r="766" spans="1:13" ht="15" customHeight="1">
      <c r="A766" s="73" t="s">
        <v>5076</v>
      </c>
      <c r="B766" s="2">
        <v>16741</v>
      </c>
      <c r="C766" s="2" t="s">
        <v>5077</v>
      </c>
      <c r="D766" s="2">
        <v>1</v>
      </c>
      <c r="E766" s="4" t="s">
        <v>268</v>
      </c>
      <c r="F766" s="4" t="s">
        <v>4212</v>
      </c>
      <c r="G766" s="4" t="s">
        <v>1329</v>
      </c>
      <c r="H766" s="55">
        <v>161157.03125</v>
      </c>
      <c r="I766" s="56"/>
      <c r="J766" s="56"/>
      <c r="K766" s="78"/>
      <c r="L766" s="57"/>
      <c r="M766" s="57"/>
    </row>
    <row r="767" spans="1:13" ht="15" customHeight="1">
      <c r="A767" s="73" t="s">
        <v>5085</v>
      </c>
      <c r="B767" s="2">
        <v>16742</v>
      </c>
      <c r="C767" s="2" t="s">
        <v>5078</v>
      </c>
      <c r="D767" s="2">
        <v>2</v>
      </c>
      <c r="E767" s="4" t="s">
        <v>4696</v>
      </c>
      <c r="F767" s="4" t="s">
        <v>4211</v>
      </c>
      <c r="G767" s="4" t="s">
        <v>1256</v>
      </c>
      <c r="H767" s="55">
        <v>0</v>
      </c>
      <c r="I767" s="56"/>
      <c r="J767" s="56"/>
      <c r="K767" s="78"/>
      <c r="L767" s="57"/>
      <c r="M767" s="57"/>
    </row>
    <row r="768" spans="1:13" ht="15" customHeight="1">
      <c r="A768" s="73"/>
      <c r="B768" s="2"/>
      <c r="C768" s="2" t="s">
        <v>5079</v>
      </c>
      <c r="D768" s="2">
        <v>2</v>
      </c>
      <c r="E768" s="4"/>
      <c r="F768" s="4"/>
      <c r="G768" s="4"/>
      <c r="H768" s="55"/>
      <c r="I768" s="56"/>
      <c r="J768" s="56"/>
      <c r="K768" s="78"/>
      <c r="L768" s="57"/>
      <c r="M768" s="57"/>
    </row>
    <row r="769" spans="1:13" ht="15" customHeight="1">
      <c r="A769" s="73"/>
      <c r="B769" s="2"/>
      <c r="C769" s="2" t="s">
        <v>5080</v>
      </c>
      <c r="D769" s="2">
        <v>2</v>
      </c>
      <c r="E769" s="4"/>
      <c r="F769" s="4"/>
      <c r="G769" s="4"/>
      <c r="H769" s="55"/>
      <c r="I769" s="56"/>
      <c r="J769" s="56"/>
      <c r="K769" s="78"/>
      <c r="L769" s="57"/>
      <c r="M769" s="57"/>
    </row>
    <row r="770" spans="1:13" ht="15" customHeight="1">
      <c r="A770" s="73"/>
      <c r="B770" s="2"/>
      <c r="C770" s="2" t="s">
        <v>5081</v>
      </c>
      <c r="D770" s="2">
        <v>2</v>
      </c>
      <c r="E770" s="4"/>
      <c r="F770" s="4"/>
      <c r="G770" s="4"/>
      <c r="H770" s="55"/>
      <c r="I770" s="56"/>
      <c r="J770" s="56"/>
      <c r="K770" s="78"/>
      <c r="L770" s="57"/>
      <c r="M770" s="57"/>
    </row>
    <row r="771" spans="1:13" ht="15" customHeight="1">
      <c r="A771" s="73"/>
      <c r="B771" s="2"/>
      <c r="C771" s="2" t="s">
        <v>5082</v>
      </c>
      <c r="D771" s="2">
        <v>1</v>
      </c>
      <c r="E771" s="4"/>
      <c r="F771" s="4"/>
      <c r="G771" s="4"/>
      <c r="H771" s="55"/>
      <c r="I771" s="56"/>
      <c r="J771" s="56"/>
      <c r="K771" s="78"/>
      <c r="L771" s="57"/>
      <c r="M771" s="57"/>
    </row>
    <row r="772" spans="1:13" ht="15" customHeight="1">
      <c r="A772" s="73"/>
      <c r="B772" s="2"/>
      <c r="C772" s="2" t="s">
        <v>5083</v>
      </c>
      <c r="D772" s="2">
        <v>1</v>
      </c>
      <c r="E772" s="4"/>
      <c r="F772" s="4"/>
      <c r="G772" s="4"/>
      <c r="H772" s="55"/>
      <c r="I772" s="56"/>
      <c r="J772" s="56"/>
      <c r="K772" s="78"/>
      <c r="L772" s="57"/>
      <c r="M772" s="57"/>
    </row>
    <row r="773" spans="1:13" ht="15" customHeight="1">
      <c r="A773" s="73"/>
      <c r="B773" s="2"/>
      <c r="C773" s="2" t="s">
        <v>5084</v>
      </c>
      <c r="D773" s="2">
        <v>2</v>
      </c>
      <c r="E773" s="4"/>
      <c r="F773" s="4"/>
      <c r="G773" s="4"/>
      <c r="H773" s="55"/>
      <c r="I773" s="56"/>
      <c r="J773" s="56"/>
      <c r="K773" s="78"/>
      <c r="L773" s="57"/>
      <c r="M773" s="57"/>
    </row>
    <row r="774" spans="1:13" ht="15" customHeight="1">
      <c r="A774" s="73" t="s">
        <v>5088</v>
      </c>
      <c r="B774" s="2">
        <v>16743</v>
      </c>
      <c r="C774" s="2" t="s">
        <v>5086</v>
      </c>
      <c r="D774" s="2">
        <v>1</v>
      </c>
      <c r="E774" s="4" t="s">
        <v>5087</v>
      </c>
      <c r="F774" s="4" t="s">
        <v>4414</v>
      </c>
      <c r="G774" s="4" t="s">
        <v>75</v>
      </c>
      <c r="H774" s="55">
        <v>29500</v>
      </c>
      <c r="I774" s="56"/>
      <c r="J774" s="56"/>
      <c r="K774" s="78"/>
      <c r="L774" s="57"/>
      <c r="M774" s="57"/>
    </row>
    <row r="775" spans="1:13" ht="15" customHeight="1">
      <c r="A775" s="73" t="s">
        <v>5091</v>
      </c>
      <c r="B775" s="2">
        <v>16744</v>
      </c>
      <c r="C775" s="2" t="s">
        <v>5089</v>
      </c>
      <c r="D775" s="2">
        <v>39.5</v>
      </c>
      <c r="E775" s="4" t="s">
        <v>5090</v>
      </c>
      <c r="F775" s="4" t="s">
        <v>4227</v>
      </c>
      <c r="G775" s="4" t="s">
        <v>3663</v>
      </c>
      <c r="H775" s="55">
        <v>248850</v>
      </c>
      <c r="I775" s="56"/>
      <c r="J775" s="56"/>
      <c r="K775" s="78"/>
      <c r="L775" s="57"/>
      <c r="M775" s="57"/>
    </row>
    <row r="776" spans="1:13" ht="15" customHeight="1">
      <c r="A776" s="73" t="s">
        <v>5095</v>
      </c>
      <c r="B776" s="2">
        <v>16745</v>
      </c>
      <c r="C776" s="2" t="s">
        <v>5092</v>
      </c>
      <c r="D776" s="2">
        <v>130</v>
      </c>
      <c r="E776" s="4" t="s">
        <v>5094</v>
      </c>
      <c r="F776" s="4" t="s">
        <v>4217</v>
      </c>
      <c r="G776" s="4" t="s">
        <v>3663</v>
      </c>
      <c r="H776" s="55">
        <v>3466484.5</v>
      </c>
      <c r="I776" s="56"/>
      <c r="J776" s="56"/>
      <c r="K776" s="78"/>
      <c r="L776" s="57"/>
      <c r="M776" s="57"/>
    </row>
    <row r="777" spans="1:13" ht="15" customHeight="1">
      <c r="A777" s="73"/>
      <c r="B777" s="2"/>
      <c r="C777" s="2" t="s">
        <v>5093</v>
      </c>
      <c r="D777" s="2">
        <v>490</v>
      </c>
      <c r="E777" s="4"/>
      <c r="F777" s="4"/>
      <c r="G777" s="4"/>
      <c r="H777" s="55"/>
      <c r="I777" s="56"/>
      <c r="J777" s="56"/>
      <c r="K777" s="78"/>
      <c r="L777" s="57"/>
      <c r="M777" s="57"/>
    </row>
    <row r="778" spans="1:13" ht="15" customHeight="1">
      <c r="A778" s="73" t="s">
        <v>5095</v>
      </c>
      <c r="B778" s="2">
        <v>16746</v>
      </c>
      <c r="C778" s="2" t="s">
        <v>5096</v>
      </c>
      <c r="D778" s="2">
        <v>2</v>
      </c>
      <c r="E778" s="4" t="s">
        <v>4945</v>
      </c>
      <c r="F778" s="4" t="s">
        <v>4259</v>
      </c>
      <c r="G778" s="4" t="s">
        <v>3265</v>
      </c>
      <c r="H778" s="55">
        <v>0</v>
      </c>
      <c r="I778" s="56"/>
      <c r="J778" s="56"/>
      <c r="K778" s="78"/>
      <c r="L778" s="57"/>
      <c r="M778" s="57"/>
    </row>
    <row r="779" spans="1:13" ht="15" customHeight="1">
      <c r="A779" s="73"/>
      <c r="B779" s="2"/>
      <c r="C779" s="2" t="s">
        <v>5097</v>
      </c>
      <c r="D779" s="2">
        <v>1</v>
      </c>
      <c r="E779" s="4"/>
      <c r="F779" s="4"/>
      <c r="G779" s="4"/>
      <c r="H779" s="55"/>
      <c r="I779" s="56"/>
      <c r="J779" s="56"/>
      <c r="K779" s="78"/>
      <c r="L779" s="57"/>
      <c r="M779" s="57"/>
    </row>
    <row r="780" spans="1:13" ht="15" customHeight="1">
      <c r="A780" s="73"/>
      <c r="B780" s="2"/>
      <c r="C780" s="2" t="s">
        <v>5098</v>
      </c>
      <c r="D780" s="2">
        <v>3</v>
      </c>
      <c r="E780" s="4"/>
      <c r="F780" s="4"/>
      <c r="G780" s="4"/>
      <c r="H780" s="55"/>
      <c r="I780" s="56"/>
      <c r="J780" s="56"/>
      <c r="K780" s="78"/>
      <c r="L780" s="57"/>
      <c r="M780" s="57"/>
    </row>
    <row r="781" spans="1:13" ht="15" customHeight="1">
      <c r="A781" s="73" t="s">
        <v>5095</v>
      </c>
      <c r="B781" s="2">
        <v>16747</v>
      </c>
      <c r="C781" s="2" t="s">
        <v>5099</v>
      </c>
      <c r="D781" s="2">
        <v>17</v>
      </c>
      <c r="E781" s="4" t="s">
        <v>5020</v>
      </c>
      <c r="F781" s="4" t="s">
        <v>4220</v>
      </c>
      <c r="G781" s="4" t="s">
        <v>4197</v>
      </c>
      <c r="H781" s="55">
        <v>656880</v>
      </c>
      <c r="I781" s="56"/>
      <c r="J781" s="56"/>
      <c r="K781" s="78"/>
      <c r="L781" s="57"/>
      <c r="M781" s="57"/>
    </row>
    <row r="782" spans="1:13" ht="15" customHeight="1">
      <c r="A782" s="73" t="s">
        <v>5101</v>
      </c>
      <c r="B782" s="2">
        <v>16748</v>
      </c>
      <c r="C782" s="2" t="s">
        <v>5100</v>
      </c>
      <c r="D782" s="2">
        <v>20</v>
      </c>
      <c r="E782" s="4" t="s">
        <v>4264</v>
      </c>
      <c r="F782" s="4" t="s">
        <v>4207</v>
      </c>
      <c r="G782" s="4" t="s">
        <v>450</v>
      </c>
      <c r="H782" s="55">
        <v>311628.1875</v>
      </c>
      <c r="I782" s="56"/>
      <c r="J782" s="56"/>
      <c r="K782" s="78"/>
      <c r="L782" s="57"/>
      <c r="M782" s="57"/>
    </row>
    <row r="783" spans="1:13" ht="15" customHeight="1">
      <c r="A783" s="73" t="s">
        <v>5101</v>
      </c>
      <c r="B783" s="2">
        <v>16749</v>
      </c>
      <c r="C783" s="2" t="s">
        <v>5102</v>
      </c>
      <c r="D783" s="2">
        <v>6</v>
      </c>
      <c r="E783" s="4" t="s">
        <v>4945</v>
      </c>
      <c r="F783" s="4" t="s">
        <v>4259</v>
      </c>
      <c r="G783" s="4" t="s">
        <v>3725</v>
      </c>
      <c r="H783" s="55">
        <v>664000</v>
      </c>
      <c r="I783" s="56"/>
      <c r="J783" s="56"/>
      <c r="K783" s="78"/>
      <c r="L783" s="57"/>
      <c r="M783" s="57"/>
    </row>
    <row r="784" spans="1:13" ht="15" customHeight="1">
      <c r="A784" s="73"/>
      <c r="B784" s="2"/>
      <c r="C784" s="2" t="s">
        <v>5103</v>
      </c>
      <c r="D784" s="2">
        <v>2</v>
      </c>
      <c r="E784" s="4"/>
      <c r="F784" s="4"/>
      <c r="G784" s="4"/>
      <c r="H784" s="55"/>
      <c r="I784" s="56"/>
      <c r="J784" s="56"/>
      <c r="K784" s="78"/>
      <c r="L784" s="57"/>
      <c r="M784" s="57"/>
    </row>
    <row r="785" spans="1:13" ht="15" customHeight="1">
      <c r="A785" s="73"/>
      <c r="B785" s="2"/>
      <c r="C785" s="2" t="s">
        <v>5104</v>
      </c>
      <c r="D785" s="2">
        <v>1</v>
      </c>
      <c r="E785" s="4"/>
      <c r="F785" s="4"/>
      <c r="G785" s="4"/>
      <c r="H785" s="55"/>
      <c r="I785" s="56"/>
      <c r="J785" s="56"/>
      <c r="K785" s="78"/>
      <c r="L785" s="57"/>
      <c r="M785" s="57"/>
    </row>
    <row r="786" spans="1:13" ht="15" customHeight="1">
      <c r="A786" s="73" t="s">
        <v>5101</v>
      </c>
      <c r="B786" s="2">
        <v>16750</v>
      </c>
      <c r="C786" s="2" t="s">
        <v>5105</v>
      </c>
      <c r="D786" s="2">
        <v>275</v>
      </c>
      <c r="E786" s="4" t="s">
        <v>5106</v>
      </c>
      <c r="F786" s="4" t="s">
        <v>4383</v>
      </c>
      <c r="G786" s="4" t="s">
        <v>3295</v>
      </c>
      <c r="H786" s="55">
        <v>14575000</v>
      </c>
      <c r="I786" s="56"/>
      <c r="J786" s="56"/>
      <c r="K786" s="78"/>
      <c r="L786" s="57"/>
      <c r="M786" s="57"/>
    </row>
    <row r="787" spans="1:13" ht="15" customHeight="1">
      <c r="A787" s="73" t="s">
        <v>5113</v>
      </c>
      <c r="B787" s="2">
        <v>16751</v>
      </c>
      <c r="C787" s="2" t="s">
        <v>5107</v>
      </c>
      <c r="D787" s="2">
        <v>1</v>
      </c>
      <c r="E787" s="4" t="s">
        <v>4246</v>
      </c>
      <c r="F787" s="4" t="s">
        <v>4211</v>
      </c>
      <c r="G787" s="4" t="s">
        <v>1256</v>
      </c>
      <c r="H787" s="55">
        <v>0</v>
      </c>
      <c r="I787" s="56"/>
      <c r="J787" s="56"/>
      <c r="K787" s="78"/>
      <c r="L787" s="57"/>
      <c r="M787" s="57"/>
    </row>
    <row r="788" spans="1:13" ht="15" customHeight="1">
      <c r="A788" s="73"/>
      <c r="B788" s="2"/>
      <c r="C788" s="2" t="s">
        <v>5108</v>
      </c>
      <c r="D788" s="2">
        <v>1</v>
      </c>
      <c r="E788" s="4"/>
      <c r="F788" s="4"/>
      <c r="G788" s="4"/>
      <c r="H788" s="55"/>
      <c r="I788" s="56"/>
      <c r="J788" s="56"/>
      <c r="K788" s="78"/>
      <c r="L788" s="57"/>
      <c r="M788" s="57"/>
    </row>
    <row r="789" spans="1:13" ht="15" customHeight="1">
      <c r="A789" s="73"/>
      <c r="B789" s="2"/>
      <c r="C789" s="2" t="s">
        <v>5109</v>
      </c>
      <c r="D789" s="2">
        <v>1</v>
      </c>
      <c r="E789" s="4"/>
      <c r="F789" s="4"/>
      <c r="G789" s="4"/>
      <c r="H789" s="55"/>
      <c r="I789" s="56"/>
      <c r="J789" s="56"/>
      <c r="K789" s="78"/>
      <c r="L789" s="57"/>
      <c r="M789" s="57"/>
    </row>
    <row r="790" spans="1:13" ht="15" customHeight="1">
      <c r="A790" s="73"/>
      <c r="B790" s="2"/>
      <c r="C790" s="2" t="s">
        <v>5110</v>
      </c>
      <c r="D790" s="2">
        <v>1</v>
      </c>
      <c r="E790" s="4"/>
      <c r="F790" s="4"/>
      <c r="G790" s="4"/>
      <c r="H790" s="55"/>
      <c r="I790" s="56"/>
      <c r="J790" s="56"/>
      <c r="K790" s="78"/>
      <c r="L790" s="57"/>
      <c r="M790" s="57"/>
    </row>
    <row r="791" spans="1:13" ht="15" customHeight="1">
      <c r="A791" s="73"/>
      <c r="B791" s="2"/>
      <c r="C791" s="2" t="s">
        <v>5111</v>
      </c>
      <c r="D791" s="2">
        <v>1</v>
      </c>
      <c r="E791" s="4"/>
      <c r="F791" s="4"/>
      <c r="G791" s="4"/>
      <c r="H791" s="55"/>
      <c r="I791" s="56"/>
      <c r="J791" s="56"/>
      <c r="K791" s="78"/>
      <c r="L791" s="57"/>
      <c r="M791" s="57"/>
    </row>
    <row r="792" spans="1:13" ht="15" customHeight="1">
      <c r="A792" s="73"/>
      <c r="B792" s="2"/>
      <c r="C792" s="2" t="s">
        <v>5112</v>
      </c>
      <c r="D792" s="2">
        <v>1</v>
      </c>
      <c r="E792" s="4"/>
      <c r="F792" s="4"/>
      <c r="G792" s="4"/>
      <c r="H792" s="55"/>
      <c r="I792" s="56"/>
      <c r="J792" s="56"/>
      <c r="K792" s="78"/>
      <c r="L792" s="57"/>
      <c r="M792" s="57"/>
    </row>
    <row r="793" spans="1:13" ht="15" customHeight="1">
      <c r="A793" s="73" t="s">
        <v>5117</v>
      </c>
      <c r="B793" s="2">
        <v>16752</v>
      </c>
      <c r="C793" s="2" t="s">
        <v>5114</v>
      </c>
      <c r="D793" s="2">
        <v>1</v>
      </c>
      <c r="E793" s="4" t="s">
        <v>4246</v>
      </c>
      <c r="F793" s="4" t="s">
        <v>4211</v>
      </c>
      <c r="G793" s="4" t="s">
        <v>1753</v>
      </c>
      <c r="H793" s="55">
        <v>660.46002197265625</v>
      </c>
      <c r="I793" s="56"/>
      <c r="J793" s="56"/>
      <c r="K793" s="78"/>
      <c r="L793" s="57"/>
      <c r="M793" s="57"/>
    </row>
    <row r="794" spans="1:13" ht="15" customHeight="1">
      <c r="A794" s="73"/>
      <c r="B794" s="2"/>
      <c r="C794" s="2" t="s">
        <v>5115</v>
      </c>
      <c r="D794" s="2">
        <v>1</v>
      </c>
      <c r="E794" s="4"/>
      <c r="F794" s="4"/>
      <c r="G794" s="4"/>
      <c r="H794" s="55"/>
      <c r="I794" s="56"/>
      <c r="J794" s="56"/>
      <c r="K794" s="78"/>
      <c r="L794" s="57"/>
      <c r="M794" s="57"/>
    </row>
    <row r="795" spans="1:13" ht="15" customHeight="1">
      <c r="A795" s="73"/>
      <c r="B795" s="2"/>
      <c r="C795" s="2" t="s">
        <v>5068</v>
      </c>
      <c r="D795" s="2">
        <v>1</v>
      </c>
      <c r="E795" s="4"/>
      <c r="F795" s="4"/>
      <c r="G795" s="4"/>
      <c r="H795" s="55"/>
      <c r="I795" s="56"/>
      <c r="J795" s="56"/>
      <c r="K795" s="78"/>
      <c r="L795" s="57"/>
      <c r="M795" s="57"/>
    </row>
    <row r="796" spans="1:13" ht="15" customHeight="1">
      <c r="A796" s="73"/>
      <c r="B796" s="2"/>
      <c r="C796" s="2" t="s">
        <v>5116</v>
      </c>
      <c r="D796" s="2">
        <v>1</v>
      </c>
      <c r="E796" s="4"/>
      <c r="F796" s="4"/>
      <c r="G796" s="4"/>
      <c r="H796" s="55"/>
      <c r="I796" s="56"/>
      <c r="J796" s="56"/>
      <c r="K796" s="78"/>
      <c r="L796" s="57"/>
      <c r="M796" s="57"/>
    </row>
    <row r="797" spans="1:13" ht="15" customHeight="1">
      <c r="A797" s="73" t="s">
        <v>5121</v>
      </c>
      <c r="B797" s="2">
        <v>16753</v>
      </c>
      <c r="C797" s="2" t="s">
        <v>5118</v>
      </c>
      <c r="D797" s="2">
        <v>1</v>
      </c>
      <c r="E797" s="4" t="s">
        <v>4246</v>
      </c>
      <c r="F797" s="4" t="s">
        <v>4211</v>
      </c>
      <c r="G797" s="4" t="s">
        <v>1753</v>
      </c>
      <c r="H797" s="55">
        <v>486.76998901367188</v>
      </c>
      <c r="I797" s="56"/>
      <c r="J797" s="56"/>
      <c r="K797" s="78"/>
      <c r="L797" s="57"/>
      <c r="M797" s="57"/>
    </row>
    <row r="798" spans="1:13" ht="15" customHeight="1">
      <c r="A798" s="73"/>
      <c r="B798" s="2"/>
      <c r="C798" s="2" t="s">
        <v>5119</v>
      </c>
      <c r="D798" s="2">
        <v>1</v>
      </c>
      <c r="E798" s="4"/>
      <c r="F798" s="4"/>
      <c r="G798" s="4"/>
      <c r="H798" s="55"/>
      <c r="I798" s="56"/>
      <c r="J798" s="56"/>
      <c r="K798" s="78"/>
      <c r="L798" s="57"/>
      <c r="M798" s="57"/>
    </row>
    <row r="799" spans="1:13" ht="15" customHeight="1">
      <c r="A799" s="73" t="s">
        <v>5121</v>
      </c>
      <c r="B799" s="2">
        <v>16754</v>
      </c>
      <c r="C799" s="2" t="s">
        <v>5122</v>
      </c>
      <c r="D799" s="2">
        <v>500</v>
      </c>
      <c r="E799" s="4" t="s">
        <v>4218</v>
      </c>
      <c r="F799" s="4" t="s">
        <v>4217</v>
      </c>
      <c r="G799" s="4" t="s">
        <v>1211</v>
      </c>
      <c r="H799" s="61">
        <v>592110</v>
      </c>
      <c r="I799" s="62"/>
      <c r="J799" s="62"/>
      <c r="K799" s="78"/>
      <c r="L799" s="57"/>
      <c r="M799" s="57"/>
    </row>
    <row r="800" spans="1:13" ht="15" customHeight="1">
      <c r="A800" s="73"/>
      <c r="B800" s="2"/>
      <c r="C800" s="2" t="s">
        <v>5120</v>
      </c>
      <c r="D800" s="2">
        <v>1</v>
      </c>
      <c r="E800" s="4"/>
      <c r="F800" s="4"/>
      <c r="G800" s="4"/>
      <c r="H800" s="55"/>
      <c r="I800" s="56"/>
      <c r="J800" s="56"/>
      <c r="K800" s="78"/>
      <c r="L800" s="57"/>
      <c r="M800" s="57"/>
    </row>
    <row r="801" spans="1:13" ht="15" customHeight="1">
      <c r="A801" s="73">
        <v>44935</v>
      </c>
      <c r="B801" s="2">
        <v>16755</v>
      </c>
      <c r="C801" s="2" t="s">
        <v>5127</v>
      </c>
      <c r="D801" s="2">
        <v>188</v>
      </c>
      <c r="E801" s="4" t="s">
        <v>5020</v>
      </c>
      <c r="F801" s="4" t="s">
        <v>4212</v>
      </c>
      <c r="G801" s="4" t="s">
        <v>2634</v>
      </c>
      <c r="H801" s="55">
        <v>1625198.375</v>
      </c>
      <c r="I801" s="56"/>
      <c r="J801" s="56"/>
      <c r="K801" s="78"/>
      <c r="L801" s="57"/>
      <c r="M801" s="57"/>
    </row>
    <row r="802" spans="1:13" ht="15" customHeight="1">
      <c r="A802" s="73"/>
      <c r="B802" s="2"/>
      <c r="C802" s="2" t="s">
        <v>5123</v>
      </c>
      <c r="D802" s="2">
        <v>1</v>
      </c>
      <c r="E802" s="4"/>
      <c r="F802" s="4"/>
      <c r="G802" s="4"/>
      <c r="H802" s="55"/>
      <c r="I802" s="56"/>
      <c r="J802" s="56"/>
      <c r="K802" s="78"/>
      <c r="L802" s="57"/>
      <c r="M802" s="57"/>
    </row>
    <row r="803" spans="1:13" ht="15" customHeight="1">
      <c r="A803" s="73"/>
      <c r="B803" s="2"/>
      <c r="C803" s="2" t="s">
        <v>5124</v>
      </c>
      <c r="D803" s="2">
        <v>1</v>
      </c>
      <c r="E803" s="4"/>
      <c r="F803" s="4"/>
      <c r="G803" s="4"/>
      <c r="H803" s="55"/>
      <c r="I803" s="56"/>
      <c r="J803" s="56"/>
      <c r="K803" s="78"/>
      <c r="L803" s="57"/>
      <c r="M803" s="57"/>
    </row>
    <row r="804" spans="1:13" ht="15" customHeight="1">
      <c r="A804" s="73"/>
      <c r="B804" s="2"/>
      <c r="C804" s="2" t="s">
        <v>5125</v>
      </c>
      <c r="D804" s="2">
        <v>1</v>
      </c>
      <c r="E804" s="4"/>
      <c r="F804" s="4"/>
      <c r="G804" s="4"/>
      <c r="H804" s="55"/>
      <c r="I804" s="56"/>
      <c r="J804" s="56"/>
      <c r="K804" s="78"/>
      <c r="L804" s="57"/>
      <c r="M804" s="57"/>
    </row>
    <row r="805" spans="1:13" ht="15" customHeight="1">
      <c r="A805" s="73"/>
      <c r="B805" s="2"/>
      <c r="C805" s="2" t="s">
        <v>5126</v>
      </c>
      <c r="D805" s="2">
        <v>72</v>
      </c>
      <c r="E805" s="4"/>
      <c r="F805" s="4"/>
      <c r="G805" s="4"/>
      <c r="H805" s="55"/>
      <c r="I805" s="56"/>
      <c r="J805" s="56"/>
      <c r="K805" s="78"/>
      <c r="L805" s="57"/>
      <c r="M805" s="57"/>
    </row>
    <row r="806" spans="1:13" ht="15" customHeight="1">
      <c r="A806" s="73">
        <v>45025</v>
      </c>
      <c r="B806" s="2">
        <v>16756</v>
      </c>
      <c r="C806" s="2" t="s">
        <v>5128</v>
      </c>
      <c r="D806" s="2">
        <v>2000</v>
      </c>
      <c r="E806" s="4" t="s">
        <v>5129</v>
      </c>
      <c r="F806" s="4" t="s">
        <v>4212</v>
      </c>
      <c r="G806" s="4" t="s">
        <v>1692</v>
      </c>
      <c r="H806" s="55">
        <v>11970000</v>
      </c>
      <c r="I806" s="56"/>
      <c r="J806" s="56"/>
      <c r="K806" s="78"/>
      <c r="L806" s="57"/>
      <c r="M806" s="57"/>
    </row>
    <row r="807" spans="1:13" ht="15" customHeight="1">
      <c r="A807" s="73">
        <v>45055</v>
      </c>
      <c r="B807" s="2">
        <v>16757</v>
      </c>
      <c r="C807" s="2" t="s">
        <v>5130</v>
      </c>
      <c r="D807" s="2">
        <v>1</v>
      </c>
      <c r="E807" s="4" t="s">
        <v>4264</v>
      </c>
      <c r="F807" s="4" t="s">
        <v>4301</v>
      </c>
      <c r="G807" s="4" t="s">
        <v>2762</v>
      </c>
      <c r="H807" s="55">
        <v>167.66000366210938</v>
      </c>
      <c r="I807" s="56"/>
      <c r="J807" s="56"/>
      <c r="K807" s="78"/>
      <c r="L807" s="57"/>
      <c r="M807" s="57"/>
    </row>
    <row r="808" spans="1:13" ht="15" customHeight="1">
      <c r="A808" s="73">
        <v>45055</v>
      </c>
      <c r="B808" s="2">
        <v>16758</v>
      </c>
      <c r="C808" s="2" t="s">
        <v>5131</v>
      </c>
      <c r="D808" s="2">
        <v>8</v>
      </c>
      <c r="E808" s="4" t="s">
        <v>4264</v>
      </c>
      <c r="F808" s="4" t="s">
        <v>4301</v>
      </c>
      <c r="G808" s="4" t="s">
        <v>4508</v>
      </c>
      <c r="H808" s="55">
        <v>14082.7197265625</v>
      </c>
      <c r="I808" s="56"/>
      <c r="J808" s="56"/>
      <c r="K808" s="78"/>
      <c r="L808" s="57"/>
      <c r="M808" s="57"/>
    </row>
    <row r="809" spans="1:13" ht="15" customHeight="1">
      <c r="A809" s="73"/>
      <c r="B809" s="2"/>
      <c r="C809" s="2" t="s">
        <v>5132</v>
      </c>
      <c r="D809" s="2">
        <v>8</v>
      </c>
      <c r="E809" s="4"/>
      <c r="F809" s="4"/>
      <c r="G809" s="4"/>
      <c r="H809" s="55"/>
      <c r="I809" s="56"/>
      <c r="J809" s="56"/>
      <c r="K809" s="78"/>
      <c r="L809" s="57"/>
      <c r="M809" s="57"/>
    </row>
    <row r="810" spans="1:13" ht="15" customHeight="1">
      <c r="A810" s="73">
        <v>45055</v>
      </c>
      <c r="B810" s="2">
        <v>16759</v>
      </c>
      <c r="C810" s="2" t="s">
        <v>4423</v>
      </c>
      <c r="D810" s="2">
        <v>1</v>
      </c>
      <c r="E810" s="4" t="s">
        <v>5139</v>
      </c>
      <c r="F810" s="4" t="s">
        <v>4211</v>
      </c>
      <c r="G810" s="4" t="s">
        <v>3653</v>
      </c>
      <c r="H810" s="55">
        <v>75185.15625</v>
      </c>
      <c r="I810" s="56"/>
      <c r="J810" s="56"/>
      <c r="K810" s="78"/>
      <c r="L810" s="57"/>
      <c r="M810" s="57"/>
    </row>
    <row r="811" spans="1:13" ht="15" customHeight="1">
      <c r="A811" s="73"/>
      <c r="B811" s="2"/>
      <c r="C811" s="2" t="s">
        <v>5133</v>
      </c>
      <c r="D811" s="2">
        <v>1</v>
      </c>
      <c r="E811" s="4"/>
      <c r="F811" s="4"/>
      <c r="G811" s="4"/>
      <c r="H811" s="55"/>
      <c r="I811" s="56"/>
      <c r="J811" s="56"/>
      <c r="K811" s="78"/>
      <c r="L811" s="57"/>
      <c r="M811" s="57"/>
    </row>
    <row r="812" spans="1:13" ht="15" customHeight="1">
      <c r="A812" s="73"/>
      <c r="B812" s="2"/>
      <c r="C812" s="2" t="s">
        <v>5134</v>
      </c>
      <c r="D812" s="2">
        <v>2</v>
      </c>
      <c r="E812" s="4"/>
      <c r="F812" s="4"/>
      <c r="G812" s="4"/>
      <c r="H812" s="55"/>
      <c r="I812" s="56"/>
      <c r="J812" s="56"/>
      <c r="K812" s="78"/>
      <c r="L812" s="57"/>
      <c r="M812" s="57"/>
    </row>
    <row r="813" spans="1:13" ht="15" customHeight="1">
      <c r="A813" s="73"/>
      <c r="B813" s="2"/>
      <c r="C813" s="2" t="s">
        <v>5135</v>
      </c>
      <c r="D813" s="2">
        <v>1</v>
      </c>
      <c r="E813" s="4"/>
      <c r="F813" s="4"/>
      <c r="G813" s="4"/>
      <c r="H813" s="55"/>
      <c r="I813" s="56"/>
      <c r="J813" s="56"/>
      <c r="K813" s="78"/>
      <c r="L813" s="57"/>
      <c r="M813" s="57"/>
    </row>
    <row r="814" spans="1:13" ht="15" customHeight="1">
      <c r="A814" s="73"/>
      <c r="B814" s="2"/>
      <c r="C814" s="2" t="s">
        <v>5136</v>
      </c>
      <c r="D814" s="2">
        <v>10</v>
      </c>
      <c r="E814" s="4"/>
      <c r="F814" s="4"/>
      <c r="G814" s="4"/>
      <c r="H814" s="55"/>
      <c r="I814" s="56"/>
      <c r="J814" s="56"/>
      <c r="K814" s="78"/>
      <c r="L814" s="57"/>
      <c r="M814" s="57"/>
    </row>
    <row r="815" spans="1:13" ht="15" customHeight="1">
      <c r="A815" s="73"/>
      <c r="B815" s="2"/>
      <c r="C815" s="2" t="s">
        <v>5137</v>
      </c>
      <c r="D815" s="2">
        <v>2</v>
      </c>
      <c r="E815" s="4"/>
      <c r="F815" s="4"/>
      <c r="G815" s="4"/>
      <c r="H815" s="55"/>
      <c r="I815" s="56"/>
      <c r="J815" s="56"/>
      <c r="K815" s="78"/>
      <c r="L815" s="57"/>
      <c r="M815" s="57"/>
    </row>
    <row r="816" spans="1:13" ht="15" customHeight="1">
      <c r="A816" s="73"/>
      <c r="B816" s="2"/>
      <c r="C816" s="2" t="s">
        <v>5138</v>
      </c>
      <c r="D816" s="2">
        <v>10</v>
      </c>
      <c r="E816" s="4"/>
      <c r="F816" s="4"/>
      <c r="G816" s="4"/>
      <c r="H816" s="55"/>
      <c r="I816" s="56"/>
      <c r="J816" s="56"/>
      <c r="K816" s="78"/>
      <c r="L816" s="57"/>
      <c r="M816" s="57"/>
    </row>
    <row r="817" spans="1:13" ht="15" customHeight="1">
      <c r="A817" s="73">
        <v>45147</v>
      </c>
      <c r="B817" s="2">
        <v>16760</v>
      </c>
      <c r="C817" s="2" t="s">
        <v>5140</v>
      </c>
      <c r="D817" s="2">
        <v>150</v>
      </c>
      <c r="E817" s="4" t="s">
        <v>5141</v>
      </c>
      <c r="F817" s="4" t="s">
        <v>4259</v>
      </c>
      <c r="G817" s="4" t="s">
        <v>3295</v>
      </c>
      <c r="H817" s="55">
        <v>7830000</v>
      </c>
      <c r="I817" s="56"/>
      <c r="J817" s="56"/>
      <c r="K817" s="78"/>
      <c r="L817" s="57"/>
      <c r="M817" s="57"/>
    </row>
    <row r="818" spans="1:13" ht="15" customHeight="1">
      <c r="A818" s="73">
        <v>45269</v>
      </c>
      <c r="B818" s="2">
        <v>16761</v>
      </c>
      <c r="C818" s="2" t="s">
        <v>4641</v>
      </c>
      <c r="D818" s="2">
        <v>19.5</v>
      </c>
      <c r="E818" s="4" t="s">
        <v>4643</v>
      </c>
      <c r="F818" s="4" t="s">
        <v>4259</v>
      </c>
      <c r="G818" s="4" t="s">
        <v>3295</v>
      </c>
      <c r="H818" s="55">
        <v>970875</v>
      </c>
      <c r="I818" s="56"/>
      <c r="J818" s="56"/>
      <c r="K818" s="78"/>
      <c r="L818" s="57"/>
      <c r="M818" s="57"/>
    </row>
    <row r="819" spans="1:13" ht="15" customHeight="1">
      <c r="A819" s="73"/>
      <c r="B819" s="2"/>
      <c r="C819" s="2" t="s">
        <v>5142</v>
      </c>
      <c r="D819" s="2">
        <v>4</v>
      </c>
      <c r="E819" s="4"/>
      <c r="F819" s="4"/>
      <c r="G819" s="4"/>
      <c r="H819" s="55"/>
      <c r="I819" s="56"/>
      <c r="J819" s="56"/>
      <c r="K819" s="78"/>
      <c r="L819" s="57"/>
      <c r="M819" s="57"/>
    </row>
    <row r="820" spans="1:13" ht="15" customHeight="1">
      <c r="A820" s="73">
        <v>45269</v>
      </c>
      <c r="B820" s="2">
        <v>16762</v>
      </c>
      <c r="C820" s="2" t="s">
        <v>4780</v>
      </c>
      <c r="D820" s="2">
        <v>106</v>
      </c>
      <c r="E820" s="4" t="s">
        <v>4974</v>
      </c>
      <c r="F820" s="4" t="s">
        <v>4217</v>
      </c>
      <c r="G820" s="4" t="s">
        <v>3295</v>
      </c>
      <c r="H820" s="55">
        <v>3678200</v>
      </c>
      <c r="I820" s="56"/>
      <c r="J820" s="56"/>
      <c r="K820" s="78"/>
      <c r="L820" s="57"/>
      <c r="M820" s="57"/>
    </row>
    <row r="821" spans="1:13" ht="15" customHeight="1">
      <c r="A821" s="73">
        <v>45269</v>
      </c>
      <c r="B821" s="2">
        <v>16763</v>
      </c>
      <c r="C821" s="2" t="s">
        <v>4641</v>
      </c>
      <c r="D821" s="2">
        <v>1.5</v>
      </c>
      <c r="E821" s="4" t="s">
        <v>268</v>
      </c>
      <c r="F821" s="4" t="s">
        <v>4259</v>
      </c>
      <c r="G821" s="4" t="s">
        <v>3295</v>
      </c>
      <c r="H821" s="55">
        <v>63375</v>
      </c>
      <c r="I821" s="56"/>
      <c r="J821" s="56"/>
      <c r="K821" s="78"/>
      <c r="L821" s="57"/>
      <c r="M821" s="57"/>
    </row>
    <row r="822" spans="1:13" ht="15" customHeight="1">
      <c r="A822" s="73" t="s">
        <v>5145</v>
      </c>
      <c r="B822" s="2">
        <v>16764</v>
      </c>
      <c r="C822" s="2" t="s">
        <v>5143</v>
      </c>
      <c r="D822" s="2">
        <v>1</v>
      </c>
      <c r="E822" s="4" t="s">
        <v>5144</v>
      </c>
      <c r="F822" s="4" t="s">
        <v>4211</v>
      </c>
      <c r="G822" s="4" t="s">
        <v>3661</v>
      </c>
      <c r="H822" s="55">
        <v>1504.0799560546875</v>
      </c>
      <c r="I822" s="56"/>
      <c r="J822" s="56"/>
      <c r="K822" s="78"/>
      <c r="L822" s="57"/>
      <c r="M822" s="57"/>
    </row>
    <row r="823" spans="1:13" ht="15" customHeight="1">
      <c r="A823" s="73" t="s">
        <v>5145</v>
      </c>
      <c r="B823" s="2">
        <v>16765</v>
      </c>
      <c r="C823" s="2" t="s">
        <v>5146</v>
      </c>
      <c r="D823" s="2">
        <v>1</v>
      </c>
      <c r="E823" s="4" t="s">
        <v>4264</v>
      </c>
      <c r="F823" s="4" t="s">
        <v>4301</v>
      </c>
      <c r="G823" s="4" t="s">
        <v>3883</v>
      </c>
      <c r="H823" s="55">
        <v>104605</v>
      </c>
      <c r="I823" s="56"/>
      <c r="J823" s="56"/>
      <c r="K823" s="78"/>
      <c r="L823" s="57"/>
      <c r="M823" s="57"/>
    </row>
    <row r="824" spans="1:13" ht="15" customHeight="1">
      <c r="A824" s="73"/>
      <c r="B824" s="2"/>
      <c r="C824" s="2" t="s">
        <v>5147</v>
      </c>
      <c r="D824" s="2">
        <v>1</v>
      </c>
      <c r="E824" s="4"/>
      <c r="F824" s="4"/>
      <c r="G824" s="4"/>
      <c r="H824" s="55"/>
      <c r="I824" s="56"/>
      <c r="J824" s="56"/>
      <c r="K824" s="78"/>
      <c r="L824" s="57"/>
      <c r="M824" s="57"/>
    </row>
    <row r="825" spans="1:13" ht="15" customHeight="1">
      <c r="A825" s="73"/>
      <c r="B825" s="2"/>
      <c r="C825" s="2" t="s">
        <v>5130</v>
      </c>
      <c r="D825" s="2">
        <v>1</v>
      </c>
      <c r="E825" s="4"/>
      <c r="F825" s="4"/>
      <c r="G825" s="4"/>
      <c r="H825" s="55"/>
      <c r="I825" s="56"/>
      <c r="J825" s="56"/>
      <c r="K825" s="78"/>
      <c r="L825" s="57"/>
      <c r="M825" s="57"/>
    </row>
    <row r="826" spans="1:13" ht="15" customHeight="1">
      <c r="A826" s="73"/>
      <c r="B826" s="2"/>
      <c r="C826" s="2" t="s">
        <v>5148</v>
      </c>
      <c r="D826" s="2">
        <v>1</v>
      </c>
      <c r="E826" s="4"/>
      <c r="F826" s="4"/>
      <c r="G826" s="4"/>
      <c r="H826" s="55"/>
      <c r="I826" s="56"/>
      <c r="J826" s="56"/>
      <c r="K826" s="78"/>
      <c r="L826" s="57"/>
      <c r="M826" s="57"/>
    </row>
    <row r="827" spans="1:13" ht="15" customHeight="1">
      <c r="A827" s="73"/>
      <c r="B827" s="2"/>
      <c r="C827" s="2" t="s">
        <v>5149</v>
      </c>
      <c r="D827" s="2">
        <v>1</v>
      </c>
      <c r="E827" s="4"/>
      <c r="F827" s="4"/>
      <c r="G827" s="4"/>
      <c r="H827" s="55"/>
      <c r="I827" s="56"/>
      <c r="J827" s="56"/>
      <c r="K827" s="78"/>
      <c r="L827" s="57"/>
      <c r="M827" s="57"/>
    </row>
    <row r="828" spans="1:13" ht="15" customHeight="1">
      <c r="A828" s="73"/>
      <c r="B828" s="2"/>
      <c r="C828" s="2" t="s">
        <v>4820</v>
      </c>
      <c r="D828" s="2">
        <v>1</v>
      </c>
      <c r="E828" s="4"/>
      <c r="F828" s="4"/>
      <c r="G828" s="4"/>
      <c r="H828" s="55"/>
      <c r="I828" s="56"/>
      <c r="J828" s="56"/>
      <c r="K828" s="78"/>
      <c r="L828" s="57"/>
      <c r="M828" s="57"/>
    </row>
    <row r="829" spans="1:13" ht="15" customHeight="1">
      <c r="A829" s="73"/>
      <c r="B829" s="2"/>
      <c r="C829" s="2" t="s">
        <v>4821</v>
      </c>
      <c r="D829" s="2">
        <v>1</v>
      </c>
      <c r="E829" s="4"/>
      <c r="F829" s="4"/>
      <c r="G829" s="4"/>
      <c r="H829" s="55"/>
      <c r="I829" s="56"/>
      <c r="J829" s="56"/>
      <c r="K829" s="78"/>
      <c r="L829" s="57"/>
      <c r="M829" s="57"/>
    </row>
    <row r="830" spans="1:13" ht="15" customHeight="1">
      <c r="A830" s="73"/>
      <c r="B830" s="2"/>
      <c r="C830" s="2" t="s">
        <v>5150</v>
      </c>
      <c r="D830" s="2">
        <v>2</v>
      </c>
      <c r="E830" s="4"/>
      <c r="F830" s="4"/>
      <c r="G830" s="4"/>
      <c r="H830" s="55"/>
      <c r="I830" s="56"/>
      <c r="J830" s="56"/>
      <c r="K830" s="78"/>
      <c r="L830" s="57"/>
      <c r="M830" s="57"/>
    </row>
    <row r="831" spans="1:13" ht="15" customHeight="1">
      <c r="A831" s="73"/>
      <c r="B831" s="2"/>
      <c r="C831" s="2" t="s">
        <v>5151</v>
      </c>
      <c r="D831" s="2">
        <v>2</v>
      </c>
      <c r="E831" s="4"/>
      <c r="F831" s="4"/>
      <c r="G831" s="4"/>
      <c r="H831" s="55"/>
      <c r="I831" s="56"/>
      <c r="J831" s="56"/>
      <c r="K831" s="78"/>
      <c r="L831" s="57"/>
      <c r="M831" s="57"/>
    </row>
    <row r="832" spans="1:13" ht="15" customHeight="1">
      <c r="A832" s="73"/>
      <c r="B832" s="2"/>
      <c r="C832" s="2" t="s">
        <v>5152</v>
      </c>
      <c r="D832" s="2">
        <v>10</v>
      </c>
      <c r="E832" s="4"/>
      <c r="F832" s="4"/>
      <c r="G832" s="4"/>
      <c r="H832" s="55"/>
      <c r="I832" s="56"/>
      <c r="J832" s="56"/>
      <c r="K832" s="78"/>
      <c r="L832" s="57"/>
      <c r="M832" s="57"/>
    </row>
    <row r="833" spans="1:13" ht="15" customHeight="1">
      <c r="A833" s="73"/>
      <c r="B833" s="2"/>
      <c r="C833" s="2" t="s">
        <v>5153</v>
      </c>
      <c r="D833" s="2">
        <v>2</v>
      </c>
      <c r="E833" s="4"/>
      <c r="F833" s="4"/>
      <c r="G833" s="4"/>
      <c r="H833" s="55"/>
      <c r="I833" s="56"/>
      <c r="J833" s="56"/>
      <c r="K833" s="78"/>
      <c r="L833" s="57"/>
      <c r="M833" s="57"/>
    </row>
    <row r="834" spans="1:13" ht="15" customHeight="1">
      <c r="A834" s="73"/>
      <c r="B834" s="2"/>
      <c r="C834" s="2" t="s">
        <v>5154</v>
      </c>
      <c r="D834" s="2">
        <v>2</v>
      </c>
      <c r="E834" s="4"/>
      <c r="F834" s="4"/>
      <c r="G834" s="4"/>
      <c r="H834" s="55"/>
      <c r="I834" s="56"/>
      <c r="J834" s="56"/>
      <c r="K834" s="78"/>
      <c r="L834" s="57"/>
      <c r="M834" s="57"/>
    </row>
    <row r="835" spans="1:13" ht="15" customHeight="1">
      <c r="A835" s="73"/>
      <c r="B835" s="2"/>
      <c r="C835" s="2" t="s">
        <v>5155</v>
      </c>
      <c r="D835" s="2">
        <v>1</v>
      </c>
      <c r="E835" s="4"/>
      <c r="F835" s="4"/>
      <c r="G835" s="4"/>
      <c r="H835" s="55"/>
      <c r="I835" s="56"/>
      <c r="J835" s="56"/>
      <c r="K835" s="78"/>
      <c r="L835" s="57"/>
      <c r="M835" s="57"/>
    </row>
    <row r="836" spans="1:13" ht="15" customHeight="1">
      <c r="A836" s="73" t="s">
        <v>5145</v>
      </c>
      <c r="B836" s="2">
        <v>16766</v>
      </c>
      <c r="C836" s="2" t="s">
        <v>5156</v>
      </c>
      <c r="D836" s="2">
        <v>1</v>
      </c>
      <c r="E836" s="4" t="s">
        <v>4264</v>
      </c>
      <c r="F836" s="4" t="s">
        <v>4301</v>
      </c>
      <c r="G836" s="4" t="s">
        <v>3883</v>
      </c>
      <c r="H836" s="55">
        <v>176740</v>
      </c>
      <c r="I836" s="56"/>
      <c r="J836" s="56"/>
      <c r="K836" s="78"/>
      <c r="L836" s="57"/>
      <c r="M836" s="57"/>
    </row>
    <row r="837" spans="1:13" ht="15" customHeight="1">
      <c r="A837" s="73"/>
      <c r="B837" s="2"/>
      <c r="C837" s="2" t="s">
        <v>5157</v>
      </c>
      <c r="D837" s="2">
        <v>1</v>
      </c>
      <c r="E837" s="4"/>
      <c r="F837" s="4"/>
      <c r="G837" s="4"/>
      <c r="H837" s="55"/>
      <c r="I837" s="56"/>
      <c r="J837" s="56"/>
      <c r="K837" s="78"/>
      <c r="L837" s="57"/>
      <c r="M837" s="57"/>
    </row>
    <row r="838" spans="1:13" ht="15" customHeight="1">
      <c r="A838" s="73"/>
      <c r="B838" s="2"/>
      <c r="C838" s="2" t="s">
        <v>5158</v>
      </c>
      <c r="D838" s="2">
        <v>1</v>
      </c>
      <c r="E838" s="4"/>
      <c r="F838" s="4"/>
      <c r="G838" s="4"/>
      <c r="H838" s="55"/>
      <c r="I838" s="56"/>
      <c r="J838" s="56"/>
      <c r="K838" s="78"/>
      <c r="L838" s="57"/>
      <c r="M838" s="57"/>
    </row>
    <row r="839" spans="1:13" ht="15" customHeight="1">
      <c r="A839" s="73"/>
      <c r="B839" s="2"/>
      <c r="C839" s="2" t="s">
        <v>5159</v>
      </c>
      <c r="D839" s="2">
        <v>1</v>
      </c>
      <c r="E839" s="4"/>
      <c r="F839" s="4"/>
      <c r="G839" s="4"/>
      <c r="H839" s="55"/>
      <c r="I839" s="56"/>
      <c r="J839" s="56"/>
      <c r="K839" s="78"/>
      <c r="L839" s="57"/>
      <c r="M839" s="57"/>
    </row>
    <row r="840" spans="1:13" ht="15" customHeight="1">
      <c r="A840" s="73"/>
      <c r="B840" s="2"/>
      <c r="C840" s="2" t="s">
        <v>5130</v>
      </c>
      <c r="D840" s="2">
        <v>1</v>
      </c>
      <c r="E840" s="4"/>
      <c r="F840" s="4"/>
      <c r="G840" s="4"/>
      <c r="H840" s="55"/>
      <c r="I840" s="56"/>
      <c r="J840" s="56"/>
      <c r="K840" s="78"/>
      <c r="L840" s="57"/>
      <c r="M840" s="57"/>
    </row>
    <row r="841" spans="1:13" ht="15" customHeight="1">
      <c r="A841" s="73"/>
      <c r="B841" s="2"/>
      <c r="C841" s="2" t="s">
        <v>4821</v>
      </c>
      <c r="D841" s="2">
        <v>1</v>
      </c>
      <c r="E841" s="4"/>
      <c r="F841" s="4"/>
      <c r="G841" s="4"/>
      <c r="H841" s="55"/>
      <c r="I841" s="56"/>
      <c r="J841" s="56"/>
      <c r="K841" s="78"/>
      <c r="L841" s="57"/>
      <c r="M841" s="57"/>
    </row>
    <row r="842" spans="1:13" ht="15" customHeight="1">
      <c r="A842" s="73"/>
      <c r="B842" s="2"/>
      <c r="C842" s="2" t="s">
        <v>5160</v>
      </c>
      <c r="D842" s="2">
        <v>1</v>
      </c>
      <c r="E842" s="4"/>
      <c r="F842" s="4"/>
      <c r="G842" s="4"/>
      <c r="H842" s="55"/>
      <c r="I842" s="56"/>
      <c r="J842" s="56"/>
      <c r="K842" s="78"/>
      <c r="L842" s="57"/>
      <c r="M842" s="57"/>
    </row>
    <row r="843" spans="1:13" ht="15" customHeight="1">
      <c r="A843" s="73"/>
      <c r="B843" s="2"/>
      <c r="C843" s="2" t="s">
        <v>5161</v>
      </c>
      <c r="D843" s="2">
        <v>1</v>
      </c>
      <c r="E843" s="4"/>
      <c r="F843" s="4"/>
      <c r="G843" s="4"/>
      <c r="H843" s="55"/>
      <c r="I843" s="56"/>
      <c r="J843" s="56"/>
      <c r="K843" s="78"/>
      <c r="L843" s="57"/>
      <c r="M843" s="57"/>
    </row>
    <row r="844" spans="1:13" ht="15" customHeight="1">
      <c r="A844" s="73"/>
      <c r="B844" s="2"/>
      <c r="C844" s="2" t="s">
        <v>5162</v>
      </c>
      <c r="D844" s="2">
        <v>1</v>
      </c>
      <c r="E844" s="4"/>
      <c r="F844" s="4"/>
      <c r="G844" s="4"/>
      <c r="H844" s="55"/>
      <c r="I844" s="56"/>
      <c r="J844" s="56"/>
      <c r="K844" s="78"/>
      <c r="L844" s="57"/>
      <c r="M844" s="57"/>
    </row>
    <row r="845" spans="1:13" ht="15" customHeight="1">
      <c r="A845" s="73"/>
      <c r="B845" s="2"/>
      <c r="C845" s="2" t="s">
        <v>5147</v>
      </c>
      <c r="D845" s="2">
        <v>1</v>
      </c>
      <c r="E845" s="4"/>
      <c r="F845" s="4"/>
      <c r="G845" s="4"/>
      <c r="H845" s="55"/>
      <c r="I845" s="56"/>
      <c r="J845" s="56"/>
      <c r="K845" s="78"/>
      <c r="L845" s="57"/>
      <c r="M845" s="57"/>
    </row>
    <row r="846" spans="1:13" ht="15" customHeight="1">
      <c r="A846" s="73"/>
      <c r="B846" s="2"/>
      <c r="C846" s="2" t="s">
        <v>4821</v>
      </c>
      <c r="D846" s="2">
        <v>1</v>
      </c>
      <c r="E846" s="4"/>
      <c r="F846" s="4"/>
      <c r="G846" s="4"/>
      <c r="H846" s="55"/>
      <c r="I846" s="56"/>
      <c r="J846" s="56"/>
      <c r="K846" s="78"/>
      <c r="L846" s="57"/>
      <c r="M846" s="57"/>
    </row>
    <row r="847" spans="1:13" ht="15" customHeight="1">
      <c r="A847" s="73" t="s">
        <v>5145</v>
      </c>
      <c r="B847" s="2">
        <v>16767</v>
      </c>
      <c r="C847" s="2" t="s">
        <v>5163</v>
      </c>
      <c r="D847" s="2">
        <v>146.16000366210938</v>
      </c>
      <c r="E847" s="4" t="s">
        <v>5094</v>
      </c>
      <c r="F847" s="4" t="s">
        <v>4211</v>
      </c>
      <c r="G847" s="4" t="s">
        <v>3692</v>
      </c>
      <c r="H847" s="55">
        <v>419358.28125</v>
      </c>
      <c r="I847" s="56"/>
      <c r="J847" s="56"/>
      <c r="K847" s="78"/>
      <c r="L847" s="57"/>
      <c r="M847" s="57"/>
    </row>
    <row r="848" spans="1:13" ht="15" customHeight="1">
      <c r="A848" s="73"/>
      <c r="B848" s="2"/>
      <c r="C848" s="2" t="s">
        <v>5164</v>
      </c>
      <c r="D848" s="2">
        <v>475</v>
      </c>
      <c r="E848" s="4"/>
      <c r="F848" s="4"/>
      <c r="G848" s="4"/>
      <c r="H848" s="55"/>
      <c r="I848" s="56"/>
      <c r="J848" s="56"/>
      <c r="K848" s="78"/>
      <c r="L848" s="57"/>
      <c r="M848" s="57"/>
    </row>
    <row r="849" spans="1:13" ht="15" customHeight="1">
      <c r="A849" s="73"/>
      <c r="B849" s="2"/>
      <c r="C849" s="2" t="s">
        <v>5165</v>
      </c>
      <c r="D849" s="2">
        <v>5.3000001907348633</v>
      </c>
      <c r="E849" s="4"/>
      <c r="F849" s="4"/>
      <c r="G849" s="4"/>
      <c r="H849" s="55"/>
      <c r="I849" s="56"/>
      <c r="J849" s="56"/>
      <c r="K849" s="78"/>
      <c r="L849" s="57"/>
      <c r="M849" s="57"/>
    </row>
    <row r="850" spans="1:13" ht="15" customHeight="1">
      <c r="A850" s="73" t="s">
        <v>5168</v>
      </c>
      <c r="B850" s="2">
        <v>16768</v>
      </c>
      <c r="C850" s="2" t="s">
        <v>5166</v>
      </c>
      <c r="D850" s="2">
        <v>1</v>
      </c>
      <c r="E850" s="4" t="s">
        <v>5167</v>
      </c>
      <c r="F850" s="4" t="s">
        <v>4259</v>
      </c>
      <c r="G850" s="4" t="s">
        <v>548</v>
      </c>
      <c r="H850" s="55">
        <v>115000</v>
      </c>
      <c r="I850" s="56"/>
      <c r="J850" s="56"/>
      <c r="K850" s="78"/>
      <c r="L850" s="57"/>
      <c r="M850" s="57"/>
    </row>
    <row r="851" spans="1:13" ht="15" customHeight="1">
      <c r="A851" s="73" t="s">
        <v>5170</v>
      </c>
      <c r="B851" s="2">
        <v>16769</v>
      </c>
      <c r="C851" s="2" t="s">
        <v>5169</v>
      </c>
      <c r="D851" s="2">
        <v>20</v>
      </c>
      <c r="E851" s="4" t="s">
        <v>4246</v>
      </c>
      <c r="F851" s="4" t="s">
        <v>4211</v>
      </c>
      <c r="G851" s="4" t="s">
        <v>4175</v>
      </c>
      <c r="H851" s="55">
        <v>15500</v>
      </c>
      <c r="I851" s="56"/>
      <c r="J851" s="56"/>
      <c r="K851" s="78"/>
      <c r="L851" s="57"/>
      <c r="M851" s="57"/>
    </row>
    <row r="852" spans="1:13" ht="15" customHeight="1">
      <c r="A852" s="73" t="s">
        <v>5172</v>
      </c>
      <c r="B852" s="2">
        <v>16770</v>
      </c>
      <c r="C852" s="2" t="s">
        <v>5171</v>
      </c>
      <c r="D852" s="2">
        <v>1</v>
      </c>
      <c r="E852" s="4" t="s">
        <v>4246</v>
      </c>
      <c r="F852" s="4" t="s">
        <v>4211</v>
      </c>
      <c r="G852" s="4" t="s">
        <v>1753</v>
      </c>
      <c r="H852" s="55">
        <v>97.550003051757813</v>
      </c>
      <c r="I852" s="56"/>
      <c r="J852" s="56"/>
      <c r="K852" s="78"/>
      <c r="L852" s="57"/>
      <c r="M852" s="57"/>
    </row>
    <row r="853" spans="1:13" ht="15" customHeight="1">
      <c r="A853" s="73" t="s">
        <v>5174</v>
      </c>
      <c r="B853" s="2">
        <v>16771</v>
      </c>
      <c r="C853" s="2" t="s">
        <v>5173</v>
      </c>
      <c r="D853" s="2">
        <v>1</v>
      </c>
      <c r="E853" s="4" t="s">
        <v>4208</v>
      </c>
      <c r="F853" s="4" t="s">
        <v>4301</v>
      </c>
      <c r="G853" s="4" t="s">
        <v>1474</v>
      </c>
      <c r="H853" s="55">
        <v>1282</v>
      </c>
      <c r="I853" s="56"/>
      <c r="J853" s="56"/>
      <c r="K853" s="78"/>
      <c r="L853" s="57"/>
      <c r="M853" s="57"/>
    </row>
    <row r="854" spans="1:13" ht="15" customHeight="1">
      <c r="A854" s="73" t="s">
        <v>5174</v>
      </c>
      <c r="B854" s="2">
        <v>16772</v>
      </c>
      <c r="C854" s="2" t="s">
        <v>5175</v>
      </c>
      <c r="D854" s="2">
        <v>15</v>
      </c>
      <c r="E854" s="4" t="s">
        <v>4246</v>
      </c>
      <c r="F854" s="4" t="s">
        <v>4211</v>
      </c>
      <c r="G854" s="4" t="s">
        <v>2402</v>
      </c>
      <c r="H854" s="55">
        <v>0</v>
      </c>
      <c r="I854" s="56"/>
      <c r="J854" s="56"/>
      <c r="K854" s="78"/>
      <c r="L854" s="57"/>
      <c r="M854" s="57"/>
    </row>
    <row r="855" spans="1:13" ht="15" customHeight="1">
      <c r="A855" s="73"/>
      <c r="B855" s="2"/>
      <c r="C855" s="2" t="s">
        <v>5176</v>
      </c>
      <c r="D855" s="2">
        <v>2</v>
      </c>
      <c r="E855" s="4"/>
      <c r="F855" s="4"/>
      <c r="G855" s="4"/>
      <c r="H855" s="55"/>
      <c r="I855" s="56"/>
      <c r="J855" s="56"/>
      <c r="K855" s="78"/>
      <c r="L855" s="57"/>
      <c r="M855" s="57"/>
    </row>
    <row r="856" spans="1:13" ht="15" customHeight="1">
      <c r="A856" s="73" t="s">
        <v>5178</v>
      </c>
      <c r="B856" s="2">
        <v>16773</v>
      </c>
      <c r="C856" s="2" t="s">
        <v>5177</v>
      </c>
      <c r="D856" s="2">
        <v>2000</v>
      </c>
      <c r="E856" s="4" t="s">
        <v>4208</v>
      </c>
      <c r="F856" s="4" t="s">
        <v>4414</v>
      </c>
      <c r="G856" s="4" t="s">
        <v>3951</v>
      </c>
      <c r="H856" s="55">
        <v>886000</v>
      </c>
      <c r="I856" s="56"/>
      <c r="J856" s="56"/>
      <c r="K856" s="78"/>
      <c r="L856" s="57"/>
      <c r="M856" s="57"/>
    </row>
    <row r="857" spans="1:13" ht="15" customHeight="1">
      <c r="A857" s="73">
        <v>44967</v>
      </c>
      <c r="B857" s="2">
        <v>16774</v>
      </c>
      <c r="C857" s="2" t="s">
        <v>5179</v>
      </c>
      <c r="D857" s="2">
        <v>66</v>
      </c>
      <c r="E857" s="4" t="s">
        <v>5180</v>
      </c>
      <c r="F857" s="4" t="s">
        <v>4207</v>
      </c>
      <c r="G857" s="4" t="s">
        <v>3295</v>
      </c>
      <c r="H857" s="55">
        <v>3643200</v>
      </c>
      <c r="I857" s="56"/>
      <c r="J857" s="56"/>
      <c r="K857" s="78"/>
      <c r="L857" s="57"/>
      <c r="M857" s="57"/>
    </row>
    <row r="858" spans="1:13" ht="15" customHeight="1">
      <c r="A858" s="73">
        <v>44967</v>
      </c>
      <c r="B858" s="2">
        <v>16775</v>
      </c>
      <c r="C858" s="2" t="s">
        <v>4670</v>
      </c>
      <c r="D858" s="2">
        <v>10.5</v>
      </c>
      <c r="E858" s="4" t="s">
        <v>4218</v>
      </c>
      <c r="F858" s="4" t="s">
        <v>4207</v>
      </c>
      <c r="G858" s="4" t="s">
        <v>3295</v>
      </c>
      <c r="H858" s="61">
        <v>473550</v>
      </c>
      <c r="I858" s="62"/>
      <c r="J858" s="62"/>
      <c r="K858" s="78"/>
      <c r="L858" s="57"/>
      <c r="M858" s="57"/>
    </row>
    <row r="859" spans="1:13" ht="15" customHeight="1">
      <c r="A859" s="73">
        <v>44967</v>
      </c>
      <c r="B859" s="2">
        <v>16776</v>
      </c>
      <c r="C859" s="2" t="s">
        <v>4670</v>
      </c>
      <c r="D859" s="2">
        <v>8</v>
      </c>
      <c r="E859" s="4" t="s">
        <v>4974</v>
      </c>
      <c r="F859" s="4" t="s">
        <v>4217</v>
      </c>
      <c r="G859" s="4" t="s">
        <v>3295</v>
      </c>
      <c r="H859" s="55">
        <v>360800</v>
      </c>
      <c r="I859" s="56"/>
      <c r="J859" s="56"/>
      <c r="K859" s="78"/>
      <c r="L859" s="57"/>
      <c r="M859" s="57"/>
    </row>
    <row r="860" spans="1:13" ht="15" customHeight="1">
      <c r="A860" s="73">
        <v>44967</v>
      </c>
      <c r="B860" s="2">
        <v>16777</v>
      </c>
      <c r="C860" s="2" t="s">
        <v>4642</v>
      </c>
      <c r="D860" s="2">
        <v>124</v>
      </c>
      <c r="E860" s="4" t="s">
        <v>5181</v>
      </c>
      <c r="F860" s="4" t="s">
        <v>4217</v>
      </c>
      <c r="G860" s="4" t="s">
        <v>3295</v>
      </c>
      <c r="H860" s="55">
        <v>6448000</v>
      </c>
      <c r="I860" s="56"/>
      <c r="J860" s="56"/>
      <c r="K860" s="78"/>
      <c r="L860" s="57"/>
      <c r="M860" s="57"/>
    </row>
    <row r="861" spans="1:13" ht="15" customHeight="1">
      <c r="A861" s="73">
        <v>45056</v>
      </c>
      <c r="B861" s="2">
        <v>16778</v>
      </c>
      <c r="C861" s="2" t="s">
        <v>5182</v>
      </c>
      <c r="D861" s="2">
        <v>169</v>
      </c>
      <c r="E861" s="4" t="s">
        <v>4792</v>
      </c>
      <c r="F861" s="4" t="s">
        <v>4211</v>
      </c>
      <c r="G861" s="4" t="s">
        <v>4124</v>
      </c>
      <c r="H861" s="55">
        <v>169855</v>
      </c>
      <c r="I861" s="56"/>
      <c r="J861" s="56"/>
      <c r="K861" s="78"/>
      <c r="L861" s="57"/>
      <c r="M861" s="57"/>
    </row>
    <row r="862" spans="1:13" ht="15" customHeight="1">
      <c r="A862" s="73"/>
      <c r="B862" s="2"/>
      <c r="C862" s="2" t="s">
        <v>5183</v>
      </c>
      <c r="D862" s="2">
        <v>2</v>
      </c>
      <c r="E862" s="4"/>
      <c r="F862" s="4"/>
      <c r="G862" s="4"/>
      <c r="H862" s="55"/>
      <c r="I862" s="56"/>
      <c r="J862" s="56"/>
      <c r="K862" s="78"/>
      <c r="L862" s="57"/>
      <c r="M862" s="57"/>
    </row>
    <row r="863" spans="1:13" ht="15" customHeight="1">
      <c r="A863" s="73">
        <v>45056</v>
      </c>
      <c r="B863" s="2">
        <v>16779</v>
      </c>
      <c r="C863" s="2" t="s">
        <v>5184</v>
      </c>
      <c r="D863" s="2">
        <v>2004</v>
      </c>
      <c r="E863" s="4" t="s">
        <v>4264</v>
      </c>
      <c r="F863" s="4" t="s">
        <v>4207</v>
      </c>
      <c r="G863" s="4" t="s">
        <v>1793</v>
      </c>
      <c r="H863" s="55">
        <v>3911100</v>
      </c>
      <c r="I863" s="56"/>
      <c r="J863" s="56"/>
      <c r="K863" s="78"/>
      <c r="L863" s="57"/>
      <c r="M863" s="57"/>
    </row>
    <row r="864" spans="1:13" ht="15" customHeight="1">
      <c r="A864" s="73"/>
      <c r="B864" s="2"/>
      <c r="C864" s="2" t="s">
        <v>5185</v>
      </c>
      <c r="D864" s="2">
        <v>1200</v>
      </c>
      <c r="E864" s="4"/>
      <c r="F864" s="4"/>
      <c r="G864" s="4"/>
      <c r="H864" s="55"/>
      <c r="I864" s="56"/>
      <c r="J864" s="56"/>
      <c r="K864" s="78"/>
      <c r="L864" s="57"/>
      <c r="M864" s="57"/>
    </row>
    <row r="865" spans="1:13" ht="15" customHeight="1">
      <c r="A865" s="73">
        <v>45087</v>
      </c>
      <c r="B865" s="2">
        <v>16780</v>
      </c>
      <c r="C865" s="2" t="s">
        <v>5186</v>
      </c>
      <c r="D865" s="2">
        <v>121.51999664306641</v>
      </c>
      <c r="E865" s="4" t="s">
        <v>5190</v>
      </c>
      <c r="F865" s="4" t="s">
        <v>4259</v>
      </c>
      <c r="G865" s="4" t="s">
        <v>3692</v>
      </c>
      <c r="H865" s="55">
        <v>291502.96875</v>
      </c>
      <c r="I865" s="56"/>
      <c r="J865" s="56"/>
      <c r="K865" s="78"/>
      <c r="L865" s="57"/>
      <c r="M865" s="57"/>
    </row>
    <row r="866" spans="1:13" ht="15" customHeight="1">
      <c r="A866" s="73"/>
      <c r="B866" s="2"/>
      <c r="C866" s="2" t="s">
        <v>5187</v>
      </c>
      <c r="D866" s="2">
        <v>30.399999618530273</v>
      </c>
      <c r="E866" s="4"/>
      <c r="F866" s="4"/>
      <c r="G866" s="4"/>
      <c r="H866" s="55"/>
      <c r="I866" s="56"/>
      <c r="J866" s="56"/>
      <c r="K866" s="78"/>
      <c r="L866" s="57"/>
      <c r="M866" s="57"/>
    </row>
    <row r="867" spans="1:13" ht="15" customHeight="1">
      <c r="A867" s="73"/>
      <c r="B867" s="2"/>
      <c r="C867" s="2" t="s">
        <v>5188</v>
      </c>
      <c r="D867" s="2">
        <v>17.120000839233398</v>
      </c>
      <c r="E867" s="4"/>
      <c r="F867" s="4"/>
      <c r="G867" s="4"/>
      <c r="H867" s="55"/>
      <c r="I867" s="56"/>
      <c r="J867" s="56"/>
      <c r="K867" s="78"/>
      <c r="L867" s="57"/>
      <c r="M867" s="57"/>
    </row>
    <row r="868" spans="1:13" ht="15" customHeight="1">
      <c r="A868" s="73"/>
      <c r="B868" s="2"/>
      <c r="C868" s="2" t="s">
        <v>5189</v>
      </c>
      <c r="D868" s="2">
        <v>187.19999694824219</v>
      </c>
      <c r="E868" s="4"/>
      <c r="F868" s="4"/>
      <c r="G868" s="4"/>
      <c r="H868" s="55"/>
      <c r="I868" s="56"/>
      <c r="J868" s="56"/>
      <c r="K868" s="78"/>
      <c r="L868" s="57"/>
      <c r="M868" s="57"/>
    </row>
    <row r="869" spans="1:13" ht="15" customHeight="1">
      <c r="A869" s="73">
        <v>45087</v>
      </c>
      <c r="B869" s="2">
        <v>16781</v>
      </c>
      <c r="C869" s="2" t="s">
        <v>5191</v>
      </c>
      <c r="D869" s="2">
        <v>27.450000762939453</v>
      </c>
      <c r="E869" s="4" t="s">
        <v>5192</v>
      </c>
      <c r="F869" s="4" t="s">
        <v>4259</v>
      </c>
      <c r="G869" s="4" t="s">
        <v>3692</v>
      </c>
      <c r="H869" s="55">
        <v>21027.60546875</v>
      </c>
      <c r="I869" s="56"/>
      <c r="J869" s="56"/>
      <c r="K869" s="78"/>
      <c r="L869" s="57"/>
      <c r="M869" s="57"/>
    </row>
    <row r="870" spans="1:13" ht="15" customHeight="1">
      <c r="A870" s="73">
        <v>45087</v>
      </c>
      <c r="B870" s="2">
        <v>16782</v>
      </c>
      <c r="C870" s="2" t="s">
        <v>5193</v>
      </c>
      <c r="D870" s="2">
        <v>1</v>
      </c>
      <c r="E870" s="4" t="s">
        <v>5190</v>
      </c>
      <c r="F870" s="4" t="s">
        <v>4259</v>
      </c>
      <c r="G870" s="4" t="s">
        <v>2330</v>
      </c>
      <c r="H870" s="55">
        <v>40000</v>
      </c>
      <c r="I870" s="56"/>
      <c r="J870" s="56"/>
      <c r="K870" s="78"/>
      <c r="L870" s="57"/>
      <c r="M870" s="57"/>
    </row>
    <row r="871" spans="1:13" ht="15" customHeight="1">
      <c r="A871" s="73">
        <v>45179</v>
      </c>
      <c r="B871" s="2">
        <v>16783</v>
      </c>
      <c r="C871" s="2" t="s">
        <v>5194</v>
      </c>
      <c r="D871" s="2">
        <v>6</v>
      </c>
      <c r="E871" s="4" t="s">
        <v>4412</v>
      </c>
      <c r="F871" s="4" t="s">
        <v>4211</v>
      </c>
      <c r="G871" s="4" t="s">
        <v>655</v>
      </c>
      <c r="H871" s="55">
        <v>93322.3203125</v>
      </c>
      <c r="I871" s="56"/>
      <c r="J871" s="56"/>
      <c r="K871" s="78"/>
      <c r="L871" s="57"/>
      <c r="M871" s="57"/>
    </row>
    <row r="872" spans="1:13" ht="15" customHeight="1">
      <c r="A872" s="73"/>
      <c r="B872" s="2"/>
      <c r="C872" s="2" t="s">
        <v>5195</v>
      </c>
      <c r="D872" s="2">
        <v>6</v>
      </c>
      <c r="E872" s="4"/>
      <c r="F872" s="4"/>
      <c r="G872" s="4"/>
      <c r="H872" s="55"/>
      <c r="I872" s="56"/>
      <c r="J872" s="56"/>
      <c r="K872" s="78"/>
      <c r="L872" s="57"/>
      <c r="M872" s="57"/>
    </row>
    <row r="873" spans="1:13" ht="15" customHeight="1">
      <c r="A873" s="73">
        <v>45209</v>
      </c>
      <c r="B873" s="2">
        <v>16784</v>
      </c>
      <c r="C873" s="2" t="s">
        <v>5196</v>
      </c>
      <c r="D873" s="2">
        <v>14</v>
      </c>
      <c r="E873" s="4" t="s">
        <v>4218</v>
      </c>
      <c r="F873" s="4" t="s">
        <v>4220</v>
      </c>
      <c r="G873" s="4" t="s">
        <v>4019</v>
      </c>
      <c r="H873" s="61">
        <v>9925</v>
      </c>
      <c r="I873" s="62"/>
      <c r="J873" s="62"/>
      <c r="K873" s="78"/>
      <c r="L873" s="57"/>
      <c r="M873" s="57"/>
    </row>
    <row r="874" spans="1:13" ht="15" customHeight="1">
      <c r="A874" s="73">
        <v>45240</v>
      </c>
      <c r="B874" s="2">
        <v>16785</v>
      </c>
      <c r="C874" s="2" t="s">
        <v>5199</v>
      </c>
      <c r="D874" s="2">
        <v>1</v>
      </c>
      <c r="E874" s="4" t="s">
        <v>5200</v>
      </c>
      <c r="F874" s="4" t="s">
        <v>4220</v>
      </c>
      <c r="G874" s="4" t="s">
        <v>3661</v>
      </c>
      <c r="H874" s="55">
        <v>4391.41015625</v>
      </c>
      <c r="I874" s="56"/>
      <c r="J874" s="56"/>
      <c r="K874" s="78"/>
      <c r="L874" s="57"/>
      <c r="M874" s="57"/>
    </row>
    <row r="875" spans="1:13" ht="15" customHeight="1">
      <c r="A875" s="73"/>
      <c r="B875" s="2"/>
      <c r="C875" s="2" t="s">
        <v>5196</v>
      </c>
      <c r="D875" s="2">
        <v>6</v>
      </c>
      <c r="E875" s="4"/>
      <c r="F875" s="4"/>
      <c r="G875" s="4"/>
      <c r="H875" s="55"/>
      <c r="I875" s="56"/>
      <c r="J875" s="56"/>
      <c r="K875" s="78"/>
      <c r="L875" s="57"/>
      <c r="M875" s="57"/>
    </row>
    <row r="876" spans="1:13" ht="15" customHeight="1">
      <c r="A876" s="73">
        <v>45240</v>
      </c>
      <c r="B876" s="2">
        <v>16786</v>
      </c>
      <c r="C876" s="2" t="s">
        <v>5201</v>
      </c>
      <c r="D876" s="2">
        <v>1</v>
      </c>
      <c r="E876" s="4" t="s">
        <v>5202</v>
      </c>
      <c r="F876" s="4" t="s">
        <v>4220</v>
      </c>
      <c r="G876" s="4" t="s">
        <v>3661</v>
      </c>
      <c r="H876" s="55">
        <v>2850.280029296875</v>
      </c>
      <c r="I876" s="56"/>
      <c r="J876" s="56"/>
      <c r="K876" s="78"/>
      <c r="L876" s="57"/>
      <c r="M876" s="57"/>
    </row>
    <row r="877" spans="1:13" ht="15" customHeight="1">
      <c r="A877" s="73"/>
      <c r="B877" s="2"/>
      <c r="C877" s="2" t="s">
        <v>5197</v>
      </c>
      <c r="D877" s="2">
        <v>48</v>
      </c>
      <c r="E877" s="4"/>
      <c r="F877" s="4"/>
      <c r="G877" s="4"/>
      <c r="H877" s="55"/>
      <c r="I877" s="56"/>
      <c r="J877" s="56"/>
      <c r="K877" s="78"/>
      <c r="L877" s="57"/>
      <c r="M877" s="57"/>
    </row>
    <row r="878" spans="1:13" ht="15" customHeight="1">
      <c r="A878" s="73"/>
      <c r="B878" s="2"/>
      <c r="C878" s="2" t="s">
        <v>5198</v>
      </c>
      <c r="D878" s="2">
        <v>16</v>
      </c>
      <c r="E878" s="4"/>
      <c r="F878" s="4"/>
      <c r="G878" s="4"/>
      <c r="H878" s="55"/>
      <c r="I878" s="56"/>
      <c r="J878" s="56"/>
      <c r="K878" s="78"/>
      <c r="L878" s="57"/>
      <c r="M878" s="57"/>
    </row>
    <row r="879" spans="1:13" ht="15" customHeight="1">
      <c r="A879" s="73">
        <v>45240</v>
      </c>
      <c r="B879" s="2">
        <v>16787</v>
      </c>
      <c r="C879" s="2" t="s">
        <v>5203</v>
      </c>
      <c r="D879" s="2">
        <v>1</v>
      </c>
      <c r="E879" s="4" t="s">
        <v>5200</v>
      </c>
      <c r="F879" s="4" t="s">
        <v>4220</v>
      </c>
      <c r="G879" s="4" t="s">
        <v>3661</v>
      </c>
      <c r="H879" s="55">
        <v>2363.760009765625</v>
      </c>
      <c r="I879" s="56"/>
      <c r="J879" s="56"/>
      <c r="K879" s="78"/>
      <c r="L879" s="57"/>
      <c r="M879" s="57"/>
    </row>
    <row r="880" spans="1:13" ht="15" customHeight="1">
      <c r="A880" s="73">
        <v>45270</v>
      </c>
      <c r="B880" s="2">
        <v>16788</v>
      </c>
      <c r="C880" s="2" t="s">
        <v>5204</v>
      </c>
      <c r="D880" s="2">
        <v>1</v>
      </c>
      <c r="E880" s="4" t="s">
        <v>4246</v>
      </c>
      <c r="F880" s="4" t="s">
        <v>4211</v>
      </c>
      <c r="G880" s="4" t="s">
        <v>1753</v>
      </c>
      <c r="H880" s="55">
        <v>277.94000244140625</v>
      </c>
      <c r="I880" s="56"/>
      <c r="J880" s="56"/>
      <c r="K880" s="78"/>
      <c r="L880" s="57"/>
      <c r="M880" s="57"/>
    </row>
    <row r="881" spans="1:13" ht="15" customHeight="1">
      <c r="A881" s="73"/>
      <c r="B881" s="2"/>
      <c r="C881" s="2" t="s">
        <v>5205</v>
      </c>
      <c r="D881" s="2">
        <v>6</v>
      </c>
      <c r="E881" s="4"/>
      <c r="F881" s="4"/>
      <c r="G881" s="4"/>
      <c r="H881" s="55"/>
      <c r="I881" s="56"/>
      <c r="J881" s="56"/>
      <c r="K881" s="78"/>
      <c r="L881" s="57"/>
      <c r="M881" s="57"/>
    </row>
    <row r="882" spans="1:13" ht="15" customHeight="1">
      <c r="A882" s="73" t="s">
        <v>5206</v>
      </c>
      <c r="B882" s="2">
        <v>16789</v>
      </c>
      <c r="C882" s="2" t="s">
        <v>5140</v>
      </c>
      <c r="D882" s="2">
        <v>120</v>
      </c>
      <c r="E882" s="4" t="s">
        <v>5141</v>
      </c>
      <c r="F882" s="4" t="s">
        <v>4259</v>
      </c>
      <c r="G882" s="4" t="s">
        <v>3295</v>
      </c>
      <c r="H882" s="55">
        <v>7104000</v>
      </c>
      <c r="I882" s="56"/>
      <c r="J882" s="56"/>
      <c r="K882" s="78"/>
      <c r="L882" s="57"/>
      <c r="M882" s="57"/>
    </row>
    <row r="883" spans="1:13" ht="15" customHeight="1">
      <c r="A883" s="73"/>
      <c r="B883" s="2"/>
      <c r="C883" s="2" t="s">
        <v>4713</v>
      </c>
      <c r="D883" s="2">
        <v>1</v>
      </c>
      <c r="E883" s="4"/>
      <c r="F883" s="4"/>
      <c r="G883" s="4"/>
      <c r="H883" s="55"/>
      <c r="I883" s="56"/>
      <c r="J883" s="56"/>
      <c r="K883" s="78"/>
      <c r="L883" s="57"/>
      <c r="M883" s="57"/>
    </row>
    <row r="884" spans="1:13" ht="15" customHeight="1">
      <c r="A884" s="73" t="s">
        <v>5206</v>
      </c>
      <c r="B884" s="2">
        <v>16790</v>
      </c>
      <c r="C884" s="2" t="s">
        <v>5207</v>
      </c>
      <c r="D884" s="2">
        <v>1</v>
      </c>
      <c r="E884" s="4" t="s">
        <v>4246</v>
      </c>
      <c r="F884" s="4" t="s">
        <v>5209</v>
      </c>
      <c r="G884" s="4" t="s">
        <v>1753</v>
      </c>
      <c r="H884" s="55">
        <v>150.80999755859375</v>
      </c>
      <c r="I884" s="56"/>
      <c r="J884" s="56"/>
      <c r="K884" s="78"/>
      <c r="L884" s="57"/>
      <c r="M884" s="57"/>
    </row>
    <row r="885" spans="1:13" ht="15" customHeight="1">
      <c r="A885" s="73"/>
      <c r="B885" s="2"/>
      <c r="C885" s="2" t="s">
        <v>4713</v>
      </c>
      <c r="D885" s="2">
        <v>1</v>
      </c>
      <c r="E885" s="4"/>
      <c r="F885" s="4"/>
      <c r="G885" s="4"/>
      <c r="H885" s="55"/>
      <c r="I885" s="56"/>
      <c r="J885" s="56"/>
      <c r="K885" s="78"/>
      <c r="L885" s="57"/>
      <c r="M885" s="57"/>
    </row>
    <row r="886" spans="1:13" ht="15" customHeight="1">
      <c r="A886" s="73" t="s">
        <v>5211</v>
      </c>
      <c r="B886" s="2">
        <v>16791</v>
      </c>
      <c r="C886" s="2" t="s">
        <v>5210</v>
      </c>
      <c r="D886" s="2">
        <v>1</v>
      </c>
      <c r="E886" s="4" t="s">
        <v>4246</v>
      </c>
      <c r="F886" s="4" t="s">
        <v>4211</v>
      </c>
      <c r="G886" s="4" t="s">
        <v>1753</v>
      </c>
      <c r="H886" s="55">
        <v>138.05000305175781</v>
      </c>
      <c r="I886" s="56"/>
      <c r="J886" s="56"/>
      <c r="K886" s="78"/>
      <c r="L886" s="57"/>
      <c r="M886" s="57"/>
    </row>
    <row r="887" spans="1:13" ht="15" customHeight="1">
      <c r="A887" s="73"/>
      <c r="B887" s="2"/>
      <c r="C887" s="2" t="s">
        <v>4713</v>
      </c>
      <c r="D887" s="2">
        <v>1</v>
      </c>
      <c r="E887" s="4"/>
      <c r="F887" s="4"/>
      <c r="G887" s="4"/>
      <c r="H887" s="55"/>
      <c r="I887" s="56"/>
      <c r="J887" s="56"/>
      <c r="K887" s="78"/>
      <c r="L887" s="57"/>
      <c r="M887" s="57"/>
    </row>
    <row r="888" spans="1:13" ht="15" customHeight="1">
      <c r="A888" s="73"/>
      <c r="B888" s="2"/>
      <c r="C888" s="2" t="s">
        <v>5208</v>
      </c>
      <c r="D888" s="2">
        <v>1</v>
      </c>
      <c r="E888" s="4"/>
      <c r="F888" s="4"/>
      <c r="G888" s="4"/>
      <c r="H888" s="55"/>
      <c r="I888" s="56"/>
      <c r="J888" s="56"/>
      <c r="K888" s="78"/>
      <c r="L888" s="57"/>
      <c r="M888" s="57"/>
    </row>
    <row r="889" spans="1:13" ht="15" customHeight="1">
      <c r="A889" s="73" t="s">
        <v>5213</v>
      </c>
      <c r="B889" s="2">
        <v>16792</v>
      </c>
      <c r="C889" s="2" t="s">
        <v>5212</v>
      </c>
      <c r="D889" s="2">
        <v>92</v>
      </c>
      <c r="E889" s="4" t="s">
        <v>4264</v>
      </c>
      <c r="F889" s="4" t="s">
        <v>4259</v>
      </c>
      <c r="G889" s="4" t="s">
        <v>3692</v>
      </c>
      <c r="H889" s="55">
        <v>2208000</v>
      </c>
      <c r="I889" s="56"/>
      <c r="J889" s="56"/>
      <c r="K889" s="78"/>
      <c r="L889" s="57"/>
      <c r="M889" s="57"/>
    </row>
    <row r="890" spans="1:13" ht="15" customHeight="1">
      <c r="A890" s="73" t="s">
        <v>5213</v>
      </c>
      <c r="B890" s="2">
        <v>16793</v>
      </c>
      <c r="C890" s="2" t="s">
        <v>5214</v>
      </c>
      <c r="D890" s="2">
        <v>92</v>
      </c>
      <c r="E890" s="4" t="s">
        <v>5215</v>
      </c>
      <c r="F890" s="4" t="s">
        <v>4259</v>
      </c>
      <c r="G890" s="4" t="s">
        <v>3692</v>
      </c>
      <c r="H890" s="55">
        <v>2208000</v>
      </c>
      <c r="I890" s="56"/>
      <c r="J890" s="56"/>
      <c r="K890" s="78"/>
      <c r="L890" s="57"/>
      <c r="M890" s="57"/>
    </row>
    <row r="891" spans="1:13" ht="15" customHeight="1">
      <c r="A891" s="73" t="s">
        <v>5221</v>
      </c>
      <c r="B891" s="2">
        <v>16794</v>
      </c>
      <c r="C891" s="2" t="s">
        <v>5219</v>
      </c>
      <c r="D891" s="2">
        <v>1</v>
      </c>
      <c r="E891" s="4" t="s">
        <v>5220</v>
      </c>
      <c r="F891" s="4" t="s">
        <v>4220</v>
      </c>
      <c r="G891" s="4" t="s">
        <v>5216</v>
      </c>
      <c r="H891" s="55">
        <v>1635000</v>
      </c>
      <c r="I891" s="56"/>
      <c r="J891" s="56"/>
      <c r="K891" s="78"/>
      <c r="L891" s="57"/>
      <c r="M891" s="57"/>
    </row>
    <row r="892" spans="1:13" ht="15" customHeight="1">
      <c r="A892" s="73" t="s">
        <v>5221</v>
      </c>
      <c r="B892" s="2">
        <v>16795</v>
      </c>
      <c r="C892" s="2" t="s">
        <v>5222</v>
      </c>
      <c r="D892" s="2">
        <v>240</v>
      </c>
      <c r="E892" s="4" t="s">
        <v>4246</v>
      </c>
      <c r="F892" s="4" t="s">
        <v>4245</v>
      </c>
      <c r="G892" s="4" t="s">
        <v>4194</v>
      </c>
      <c r="H892" s="55">
        <v>7200</v>
      </c>
      <c r="I892" s="56"/>
      <c r="J892" s="56"/>
      <c r="K892" s="78"/>
      <c r="L892" s="57"/>
      <c r="M892" s="57"/>
    </row>
    <row r="893" spans="1:13" ht="15" customHeight="1">
      <c r="A893" s="73" t="s">
        <v>5224</v>
      </c>
      <c r="B893" s="2">
        <v>16796</v>
      </c>
      <c r="C893" s="2" t="s">
        <v>4206</v>
      </c>
      <c r="D893" s="2">
        <v>150</v>
      </c>
      <c r="E893" s="4" t="s">
        <v>5223</v>
      </c>
      <c r="F893" s="4" t="s">
        <v>4217</v>
      </c>
      <c r="G893" s="4" t="s">
        <v>1338</v>
      </c>
      <c r="H893" s="55">
        <v>981450</v>
      </c>
      <c r="I893" s="56"/>
      <c r="J893" s="56"/>
      <c r="K893" s="78"/>
      <c r="L893" s="57"/>
      <c r="M893" s="57"/>
    </row>
    <row r="894" spans="1:13" ht="15" customHeight="1">
      <c r="A894" s="73" t="s">
        <v>5224</v>
      </c>
      <c r="B894" s="2">
        <v>16797</v>
      </c>
      <c r="C894" s="2" t="s">
        <v>5225</v>
      </c>
      <c r="D894" s="2">
        <v>4</v>
      </c>
      <c r="E894" s="4" t="s">
        <v>5226</v>
      </c>
      <c r="F894" s="4" t="s">
        <v>4212</v>
      </c>
      <c r="G894" s="4" t="s">
        <v>2734</v>
      </c>
      <c r="H894" s="55">
        <v>32733.279296875</v>
      </c>
      <c r="I894" s="56"/>
      <c r="J894" s="56"/>
      <c r="K894" s="78"/>
      <c r="L894" s="57"/>
      <c r="M894" s="57"/>
    </row>
    <row r="895" spans="1:13" ht="15" customHeight="1">
      <c r="A895" s="73" t="s">
        <v>5224</v>
      </c>
      <c r="B895" s="2">
        <v>16798</v>
      </c>
      <c r="C895" s="2" t="s">
        <v>5227</v>
      </c>
      <c r="D895" s="2">
        <v>1</v>
      </c>
      <c r="E895" s="4" t="s">
        <v>5228</v>
      </c>
      <c r="F895" s="4" t="s">
        <v>4212</v>
      </c>
      <c r="G895" s="4" t="s">
        <v>3661</v>
      </c>
      <c r="H895" s="55">
        <v>3256455</v>
      </c>
      <c r="I895" s="56"/>
      <c r="J895" s="56"/>
      <c r="K895" s="78"/>
      <c r="L895" s="57"/>
      <c r="M895" s="57"/>
    </row>
    <row r="896" spans="1:13" ht="15" customHeight="1">
      <c r="A896" s="73" t="s">
        <v>5230</v>
      </c>
      <c r="B896" s="2">
        <v>16799</v>
      </c>
      <c r="C896" s="2" t="s">
        <v>5229</v>
      </c>
      <c r="D896" s="2">
        <v>2</v>
      </c>
      <c r="E896" s="4" t="s">
        <v>4283</v>
      </c>
      <c r="F896" s="4" t="s">
        <v>4211</v>
      </c>
      <c r="G896" s="4" t="s">
        <v>3265</v>
      </c>
      <c r="H896" s="55">
        <v>231119.09375</v>
      </c>
      <c r="I896" s="56"/>
      <c r="J896" s="56"/>
      <c r="K896" s="78"/>
      <c r="L896" s="57"/>
      <c r="M896" s="57"/>
    </row>
    <row r="897" spans="1:13" ht="15" customHeight="1">
      <c r="A897" s="73" t="s">
        <v>5230</v>
      </c>
      <c r="B897" s="2">
        <v>16800</v>
      </c>
      <c r="C897" s="2" t="s">
        <v>5231</v>
      </c>
      <c r="D897" s="2">
        <v>1</v>
      </c>
      <c r="E897" s="4" t="s">
        <v>4371</v>
      </c>
      <c r="F897" s="4" t="s">
        <v>4309</v>
      </c>
      <c r="G897" s="4" t="s">
        <v>2338</v>
      </c>
      <c r="H897" s="55">
        <v>63300</v>
      </c>
      <c r="I897" s="56"/>
      <c r="J897" s="56"/>
      <c r="K897" s="78"/>
      <c r="L897" s="57"/>
      <c r="M897" s="57"/>
    </row>
    <row r="898" spans="1:13" ht="15" customHeight="1">
      <c r="A898" s="73"/>
      <c r="B898" s="2"/>
      <c r="C898" s="2" t="s">
        <v>5232</v>
      </c>
      <c r="D898" s="2">
        <v>1</v>
      </c>
      <c r="E898" s="4"/>
      <c r="F898" s="4"/>
      <c r="G898" s="4"/>
      <c r="H898" s="55"/>
      <c r="I898" s="56"/>
      <c r="J898" s="56"/>
      <c r="K898" s="78"/>
      <c r="L898" s="57"/>
      <c r="M898" s="57"/>
    </row>
    <row r="899" spans="1:13" ht="15" customHeight="1">
      <c r="A899" s="73" t="s">
        <v>5230</v>
      </c>
      <c r="B899" s="2">
        <v>16801</v>
      </c>
      <c r="C899" s="2" t="s">
        <v>4490</v>
      </c>
      <c r="D899" s="2">
        <v>4</v>
      </c>
      <c r="E899" s="4" t="s">
        <v>4371</v>
      </c>
      <c r="F899" s="4" t="s">
        <v>4309</v>
      </c>
      <c r="G899" s="4" t="s">
        <v>3547</v>
      </c>
      <c r="H899" s="55">
        <v>31660</v>
      </c>
      <c r="I899" s="56"/>
      <c r="J899" s="56"/>
      <c r="K899" s="78"/>
      <c r="L899" s="57"/>
      <c r="M899" s="57"/>
    </row>
    <row r="900" spans="1:13" ht="15" customHeight="1">
      <c r="A900" s="73"/>
      <c r="B900" s="2"/>
      <c r="C900" s="2" t="s">
        <v>5233</v>
      </c>
      <c r="D900" s="2">
        <v>5</v>
      </c>
      <c r="E900" s="4"/>
      <c r="F900" s="4"/>
      <c r="G900" s="4"/>
      <c r="H900" s="55"/>
      <c r="I900" s="56"/>
      <c r="J900" s="56"/>
      <c r="K900" s="78"/>
      <c r="L900" s="57"/>
      <c r="M900" s="57"/>
    </row>
    <row r="901" spans="1:13" ht="15" customHeight="1">
      <c r="A901" s="73"/>
      <c r="B901" s="2"/>
      <c r="C901" s="2" t="s">
        <v>5234</v>
      </c>
      <c r="D901" s="2">
        <v>10</v>
      </c>
      <c r="E901" s="4"/>
      <c r="F901" s="4"/>
      <c r="G901" s="4"/>
      <c r="H901" s="55"/>
      <c r="I901" s="56"/>
      <c r="J901" s="56"/>
      <c r="K901" s="78"/>
      <c r="L901" s="57"/>
      <c r="M901" s="57"/>
    </row>
    <row r="902" spans="1:13" ht="15" customHeight="1">
      <c r="A902" s="73"/>
      <c r="B902" s="2"/>
      <c r="C902" s="2" t="s">
        <v>5235</v>
      </c>
      <c r="D902" s="2">
        <v>10</v>
      </c>
      <c r="E902" s="4"/>
      <c r="F902" s="4"/>
      <c r="G902" s="4"/>
      <c r="H902" s="55"/>
      <c r="I902" s="56"/>
      <c r="J902" s="56"/>
      <c r="K902" s="78"/>
      <c r="L902" s="57"/>
      <c r="M902" s="57"/>
    </row>
    <row r="903" spans="1:13" ht="15" customHeight="1">
      <c r="A903" s="73"/>
      <c r="B903" s="2"/>
      <c r="C903" s="2" t="s">
        <v>5236</v>
      </c>
      <c r="D903" s="2">
        <v>5</v>
      </c>
      <c r="E903" s="4"/>
      <c r="F903" s="4"/>
      <c r="G903" s="4"/>
      <c r="H903" s="55"/>
      <c r="I903" s="56"/>
      <c r="J903" s="56"/>
      <c r="K903" s="78"/>
      <c r="L903" s="57"/>
      <c r="M903" s="57"/>
    </row>
    <row r="904" spans="1:13" ht="15" customHeight="1">
      <c r="A904" s="73"/>
      <c r="B904" s="2"/>
      <c r="C904" s="2" t="s">
        <v>4397</v>
      </c>
      <c r="D904" s="2">
        <v>4</v>
      </c>
      <c r="E904" s="4"/>
      <c r="F904" s="4"/>
      <c r="G904" s="4"/>
      <c r="H904" s="55"/>
      <c r="I904" s="56"/>
      <c r="J904" s="56"/>
      <c r="K904" s="78"/>
      <c r="L904" s="57"/>
      <c r="M904" s="57"/>
    </row>
    <row r="905" spans="1:13" ht="15" customHeight="1">
      <c r="A905" s="73"/>
      <c r="B905" s="2"/>
      <c r="C905" s="2" t="s">
        <v>5237</v>
      </c>
      <c r="D905" s="2">
        <v>2</v>
      </c>
      <c r="E905" s="4"/>
      <c r="F905" s="4"/>
      <c r="G905" s="4"/>
      <c r="H905" s="55"/>
      <c r="I905" s="56"/>
      <c r="J905" s="56"/>
      <c r="K905" s="78"/>
      <c r="L905" s="57"/>
      <c r="M905" s="57"/>
    </row>
    <row r="906" spans="1:13" ht="15" customHeight="1">
      <c r="A906" s="73"/>
      <c r="B906" s="2"/>
      <c r="C906" s="2" t="s">
        <v>5238</v>
      </c>
      <c r="D906" s="2">
        <v>4</v>
      </c>
      <c r="E906" s="4"/>
      <c r="F906" s="4"/>
      <c r="G906" s="4"/>
      <c r="H906" s="55"/>
      <c r="I906" s="56"/>
      <c r="J906" s="56"/>
      <c r="K906" s="78"/>
      <c r="L906" s="57"/>
      <c r="M906" s="57"/>
    </row>
    <row r="907" spans="1:13" ht="15" customHeight="1">
      <c r="A907" s="73" t="s">
        <v>5239</v>
      </c>
      <c r="B907" s="2">
        <v>16802</v>
      </c>
      <c r="C907" s="2" t="s">
        <v>5193</v>
      </c>
      <c r="D907" s="2">
        <v>1</v>
      </c>
      <c r="E907" s="4" t="s">
        <v>5190</v>
      </c>
      <c r="F907" s="4" t="s">
        <v>4259</v>
      </c>
      <c r="G907" s="4" t="s">
        <v>3746</v>
      </c>
      <c r="H907" s="55">
        <v>40000</v>
      </c>
      <c r="I907" s="56"/>
      <c r="J907" s="56"/>
      <c r="K907" s="78"/>
      <c r="L907" s="57"/>
      <c r="M907" s="57"/>
    </row>
    <row r="908" spans="1:13" ht="15" customHeight="1">
      <c r="A908" s="73" t="s">
        <v>5239</v>
      </c>
      <c r="B908" s="2">
        <v>16803</v>
      </c>
      <c r="C908" s="2" t="s">
        <v>5240</v>
      </c>
      <c r="D908" s="2">
        <v>4</v>
      </c>
      <c r="E908" s="4" t="s">
        <v>4264</v>
      </c>
      <c r="F908" s="4" t="s">
        <v>4414</v>
      </c>
      <c r="G908" s="4" t="s">
        <v>1717</v>
      </c>
      <c r="H908" s="55">
        <v>592</v>
      </c>
      <c r="I908" s="56"/>
      <c r="J908" s="56"/>
      <c r="K908" s="78"/>
      <c r="L908" s="57"/>
      <c r="M908" s="57"/>
    </row>
    <row r="909" spans="1:13" ht="15" customHeight="1">
      <c r="A909" s="73"/>
      <c r="B909" s="2"/>
      <c r="C909" s="2" t="s">
        <v>4618</v>
      </c>
      <c r="D909" s="2">
        <v>16</v>
      </c>
      <c r="E909" s="4"/>
      <c r="F909" s="4"/>
      <c r="G909" s="4"/>
      <c r="H909" s="55"/>
      <c r="I909" s="56"/>
      <c r="J909" s="56"/>
      <c r="K909" s="78"/>
      <c r="L909" s="57"/>
      <c r="M909" s="57"/>
    </row>
    <row r="910" spans="1:13" ht="15" customHeight="1">
      <c r="A910" s="73"/>
      <c r="B910" s="2"/>
      <c r="C910" s="2" t="s">
        <v>4619</v>
      </c>
      <c r="D910" s="2">
        <v>16</v>
      </c>
      <c r="E910" s="4"/>
      <c r="F910" s="4"/>
      <c r="G910" s="4"/>
      <c r="H910" s="55"/>
      <c r="I910" s="56"/>
      <c r="J910" s="56"/>
      <c r="K910" s="78"/>
      <c r="L910" s="57"/>
      <c r="M910" s="57"/>
    </row>
    <row r="911" spans="1:13" ht="15" customHeight="1">
      <c r="A911" s="73">
        <v>44937</v>
      </c>
      <c r="B911" s="2">
        <v>16804</v>
      </c>
      <c r="C911" s="2" t="s">
        <v>5244</v>
      </c>
      <c r="D911" s="2">
        <v>1</v>
      </c>
      <c r="E911" s="4" t="s">
        <v>4264</v>
      </c>
      <c r="F911" s="4" t="s">
        <v>4207</v>
      </c>
      <c r="G911" s="4" t="s">
        <v>5241</v>
      </c>
      <c r="H911" s="55">
        <v>675904.875</v>
      </c>
      <c r="I911" s="56"/>
      <c r="J911" s="56"/>
      <c r="K911" s="78"/>
      <c r="L911" s="57"/>
      <c r="M911" s="57"/>
    </row>
    <row r="912" spans="1:13" ht="15" customHeight="1">
      <c r="A912" s="73">
        <v>44996</v>
      </c>
      <c r="B912" s="2">
        <v>16805</v>
      </c>
      <c r="C912" s="2" t="s">
        <v>5246</v>
      </c>
      <c r="D912" s="2">
        <v>1</v>
      </c>
      <c r="E912" s="4" t="s">
        <v>4264</v>
      </c>
      <c r="F912" s="4" t="s">
        <v>4301</v>
      </c>
      <c r="G912" s="4" t="s">
        <v>4162</v>
      </c>
      <c r="H912" s="55">
        <v>89900</v>
      </c>
      <c r="I912" s="56"/>
      <c r="J912" s="56"/>
      <c r="K912" s="78"/>
      <c r="L912" s="57"/>
      <c r="M912" s="57"/>
    </row>
    <row r="913" spans="1:13" ht="15" customHeight="1">
      <c r="A913" s="73"/>
      <c r="B913" s="2"/>
      <c r="C913" s="2" t="s">
        <v>5245</v>
      </c>
      <c r="D913" s="2">
        <v>2</v>
      </c>
      <c r="E913" s="4"/>
      <c r="F913" s="4"/>
      <c r="G913" s="4"/>
      <c r="H913" s="55"/>
      <c r="I913" s="56"/>
      <c r="J913" s="56"/>
      <c r="K913" s="78"/>
      <c r="L913" s="57"/>
      <c r="M913" s="57"/>
    </row>
    <row r="914" spans="1:13" ht="15" customHeight="1">
      <c r="A914" s="73">
        <v>45027</v>
      </c>
      <c r="B914" s="2">
        <v>16806</v>
      </c>
      <c r="C914" s="2" t="s">
        <v>5247</v>
      </c>
      <c r="D914" s="2">
        <v>2</v>
      </c>
      <c r="E914" s="4" t="s">
        <v>5250</v>
      </c>
      <c r="F914" s="4" t="s">
        <v>4687</v>
      </c>
      <c r="G914" s="4" t="s">
        <v>2835</v>
      </c>
      <c r="H914" s="55">
        <v>191421.453125</v>
      </c>
      <c r="I914" s="56"/>
      <c r="J914" s="56"/>
      <c r="K914" s="78"/>
      <c r="L914" s="57"/>
      <c r="M914" s="57"/>
    </row>
    <row r="915" spans="1:13" ht="15" customHeight="1">
      <c r="A915" s="73"/>
      <c r="B915" s="2"/>
      <c r="C915" s="2" t="s">
        <v>5248</v>
      </c>
      <c r="D915" s="2">
        <v>1</v>
      </c>
      <c r="E915" s="4"/>
      <c r="F915" s="4"/>
      <c r="G915" s="4"/>
      <c r="H915" s="55"/>
      <c r="I915" s="56"/>
      <c r="J915" s="56"/>
      <c r="K915" s="78"/>
      <c r="L915" s="57"/>
      <c r="M915" s="57"/>
    </row>
    <row r="916" spans="1:13" ht="15" customHeight="1">
      <c r="A916" s="73"/>
      <c r="B916" s="2"/>
      <c r="C916" s="2" t="s">
        <v>5249</v>
      </c>
      <c r="D916" s="2">
        <v>2</v>
      </c>
      <c r="E916" s="4"/>
      <c r="F916" s="4"/>
      <c r="G916" s="4"/>
      <c r="H916" s="55"/>
      <c r="I916" s="56"/>
      <c r="J916" s="56"/>
      <c r="K916" s="78"/>
      <c r="L916" s="57"/>
      <c r="M916" s="57"/>
    </row>
    <row r="917" spans="1:13" ht="15" customHeight="1">
      <c r="A917" s="73">
        <v>45118</v>
      </c>
      <c r="B917" s="2">
        <v>16807</v>
      </c>
      <c r="C917" s="2" t="s">
        <v>5069</v>
      </c>
      <c r="D917" s="2">
        <v>6</v>
      </c>
      <c r="E917" s="4" t="s">
        <v>4264</v>
      </c>
      <c r="F917" s="4" t="s">
        <v>4207</v>
      </c>
      <c r="G917" s="4" t="s">
        <v>2762</v>
      </c>
      <c r="H917" s="55">
        <v>96.599998474121094</v>
      </c>
      <c r="I917" s="56"/>
      <c r="J917" s="56"/>
      <c r="K917" s="78"/>
      <c r="L917" s="57"/>
      <c r="M917" s="57"/>
    </row>
    <row r="918" spans="1:13" ht="15" customHeight="1">
      <c r="A918" s="73">
        <v>45149</v>
      </c>
      <c r="B918" s="2">
        <v>16809</v>
      </c>
      <c r="C918" s="2" t="s">
        <v>5252</v>
      </c>
      <c r="D918" s="2">
        <v>10</v>
      </c>
      <c r="E918" s="4" t="s">
        <v>4264</v>
      </c>
      <c r="F918" s="4" t="s">
        <v>4414</v>
      </c>
      <c r="G918" s="4" t="s">
        <v>3907</v>
      </c>
      <c r="H918" s="55">
        <v>7024.7001953125</v>
      </c>
      <c r="I918" s="56"/>
      <c r="J918" s="56"/>
      <c r="K918" s="78"/>
      <c r="L918" s="57"/>
      <c r="M918" s="57"/>
    </row>
    <row r="919" spans="1:13" ht="15" customHeight="1">
      <c r="A919" s="73">
        <v>45149</v>
      </c>
      <c r="B919" s="2">
        <v>16808</v>
      </c>
      <c r="C919" s="2" t="s">
        <v>5251</v>
      </c>
      <c r="D919" s="2">
        <v>1</v>
      </c>
      <c r="E919" s="4" t="s">
        <v>4246</v>
      </c>
      <c r="F919" s="4" t="s">
        <v>4211</v>
      </c>
      <c r="G919" s="4" t="s">
        <v>1753</v>
      </c>
      <c r="H919" s="55">
        <v>155.44000244140625</v>
      </c>
      <c r="I919" s="56"/>
      <c r="J919" s="56"/>
      <c r="K919" s="78"/>
      <c r="L919" s="57"/>
      <c r="M919" s="57"/>
    </row>
    <row r="920" spans="1:13" ht="15" customHeight="1">
      <c r="A920" s="73">
        <v>45180</v>
      </c>
      <c r="B920" s="2">
        <v>16810</v>
      </c>
      <c r="C920" s="2" t="s">
        <v>5253</v>
      </c>
      <c r="D920" s="2">
        <v>13.520000457763672</v>
      </c>
      <c r="E920" s="4" t="s">
        <v>4264</v>
      </c>
      <c r="F920" s="4" t="s">
        <v>4301</v>
      </c>
      <c r="G920" s="4" t="s">
        <v>1338</v>
      </c>
      <c r="H920" s="55">
        <v>0</v>
      </c>
      <c r="I920" s="56"/>
      <c r="J920" s="56"/>
      <c r="K920" s="78"/>
      <c r="L920" s="57"/>
      <c r="M920" s="57"/>
    </row>
    <row r="921" spans="1:13" ht="15" customHeight="1">
      <c r="A921" s="73">
        <v>45180</v>
      </c>
      <c r="B921" s="2">
        <v>16811</v>
      </c>
      <c r="C921" s="2" t="s">
        <v>5254</v>
      </c>
      <c r="D921" s="2">
        <v>13.520000457763672</v>
      </c>
      <c r="E921" s="4" t="s">
        <v>4264</v>
      </c>
      <c r="F921" s="4" t="s">
        <v>4301</v>
      </c>
      <c r="G921" s="4" t="s">
        <v>1338</v>
      </c>
      <c r="H921" s="55">
        <v>88461.359375</v>
      </c>
      <c r="I921" s="56"/>
      <c r="J921" s="56"/>
      <c r="K921" s="78"/>
      <c r="L921" s="57"/>
      <c r="M921" s="57"/>
    </row>
    <row r="922" spans="1:13" ht="15" customHeight="1">
      <c r="A922" s="73">
        <v>45180</v>
      </c>
      <c r="B922" s="2">
        <v>16812</v>
      </c>
      <c r="C922" s="2" t="s">
        <v>5255</v>
      </c>
      <c r="D922" s="2">
        <v>1</v>
      </c>
      <c r="E922" s="4" t="s">
        <v>4218</v>
      </c>
      <c r="F922" s="4" t="s">
        <v>4687</v>
      </c>
      <c r="G922" s="4" t="s">
        <v>1647</v>
      </c>
      <c r="H922" s="61">
        <v>1740000</v>
      </c>
      <c r="I922" s="62"/>
      <c r="J922" s="62"/>
      <c r="K922" s="78"/>
      <c r="L922" s="57"/>
      <c r="M922" s="57"/>
    </row>
    <row r="923" spans="1:13" ht="15" customHeight="1">
      <c r="A923" s="73">
        <v>45180</v>
      </c>
      <c r="B923" s="2">
        <v>16813</v>
      </c>
      <c r="C923" s="2" t="s">
        <v>5256</v>
      </c>
      <c r="D923" s="2">
        <v>1</v>
      </c>
      <c r="E923" s="4" t="s">
        <v>4264</v>
      </c>
      <c r="F923" s="4" t="s">
        <v>4207</v>
      </c>
      <c r="G923" s="4" t="s">
        <v>2710</v>
      </c>
      <c r="H923" s="55">
        <v>327000</v>
      </c>
      <c r="I923" s="56"/>
      <c r="J923" s="56"/>
      <c r="K923" s="78"/>
      <c r="L923" s="57"/>
      <c r="M923" s="57"/>
    </row>
    <row r="924" spans="1:13" ht="15" customHeight="1">
      <c r="A924" s="73">
        <v>45210</v>
      </c>
      <c r="B924" s="2">
        <v>16814</v>
      </c>
      <c r="C924" s="2" t="s">
        <v>4299</v>
      </c>
      <c r="D924" s="2">
        <v>10</v>
      </c>
      <c r="E924" s="4" t="s">
        <v>4264</v>
      </c>
      <c r="F924" s="4" t="s">
        <v>4414</v>
      </c>
      <c r="G924" s="4" t="s">
        <v>338</v>
      </c>
      <c r="H924" s="55">
        <v>91730</v>
      </c>
      <c r="I924" s="56"/>
      <c r="J924" s="56"/>
      <c r="K924" s="78"/>
      <c r="L924" s="57"/>
      <c r="M924" s="57"/>
    </row>
    <row r="925" spans="1:13" ht="15" customHeight="1">
      <c r="A925" s="73">
        <v>45210</v>
      </c>
      <c r="B925" s="2">
        <v>16815</v>
      </c>
      <c r="C925" s="2" t="s">
        <v>5257</v>
      </c>
      <c r="D925" s="2">
        <v>1</v>
      </c>
      <c r="E925" s="4" t="s">
        <v>4371</v>
      </c>
      <c r="F925" s="4" t="s">
        <v>4309</v>
      </c>
      <c r="G925" s="4" t="s">
        <v>1256</v>
      </c>
      <c r="H925" s="55">
        <v>7297.47021484375</v>
      </c>
      <c r="I925" s="56"/>
      <c r="J925" s="56"/>
      <c r="K925" s="78"/>
      <c r="L925" s="57"/>
      <c r="M925" s="57"/>
    </row>
    <row r="926" spans="1:13" ht="15" customHeight="1">
      <c r="A926" s="73"/>
      <c r="B926" s="2"/>
      <c r="C926" s="2" t="s">
        <v>5258</v>
      </c>
      <c r="D926" s="2">
        <v>1</v>
      </c>
      <c r="E926" s="4"/>
      <c r="F926" s="4"/>
      <c r="G926" s="4"/>
      <c r="H926" s="55"/>
      <c r="I926" s="56"/>
      <c r="J926" s="56"/>
      <c r="K926" s="78"/>
      <c r="L926" s="57"/>
      <c r="M926" s="57"/>
    </row>
    <row r="927" spans="1:13" ht="15" customHeight="1">
      <c r="A927" s="73"/>
      <c r="B927" s="2"/>
      <c r="C927" s="2" t="s">
        <v>5259</v>
      </c>
      <c r="D927" s="2">
        <v>1</v>
      </c>
      <c r="E927" s="4"/>
      <c r="F927" s="4"/>
      <c r="G927" s="4"/>
      <c r="H927" s="55"/>
      <c r="I927" s="56"/>
      <c r="J927" s="56"/>
      <c r="K927" s="78"/>
      <c r="L927" s="57"/>
      <c r="M927" s="57"/>
    </row>
    <row r="928" spans="1:13" ht="15" customHeight="1">
      <c r="A928" s="73"/>
      <c r="B928" s="2"/>
      <c r="C928" s="2" t="s">
        <v>5260</v>
      </c>
      <c r="D928" s="2">
        <v>2</v>
      </c>
      <c r="E928" s="4"/>
      <c r="F928" s="4"/>
      <c r="G928" s="4"/>
      <c r="H928" s="55"/>
      <c r="I928" s="56"/>
      <c r="J928" s="56"/>
      <c r="K928" s="78"/>
      <c r="L928" s="57"/>
      <c r="M928" s="57"/>
    </row>
    <row r="929" spans="1:13" ht="15" customHeight="1">
      <c r="A929" s="73"/>
      <c r="B929" s="2"/>
      <c r="C929" s="2" t="s">
        <v>5261</v>
      </c>
      <c r="D929" s="2">
        <v>2</v>
      </c>
      <c r="E929" s="4"/>
      <c r="F929" s="4"/>
      <c r="G929" s="4"/>
      <c r="H929" s="55"/>
      <c r="I929" s="56"/>
      <c r="J929" s="56"/>
      <c r="K929" s="78"/>
      <c r="L929" s="57"/>
      <c r="M929" s="57"/>
    </row>
    <row r="930" spans="1:13" ht="15" customHeight="1">
      <c r="A930" s="73"/>
      <c r="B930" s="2"/>
      <c r="C930" s="2" t="s">
        <v>5262</v>
      </c>
      <c r="D930" s="2">
        <v>2</v>
      </c>
      <c r="E930" s="4"/>
      <c r="F930" s="4"/>
      <c r="G930" s="4"/>
      <c r="H930" s="55"/>
      <c r="I930" s="56"/>
      <c r="J930" s="56"/>
      <c r="K930" s="78"/>
      <c r="L930" s="57"/>
      <c r="M930" s="57"/>
    </row>
    <row r="931" spans="1:13" ht="15" customHeight="1">
      <c r="A931" s="73">
        <v>45210</v>
      </c>
      <c r="B931" s="2">
        <v>16816</v>
      </c>
      <c r="C931" s="2" t="s">
        <v>5263</v>
      </c>
      <c r="D931" s="2">
        <v>1</v>
      </c>
      <c r="E931" s="4" t="s">
        <v>4371</v>
      </c>
      <c r="F931" s="4" t="s">
        <v>4309</v>
      </c>
      <c r="G931" s="4" t="s">
        <v>2338</v>
      </c>
      <c r="H931" s="55">
        <v>69500</v>
      </c>
      <c r="I931" s="56"/>
      <c r="J931" s="75"/>
      <c r="K931" s="63"/>
      <c r="L931" s="76"/>
      <c r="M931" s="76"/>
    </row>
    <row r="932" spans="1:13" ht="15" customHeight="1" thickBot="1">
      <c r="A932" s="80" t="s">
        <v>5265</v>
      </c>
      <c r="B932" s="81">
        <v>16817</v>
      </c>
      <c r="C932" s="81" t="s">
        <v>5264</v>
      </c>
      <c r="D932" s="81">
        <v>1000</v>
      </c>
      <c r="E932" s="82" t="s">
        <v>4218</v>
      </c>
      <c r="F932" s="82" t="s">
        <v>4220</v>
      </c>
      <c r="G932" s="82" t="s">
        <v>3661</v>
      </c>
      <c r="H932" s="83">
        <v>2631000</v>
      </c>
      <c r="I932" s="84"/>
      <c r="J932" s="92"/>
      <c r="K932" s="93"/>
      <c r="L932" s="94"/>
      <c r="M932" s="76"/>
    </row>
    <row r="933" spans="1:13" ht="15" customHeight="1">
      <c r="A933" s="95" t="s">
        <v>5278</v>
      </c>
      <c r="B933" s="96">
        <v>16818</v>
      </c>
      <c r="C933" s="96" t="s">
        <v>5271</v>
      </c>
      <c r="D933" s="96">
        <v>220</v>
      </c>
      <c r="E933" s="97" t="s">
        <v>5008</v>
      </c>
      <c r="F933" s="97" t="s">
        <v>4207</v>
      </c>
      <c r="G933" s="97" t="s">
        <v>3661</v>
      </c>
      <c r="H933" s="98">
        <v>0</v>
      </c>
      <c r="I933" s="99"/>
      <c r="J933" s="99"/>
      <c r="K933" s="100"/>
      <c r="L933" s="101"/>
      <c r="M933" s="57"/>
    </row>
    <row r="934" spans="1:13" ht="15" customHeight="1">
      <c r="A934" s="85"/>
      <c r="B934" s="86"/>
      <c r="C934" s="86" t="s">
        <v>5272</v>
      </c>
      <c r="D934" s="86">
        <v>50</v>
      </c>
      <c r="E934" s="87"/>
      <c r="F934" s="87"/>
      <c r="G934" s="87"/>
      <c r="H934" s="88"/>
      <c r="I934" s="89"/>
      <c r="J934" s="89"/>
      <c r="K934" s="90"/>
      <c r="L934" s="91"/>
      <c r="M934" s="57"/>
    </row>
    <row r="935" spans="1:13" ht="15" customHeight="1">
      <c r="A935" s="73"/>
      <c r="B935" s="2"/>
      <c r="C935" s="2" t="s">
        <v>5273</v>
      </c>
      <c r="D935" s="2">
        <v>100</v>
      </c>
      <c r="E935" s="4"/>
      <c r="F935" s="4"/>
      <c r="G935" s="4"/>
      <c r="H935" s="61"/>
      <c r="I935" s="62"/>
      <c r="J935" s="62"/>
      <c r="K935" s="78"/>
      <c r="L935" s="57"/>
      <c r="M935" s="57"/>
    </row>
    <row r="936" spans="1:13" ht="15" customHeight="1">
      <c r="A936" s="73"/>
      <c r="B936" s="2"/>
      <c r="C936" s="2" t="s">
        <v>5274</v>
      </c>
      <c r="D936" s="2">
        <v>100</v>
      </c>
      <c r="E936" s="4"/>
      <c r="F936" s="4"/>
      <c r="G936" s="4"/>
      <c r="H936" s="61"/>
      <c r="I936" s="62"/>
      <c r="J936" s="62"/>
      <c r="K936" s="78"/>
      <c r="L936" s="57"/>
      <c r="M936" s="57"/>
    </row>
    <row r="937" spans="1:13" ht="15" customHeight="1">
      <c r="A937" s="85"/>
      <c r="B937" s="86"/>
      <c r="C937" s="86" t="s">
        <v>5275</v>
      </c>
      <c r="D937" s="86">
        <v>25</v>
      </c>
      <c r="E937" s="87"/>
      <c r="F937" s="87"/>
      <c r="G937" s="87"/>
      <c r="H937" s="88"/>
      <c r="I937" s="89"/>
      <c r="J937" s="89"/>
      <c r="K937" s="90"/>
      <c r="L937" s="91"/>
      <c r="M937" s="57"/>
    </row>
    <row r="938" spans="1:13" ht="15" customHeight="1">
      <c r="A938" s="80"/>
      <c r="B938" s="81"/>
      <c r="C938" s="81" t="s">
        <v>5276</v>
      </c>
      <c r="D938" s="81">
        <v>10</v>
      </c>
      <c r="E938" s="82"/>
      <c r="F938" s="82"/>
      <c r="G938" s="82"/>
      <c r="H938" s="83"/>
      <c r="I938" s="84"/>
      <c r="J938" s="84"/>
      <c r="K938" s="102"/>
      <c r="L938" s="103"/>
      <c r="M938" s="57"/>
    </row>
    <row r="939" spans="1:13" ht="15" customHeight="1" thickBot="1">
      <c r="A939" s="80"/>
      <c r="B939" s="81"/>
      <c r="C939" s="81" t="s">
        <v>5277</v>
      </c>
      <c r="D939" s="81">
        <v>10</v>
      </c>
      <c r="E939" s="82"/>
      <c r="F939" s="82"/>
      <c r="G939" s="82"/>
      <c r="H939" s="83"/>
      <c r="I939" s="84"/>
      <c r="J939" s="84"/>
      <c r="K939" s="102"/>
      <c r="L939" s="103"/>
      <c r="M939" s="57"/>
    </row>
    <row r="940" spans="1:13" ht="15" customHeight="1">
      <c r="A940" s="104" t="s">
        <v>5282</v>
      </c>
      <c r="B940" s="105">
        <v>16818</v>
      </c>
      <c r="C940" s="105" t="s">
        <v>5279</v>
      </c>
      <c r="D940" s="105">
        <v>4</v>
      </c>
      <c r="E940" s="106" t="s">
        <v>5281</v>
      </c>
      <c r="F940" s="106" t="s">
        <v>4414</v>
      </c>
      <c r="G940" s="106" t="s">
        <v>3597</v>
      </c>
      <c r="H940" s="107">
        <v>291331.09375</v>
      </c>
      <c r="I940" s="108"/>
      <c r="J940" s="108"/>
      <c r="K940" s="109"/>
      <c r="L940" s="110"/>
      <c r="M940" s="57"/>
    </row>
    <row r="941" spans="1:13" ht="15" customHeight="1" thickBot="1">
      <c r="A941" s="80"/>
      <c r="B941" s="81"/>
      <c r="C941" s="81" t="s">
        <v>5280</v>
      </c>
      <c r="D941" s="81">
        <v>2</v>
      </c>
      <c r="E941" s="82"/>
      <c r="F941" s="82"/>
      <c r="G941" s="82"/>
      <c r="H941" s="83"/>
      <c r="I941" s="84"/>
      <c r="J941" s="84"/>
      <c r="K941" s="102"/>
      <c r="L941" s="103"/>
      <c r="M941" s="57"/>
    </row>
    <row r="942" spans="1:13" ht="15" customHeight="1" thickBot="1">
      <c r="A942" s="104" t="s">
        <v>5282</v>
      </c>
      <c r="B942" s="105">
        <v>16819</v>
      </c>
      <c r="C942" s="105" t="s">
        <v>4372</v>
      </c>
      <c r="D942" s="105">
        <v>1</v>
      </c>
      <c r="E942" s="106" t="s">
        <v>5286</v>
      </c>
      <c r="F942" s="106" t="s">
        <v>4211</v>
      </c>
      <c r="G942" s="106" t="s">
        <v>5283</v>
      </c>
      <c r="H942" s="107">
        <v>54450</v>
      </c>
      <c r="I942" s="108"/>
      <c r="J942" s="108"/>
      <c r="K942" s="109"/>
      <c r="L942" s="110"/>
      <c r="M942" s="57"/>
    </row>
    <row r="943" spans="1:13" ht="15" customHeight="1" thickBot="1">
      <c r="A943" s="104" t="s">
        <v>5282</v>
      </c>
      <c r="B943" s="105">
        <v>16820</v>
      </c>
      <c r="C943" s="105" t="s">
        <v>4372</v>
      </c>
      <c r="D943" s="105">
        <v>1</v>
      </c>
      <c r="E943" s="106" t="s">
        <v>5287</v>
      </c>
      <c r="F943" s="106" t="s">
        <v>4211</v>
      </c>
      <c r="G943" s="106" t="s">
        <v>5283</v>
      </c>
      <c r="H943" s="107">
        <v>955900</v>
      </c>
      <c r="I943" s="108"/>
      <c r="J943" s="108"/>
      <c r="K943" s="109"/>
      <c r="L943" s="110"/>
      <c r="M943" s="57"/>
    </row>
    <row r="944" spans="1:13" ht="15" customHeight="1">
      <c r="A944" s="104" t="s">
        <v>5293</v>
      </c>
      <c r="B944" s="105">
        <v>16821</v>
      </c>
      <c r="C944" s="105" t="s">
        <v>5291</v>
      </c>
      <c r="D944" s="105">
        <v>5</v>
      </c>
      <c r="E944" s="106" t="s">
        <v>4264</v>
      </c>
      <c r="F944" s="106" t="s">
        <v>5292</v>
      </c>
      <c r="G944" s="106" t="s">
        <v>5288</v>
      </c>
      <c r="H944" s="107">
        <v>20148.375</v>
      </c>
      <c r="I944" s="108"/>
      <c r="J944" s="108"/>
      <c r="K944" s="109"/>
      <c r="L944" s="110"/>
      <c r="M944" s="57"/>
    </row>
    <row r="945" spans="1:13" ht="15" customHeight="1" thickBot="1">
      <c r="A945" s="80"/>
      <c r="B945" s="81"/>
      <c r="C945" s="81" t="s">
        <v>5291</v>
      </c>
      <c r="D945" s="81">
        <v>5</v>
      </c>
      <c r="E945" s="82"/>
      <c r="F945" s="82"/>
      <c r="G945" s="82"/>
      <c r="H945" s="83"/>
      <c r="I945" s="84"/>
      <c r="J945" s="84"/>
      <c r="K945" s="102"/>
      <c r="L945" s="103"/>
      <c r="M945" s="57"/>
    </row>
    <row r="946" spans="1:13" ht="15" customHeight="1">
      <c r="A946" s="95" t="s">
        <v>5298</v>
      </c>
      <c r="B946" s="96">
        <v>16822</v>
      </c>
      <c r="C946" s="96" t="s">
        <v>5294</v>
      </c>
      <c r="D946" s="96">
        <v>2</v>
      </c>
      <c r="E946" s="97" t="s">
        <v>4264</v>
      </c>
      <c r="F946" s="97" t="s">
        <v>4414</v>
      </c>
      <c r="G946" s="97" t="s">
        <v>3190</v>
      </c>
      <c r="H946" s="98">
        <v>108900</v>
      </c>
      <c r="I946" s="99"/>
      <c r="J946" s="99"/>
      <c r="K946" s="100"/>
      <c r="L946" s="101"/>
      <c r="M946" s="57"/>
    </row>
    <row r="947" spans="1:13" ht="15" customHeight="1">
      <c r="A947" s="85"/>
      <c r="B947" s="86"/>
      <c r="C947" s="86" t="s">
        <v>5295</v>
      </c>
      <c r="D947" s="86">
        <v>1</v>
      </c>
      <c r="E947" s="87"/>
      <c r="F947" s="87"/>
      <c r="G947" s="87"/>
      <c r="H947" s="88"/>
      <c r="I947" s="89"/>
      <c r="J947" s="89"/>
      <c r="K947" s="90"/>
      <c r="L947" s="91"/>
      <c r="M947" s="57"/>
    </row>
    <row r="948" spans="1:13" ht="15" customHeight="1">
      <c r="A948" s="80"/>
      <c r="B948" s="81"/>
      <c r="C948" s="81" t="s">
        <v>5296</v>
      </c>
      <c r="D948" s="81">
        <v>1</v>
      </c>
      <c r="E948" s="82"/>
      <c r="F948" s="82"/>
      <c r="G948" s="82"/>
      <c r="H948" s="83"/>
      <c r="I948" s="84"/>
      <c r="J948" s="84"/>
      <c r="K948" s="102"/>
      <c r="L948" s="103"/>
      <c r="M948" s="57"/>
    </row>
    <row r="949" spans="1:13" ht="15" customHeight="1" thickBot="1">
      <c r="A949" s="80"/>
      <c r="B949" s="81"/>
      <c r="C949" s="81" t="s">
        <v>5297</v>
      </c>
      <c r="D949" s="81">
        <v>1</v>
      </c>
      <c r="E949" s="82"/>
      <c r="F949" s="82"/>
      <c r="G949" s="82"/>
      <c r="H949" s="83"/>
      <c r="I949" s="84"/>
      <c r="J949" s="84"/>
      <c r="K949" s="102"/>
      <c r="L949" s="103"/>
      <c r="M949" s="57"/>
    </row>
    <row r="950" spans="1:13" ht="15" customHeight="1" thickBot="1">
      <c r="A950" s="104" t="s">
        <v>5300</v>
      </c>
      <c r="B950" s="105">
        <v>16823</v>
      </c>
      <c r="C950" s="105" t="s">
        <v>5299</v>
      </c>
      <c r="D950" s="105">
        <v>1</v>
      </c>
      <c r="E950" s="106" t="s">
        <v>4264</v>
      </c>
      <c r="F950" s="106" t="s">
        <v>4301</v>
      </c>
      <c r="G950" s="106" t="s">
        <v>4646</v>
      </c>
      <c r="H950" s="107">
        <v>810.70001220703125</v>
      </c>
      <c r="I950" s="108"/>
      <c r="J950" s="108"/>
      <c r="K950" s="109"/>
      <c r="L950" s="110"/>
      <c r="M950" s="57"/>
    </row>
    <row r="951" spans="1:13" ht="15" customHeight="1" thickBot="1">
      <c r="A951" s="104" t="s">
        <v>5300</v>
      </c>
      <c r="B951" s="105">
        <v>16824</v>
      </c>
      <c r="C951" s="105" t="s">
        <v>5301</v>
      </c>
      <c r="D951" s="105">
        <v>1</v>
      </c>
      <c r="E951" s="106" t="s">
        <v>4412</v>
      </c>
      <c r="F951" s="106" t="s">
        <v>4234</v>
      </c>
      <c r="G951" s="106" t="s">
        <v>1753</v>
      </c>
      <c r="H951" s="107">
        <v>267.41000366210938</v>
      </c>
      <c r="I951" s="108"/>
      <c r="J951" s="108"/>
      <c r="K951" s="109"/>
      <c r="L951" s="110"/>
      <c r="M951" s="57"/>
    </row>
    <row r="952" spans="1:13" ht="15" customHeight="1" thickBot="1">
      <c r="A952" s="104" t="s">
        <v>5303</v>
      </c>
      <c r="B952" s="105">
        <v>16825</v>
      </c>
      <c r="C952" s="105" t="s">
        <v>5302</v>
      </c>
      <c r="D952" s="105">
        <v>5000</v>
      </c>
      <c r="E952" s="106" t="s">
        <v>4264</v>
      </c>
      <c r="F952" s="106" t="s">
        <v>4207</v>
      </c>
      <c r="G952" s="106" t="s">
        <v>3647</v>
      </c>
      <c r="H952" s="107">
        <v>2335749</v>
      </c>
      <c r="I952" s="108"/>
      <c r="J952" s="108"/>
      <c r="K952" s="109"/>
      <c r="L952" s="110"/>
      <c r="M952" s="57"/>
    </row>
    <row r="953" spans="1:13" ht="15" customHeight="1">
      <c r="A953" s="104" t="s">
        <v>5309</v>
      </c>
      <c r="B953" s="105">
        <v>16826</v>
      </c>
      <c r="C953" s="105" t="s">
        <v>5307</v>
      </c>
      <c r="D953" s="105">
        <v>200</v>
      </c>
      <c r="E953" s="106" t="s">
        <v>4218</v>
      </c>
      <c r="F953" s="106" t="s">
        <v>4220</v>
      </c>
      <c r="G953" s="106" t="s">
        <v>5306</v>
      </c>
      <c r="H953" s="107">
        <v>4458792</v>
      </c>
      <c r="I953" s="108"/>
      <c r="J953" s="108"/>
      <c r="K953" s="109"/>
      <c r="L953" s="110"/>
      <c r="M953" s="57"/>
    </row>
    <row r="954" spans="1:13" ht="15" customHeight="1" thickBot="1">
      <c r="A954" s="80"/>
      <c r="B954" s="81"/>
      <c r="C954" s="81" t="s">
        <v>5308</v>
      </c>
      <c r="D954" s="81">
        <v>1</v>
      </c>
      <c r="E954" s="82"/>
      <c r="F954" s="82"/>
      <c r="G954" s="82"/>
      <c r="H954" s="83"/>
      <c r="I954" s="84"/>
      <c r="J954" s="84"/>
      <c r="K954" s="102"/>
      <c r="L954" s="103"/>
      <c r="M954" s="57"/>
    </row>
    <row r="955" spans="1:13" ht="15" customHeight="1" thickBot="1">
      <c r="A955" s="104">
        <v>45089</v>
      </c>
      <c r="B955" s="105">
        <v>16827</v>
      </c>
      <c r="C955" s="105" t="s">
        <v>5313</v>
      </c>
      <c r="D955" s="105">
        <v>1</v>
      </c>
      <c r="E955" s="106" t="s">
        <v>4264</v>
      </c>
      <c r="F955" s="106" t="s">
        <v>4207</v>
      </c>
      <c r="G955" s="106" t="s">
        <v>5310</v>
      </c>
      <c r="H955" s="107">
        <v>466003.625</v>
      </c>
      <c r="I955" s="108"/>
      <c r="J955" s="108"/>
      <c r="K955" s="109"/>
      <c r="L955" s="110"/>
      <c r="M955" s="57"/>
    </row>
    <row r="956" spans="1:13" ht="15" customHeight="1" thickBot="1">
      <c r="A956" s="104">
        <v>45089</v>
      </c>
      <c r="B956" s="105">
        <v>16828</v>
      </c>
      <c r="C956" s="105" t="s">
        <v>5319</v>
      </c>
      <c r="D956" s="105">
        <v>16</v>
      </c>
      <c r="E956" s="106" t="s">
        <v>4218</v>
      </c>
      <c r="F956" s="106" t="s">
        <v>4207</v>
      </c>
      <c r="G956" s="106" t="s">
        <v>5314</v>
      </c>
      <c r="H956" s="107">
        <v>484000</v>
      </c>
      <c r="I956" s="108"/>
      <c r="J956" s="108"/>
      <c r="K956" s="109"/>
      <c r="L956" s="110"/>
      <c r="M956" s="57"/>
    </row>
    <row r="957" spans="1:13" ht="15" customHeight="1" thickBot="1">
      <c r="A957" s="104">
        <v>45089</v>
      </c>
      <c r="B957" s="105">
        <v>16829</v>
      </c>
      <c r="C957" s="105" t="s">
        <v>5320</v>
      </c>
      <c r="D957" s="105">
        <v>39</v>
      </c>
      <c r="E957" s="106" t="s">
        <v>4264</v>
      </c>
      <c r="F957" s="106" t="s">
        <v>4207</v>
      </c>
      <c r="G957" s="106" t="s">
        <v>1793</v>
      </c>
      <c r="H957" s="107">
        <v>353925</v>
      </c>
      <c r="I957" s="108"/>
      <c r="J957" s="108"/>
      <c r="K957" s="109"/>
      <c r="L957" s="110"/>
      <c r="M957" s="57"/>
    </row>
    <row r="958" spans="1:13" ht="15" customHeight="1">
      <c r="A958" s="104">
        <v>45089</v>
      </c>
      <c r="B958" s="105">
        <v>16830</v>
      </c>
      <c r="C958" s="105" t="s">
        <v>5321</v>
      </c>
      <c r="D958" s="105">
        <v>2400</v>
      </c>
      <c r="E958" s="106" t="s">
        <v>4264</v>
      </c>
      <c r="F958" s="106" t="s">
        <v>4207</v>
      </c>
      <c r="G958" s="106" t="s">
        <v>1793</v>
      </c>
      <c r="H958" s="107">
        <v>5805096</v>
      </c>
      <c r="I958" s="108"/>
      <c r="J958" s="108"/>
      <c r="K958" s="109"/>
      <c r="L958" s="110"/>
      <c r="M958" s="57"/>
    </row>
    <row r="959" spans="1:13" ht="15" customHeight="1" thickBot="1">
      <c r="A959" s="80"/>
      <c r="B959" s="81"/>
      <c r="C959" s="81" t="s">
        <v>5322</v>
      </c>
      <c r="D959" s="81">
        <v>1200</v>
      </c>
      <c r="E959" s="82"/>
      <c r="F959" s="82"/>
      <c r="G959" s="82"/>
      <c r="H959" s="83"/>
      <c r="I959" s="84"/>
      <c r="J959" s="84"/>
      <c r="K959" s="102"/>
      <c r="L959" s="103"/>
      <c r="M959" s="57"/>
    </row>
    <row r="960" spans="1:13" ht="15" customHeight="1" thickBot="1">
      <c r="A960" s="104">
        <v>45242</v>
      </c>
      <c r="B960" s="105">
        <v>16831</v>
      </c>
      <c r="C960" s="105" t="s">
        <v>5323</v>
      </c>
      <c r="D960" s="105">
        <v>494.54000854492188</v>
      </c>
      <c r="E960" s="106" t="s">
        <v>5324</v>
      </c>
      <c r="F960" s="106" t="s">
        <v>4301</v>
      </c>
      <c r="G960" s="106" t="s">
        <v>4732</v>
      </c>
      <c r="H960" s="107">
        <v>897590.125</v>
      </c>
      <c r="I960" s="108"/>
      <c r="J960" s="108"/>
      <c r="K960" s="109"/>
      <c r="L960" s="110"/>
      <c r="M960" s="57"/>
    </row>
    <row r="961" spans="1:13" ht="15" customHeight="1" thickBot="1">
      <c r="A961" s="104">
        <v>45242</v>
      </c>
      <c r="B961" s="105">
        <v>16832</v>
      </c>
      <c r="C961" s="105" t="s">
        <v>5328</v>
      </c>
      <c r="D961" s="105">
        <v>1</v>
      </c>
      <c r="E961" s="106" t="s">
        <v>4264</v>
      </c>
      <c r="F961" s="106" t="s">
        <v>4217</v>
      </c>
      <c r="G961" s="106" t="s">
        <v>5325</v>
      </c>
      <c r="H961" s="107">
        <v>3317384.5</v>
      </c>
      <c r="I961" s="108"/>
      <c r="J961" s="108"/>
      <c r="K961" s="109"/>
      <c r="L961" s="110"/>
      <c r="M961" s="57"/>
    </row>
    <row r="962" spans="1:13" ht="15" customHeight="1" thickBot="1">
      <c r="A962" s="104">
        <v>45242</v>
      </c>
      <c r="B962" s="105">
        <v>16833</v>
      </c>
      <c r="C962" s="105" t="s">
        <v>5329</v>
      </c>
      <c r="D962" s="105">
        <v>1</v>
      </c>
      <c r="E962" s="106" t="s">
        <v>4264</v>
      </c>
      <c r="F962" s="106" t="s">
        <v>4207</v>
      </c>
      <c r="G962" s="106" t="s">
        <v>5325</v>
      </c>
      <c r="H962" s="107">
        <v>1346625.875</v>
      </c>
      <c r="I962" s="108"/>
      <c r="J962" s="108"/>
      <c r="K962" s="109"/>
      <c r="L962" s="110"/>
      <c r="M962" s="57"/>
    </row>
    <row r="963" spans="1:13" ht="15" customHeight="1">
      <c r="A963" s="104">
        <v>45272</v>
      </c>
      <c r="B963" s="105">
        <v>16834</v>
      </c>
      <c r="C963" s="105" t="s">
        <v>5330</v>
      </c>
      <c r="D963" s="105">
        <v>1</v>
      </c>
      <c r="E963" s="106" t="s">
        <v>4264</v>
      </c>
      <c r="F963" s="106" t="s">
        <v>4301</v>
      </c>
      <c r="G963" s="106" t="s">
        <v>5325</v>
      </c>
      <c r="H963" s="107">
        <v>168349.75</v>
      </c>
      <c r="I963" s="108"/>
      <c r="J963" s="108"/>
      <c r="K963" s="109"/>
      <c r="L963" s="110"/>
      <c r="M963" s="57"/>
    </row>
    <row r="964" spans="1:13" ht="15" customHeight="1" thickBot="1">
      <c r="A964" s="80"/>
      <c r="B964" s="81"/>
      <c r="C964" s="81" t="s">
        <v>5330</v>
      </c>
      <c r="D964" s="81">
        <v>1</v>
      </c>
      <c r="E964" s="82"/>
      <c r="F964" s="82"/>
      <c r="G964" s="82"/>
      <c r="H964" s="83"/>
      <c r="I964" s="84"/>
      <c r="J964" s="84"/>
      <c r="K964" s="102"/>
      <c r="L964" s="103"/>
      <c r="M964" s="57"/>
    </row>
    <row r="965" spans="1:13" ht="15" customHeight="1" thickBot="1">
      <c r="A965" s="104" t="s">
        <v>5332</v>
      </c>
      <c r="B965" s="105">
        <v>16835</v>
      </c>
      <c r="C965" s="105" t="s">
        <v>5331</v>
      </c>
      <c r="D965" s="105">
        <v>1</v>
      </c>
      <c r="E965" s="106" t="s">
        <v>4264</v>
      </c>
      <c r="F965" s="106" t="s">
        <v>4301</v>
      </c>
      <c r="G965" s="106" t="s">
        <v>5283</v>
      </c>
      <c r="H965" s="107">
        <v>248050</v>
      </c>
      <c r="I965" s="108"/>
      <c r="J965" s="108"/>
      <c r="K965" s="109"/>
      <c r="L965" s="110"/>
      <c r="M965" s="57"/>
    </row>
    <row r="966" spans="1:13" ht="15" customHeight="1" thickBot="1">
      <c r="A966" s="104" t="s">
        <v>5332</v>
      </c>
      <c r="B966" s="105">
        <v>16836</v>
      </c>
      <c r="C966" s="105" t="s">
        <v>5333</v>
      </c>
      <c r="D966" s="105">
        <v>1</v>
      </c>
      <c r="E966" s="106" t="s">
        <v>4218</v>
      </c>
      <c r="F966" s="106" t="s">
        <v>4687</v>
      </c>
      <c r="G966" s="106" t="s">
        <v>1647</v>
      </c>
      <c r="H966" s="107">
        <v>665500</v>
      </c>
      <c r="I966" s="108"/>
      <c r="J966" s="108"/>
      <c r="K966" s="109"/>
      <c r="L966" s="110"/>
      <c r="M966" s="57"/>
    </row>
    <row r="967" spans="1:13" ht="15" customHeight="1" thickBot="1">
      <c r="A967" s="104" t="s">
        <v>5338</v>
      </c>
      <c r="B967" s="105">
        <v>16837</v>
      </c>
      <c r="C967" s="105" t="s">
        <v>5337</v>
      </c>
      <c r="D967" s="105">
        <v>1</v>
      </c>
      <c r="E967" s="106" t="s">
        <v>4696</v>
      </c>
      <c r="F967" s="106" t="s">
        <v>4259</v>
      </c>
      <c r="G967" s="106" t="s">
        <v>3676</v>
      </c>
      <c r="H967" s="107">
        <v>5205.39599609375</v>
      </c>
      <c r="I967" s="108"/>
      <c r="J967" s="108"/>
      <c r="K967" s="109"/>
      <c r="L967" s="110"/>
      <c r="M967" s="57"/>
    </row>
    <row r="968" spans="1:13" ht="15" customHeight="1">
      <c r="A968" s="95" t="s">
        <v>5338</v>
      </c>
      <c r="B968" s="96">
        <v>16838</v>
      </c>
      <c r="C968" s="96" t="s">
        <v>5339</v>
      </c>
      <c r="D968" s="96">
        <v>1</v>
      </c>
      <c r="E968" s="97" t="s">
        <v>4696</v>
      </c>
      <c r="F968" s="97" t="s">
        <v>4259</v>
      </c>
      <c r="G968" s="97" t="s">
        <v>3676</v>
      </c>
      <c r="H968" s="98">
        <v>0</v>
      </c>
      <c r="I968" s="99"/>
      <c r="J968" s="99"/>
      <c r="K968" s="100"/>
      <c r="L968" s="101"/>
      <c r="M968" s="57"/>
    </row>
    <row r="969" spans="1:13" ht="15" customHeight="1">
      <c r="A969" s="112"/>
      <c r="B969" s="113"/>
      <c r="C969" s="113" t="s">
        <v>5340</v>
      </c>
      <c r="D969" s="113">
        <v>1</v>
      </c>
      <c r="E969" s="114"/>
      <c r="F969" s="114"/>
      <c r="G969" s="114"/>
      <c r="H969" s="115"/>
      <c r="I969" s="116"/>
      <c r="J969" s="116"/>
      <c r="K969" s="117"/>
      <c r="L969" s="118"/>
      <c r="M969" s="57"/>
    </row>
    <row r="970" spans="1:13" ht="15" customHeight="1" thickBot="1">
      <c r="A970" s="80"/>
      <c r="B970" s="81"/>
      <c r="C970" s="81" t="s">
        <v>5341</v>
      </c>
      <c r="D970" s="81">
        <v>1</v>
      </c>
      <c r="E970" s="82"/>
      <c r="F970" s="82"/>
      <c r="G970" s="82"/>
      <c r="H970" s="83"/>
      <c r="I970" s="84"/>
      <c r="J970" s="84"/>
      <c r="K970" s="102"/>
      <c r="L970" s="103"/>
      <c r="M970" s="57"/>
    </row>
    <row r="971" spans="1:13" ht="15" customHeight="1" thickBot="1">
      <c r="A971" s="104" t="s">
        <v>5338</v>
      </c>
      <c r="B971" s="105">
        <v>16839</v>
      </c>
      <c r="C971" s="105" t="s">
        <v>5342</v>
      </c>
      <c r="D971" s="105">
        <v>1</v>
      </c>
      <c r="E971" s="106" t="s">
        <v>4264</v>
      </c>
      <c r="F971" s="106" t="s">
        <v>4690</v>
      </c>
      <c r="G971" s="106" t="s">
        <v>4111</v>
      </c>
      <c r="H971" s="107">
        <v>61952</v>
      </c>
      <c r="I971" s="108"/>
      <c r="J971" s="108"/>
      <c r="K971" s="109"/>
      <c r="L971" s="110"/>
      <c r="M971" s="57"/>
    </row>
    <row r="972" spans="1:13" ht="15" customHeight="1" thickBot="1">
      <c r="A972" s="104" t="s">
        <v>5347</v>
      </c>
      <c r="B972" s="105">
        <v>16840</v>
      </c>
      <c r="C972" s="105" t="s">
        <v>5346</v>
      </c>
      <c r="D972" s="105">
        <v>2</v>
      </c>
      <c r="E972" s="106" t="s">
        <v>4412</v>
      </c>
      <c r="F972" s="106" t="s">
        <v>4211</v>
      </c>
      <c r="G972" s="106" t="s">
        <v>5343</v>
      </c>
      <c r="H972" s="107">
        <v>1005510</v>
      </c>
      <c r="I972" s="108"/>
      <c r="J972" s="108"/>
      <c r="K972" s="109"/>
      <c r="L972" s="110"/>
      <c r="M972" s="57"/>
    </row>
    <row r="973" spans="1:13" ht="15" customHeight="1" thickBot="1">
      <c r="A973" s="104" t="s">
        <v>5347</v>
      </c>
      <c r="B973" s="105">
        <v>16841</v>
      </c>
      <c r="C973" s="105" t="s">
        <v>5348</v>
      </c>
      <c r="D973" s="105">
        <v>2</v>
      </c>
      <c r="E973" s="106" t="s">
        <v>4246</v>
      </c>
      <c r="F973" s="106" t="s">
        <v>4211</v>
      </c>
      <c r="G973" s="106" t="s">
        <v>5343</v>
      </c>
      <c r="H973" s="107">
        <v>1005510</v>
      </c>
      <c r="I973" s="108"/>
      <c r="J973" s="108"/>
      <c r="K973" s="109"/>
      <c r="L973" s="110"/>
      <c r="M973" s="57"/>
    </row>
    <row r="974" spans="1:13" ht="15" customHeight="1">
      <c r="A974" s="95" t="s">
        <v>5354</v>
      </c>
      <c r="B974" s="96">
        <v>16842</v>
      </c>
      <c r="C974" s="96" t="s">
        <v>5349</v>
      </c>
      <c r="D974" s="96">
        <v>80</v>
      </c>
      <c r="E974" s="97" t="s">
        <v>5353</v>
      </c>
      <c r="F974" s="97" t="s">
        <v>4259</v>
      </c>
      <c r="G974" s="97" t="s">
        <v>3663</v>
      </c>
      <c r="H974" s="98">
        <v>15077147</v>
      </c>
      <c r="I974" s="99"/>
      <c r="J974" s="99"/>
      <c r="K974" s="100"/>
      <c r="L974" s="101"/>
      <c r="M974" s="57"/>
    </row>
    <row r="975" spans="1:13" ht="15" customHeight="1">
      <c r="A975" s="85"/>
      <c r="B975" s="86"/>
      <c r="C975" s="86" t="s">
        <v>5350</v>
      </c>
      <c r="D975" s="86">
        <v>100</v>
      </c>
      <c r="E975" s="87"/>
      <c r="F975" s="87"/>
      <c r="G975" s="87"/>
      <c r="H975" s="88"/>
      <c r="I975" s="89"/>
      <c r="J975" s="89"/>
      <c r="K975" s="90"/>
      <c r="L975" s="91"/>
      <c r="M975" s="57"/>
    </row>
    <row r="976" spans="1:13" ht="15" customHeight="1">
      <c r="A976" s="80"/>
      <c r="B976" s="81"/>
      <c r="C976" s="81" t="s">
        <v>5351</v>
      </c>
      <c r="D976" s="81">
        <v>40</v>
      </c>
      <c r="E976" s="82"/>
      <c r="F976" s="82"/>
      <c r="G976" s="82"/>
      <c r="H976" s="83"/>
      <c r="I976" s="84"/>
      <c r="J976" s="84"/>
      <c r="K976" s="102"/>
      <c r="L976" s="103"/>
      <c r="M976" s="57"/>
    </row>
    <row r="977" spans="1:13" ht="15" customHeight="1" thickBot="1">
      <c r="A977" s="80"/>
      <c r="B977" s="81"/>
      <c r="C977" s="81" t="s">
        <v>5352</v>
      </c>
      <c r="D977" s="81">
        <v>30</v>
      </c>
      <c r="E977" s="82"/>
      <c r="F977" s="82"/>
      <c r="G977" s="82"/>
      <c r="H977" s="83"/>
      <c r="I977" s="84"/>
      <c r="J977" s="84"/>
      <c r="K977" s="102"/>
      <c r="L977" s="103"/>
      <c r="M977" s="57"/>
    </row>
    <row r="978" spans="1:13" ht="15" customHeight="1">
      <c r="A978" s="95" t="s">
        <v>5354</v>
      </c>
      <c r="B978" s="96">
        <v>16842</v>
      </c>
      <c r="C978" s="96" t="s">
        <v>5349</v>
      </c>
      <c r="D978" s="96">
        <v>80</v>
      </c>
      <c r="E978" s="97" t="s">
        <v>5353</v>
      </c>
      <c r="F978" s="97" t="s">
        <v>4259</v>
      </c>
      <c r="G978" s="97" t="s">
        <v>3663</v>
      </c>
      <c r="H978" s="98">
        <v>15077147</v>
      </c>
      <c r="I978" s="99"/>
      <c r="J978" s="99"/>
      <c r="K978" s="100"/>
      <c r="L978" s="101"/>
      <c r="M978" s="57"/>
    </row>
    <row r="979" spans="1:13" ht="15" customHeight="1">
      <c r="A979" s="85"/>
      <c r="B979" s="86"/>
      <c r="C979" s="86" t="s">
        <v>5350</v>
      </c>
      <c r="D979" s="86">
        <v>100</v>
      </c>
      <c r="E979" s="87"/>
      <c r="F979" s="87"/>
      <c r="G979" s="87"/>
      <c r="H979" s="88"/>
      <c r="I979" s="89"/>
      <c r="J979" s="89"/>
      <c r="K979" s="90"/>
      <c r="L979" s="91"/>
      <c r="M979" s="57"/>
    </row>
    <row r="980" spans="1:13" ht="15" customHeight="1">
      <c r="A980" s="80"/>
      <c r="B980" s="81"/>
      <c r="C980" s="81" t="s">
        <v>5351</v>
      </c>
      <c r="D980" s="81">
        <v>40</v>
      </c>
      <c r="E980" s="82"/>
      <c r="F980" s="82"/>
      <c r="G980" s="82"/>
      <c r="H980" s="83"/>
      <c r="I980" s="84"/>
      <c r="J980" s="84"/>
      <c r="K980" s="102"/>
      <c r="L980" s="103"/>
      <c r="M980" s="57"/>
    </row>
    <row r="981" spans="1:13" ht="15" customHeight="1" thickBot="1">
      <c r="A981" s="80"/>
      <c r="B981" s="81"/>
      <c r="C981" s="81" t="s">
        <v>5352</v>
      </c>
      <c r="D981" s="81">
        <v>30</v>
      </c>
      <c r="E981" s="82"/>
      <c r="F981" s="82"/>
      <c r="G981" s="82"/>
      <c r="H981" s="83"/>
      <c r="I981" s="84"/>
      <c r="J981" s="84"/>
      <c r="K981" s="102"/>
      <c r="L981" s="103"/>
      <c r="M981" s="57"/>
    </row>
    <row r="982" spans="1:13" ht="15" customHeight="1">
      <c r="A982" s="95" t="s">
        <v>5354</v>
      </c>
      <c r="B982" s="96">
        <v>16843</v>
      </c>
      <c r="C982" s="96" t="s">
        <v>5355</v>
      </c>
      <c r="D982" s="96">
        <v>1</v>
      </c>
      <c r="E982" s="97" t="s">
        <v>4246</v>
      </c>
      <c r="F982" s="97" t="s">
        <v>4211</v>
      </c>
      <c r="G982" s="97" t="s">
        <v>5343</v>
      </c>
      <c r="H982" s="98">
        <v>2163480</v>
      </c>
      <c r="I982" s="99"/>
      <c r="J982" s="99"/>
      <c r="K982" s="100"/>
      <c r="L982" s="101"/>
      <c r="M982" s="57"/>
    </row>
    <row r="983" spans="1:13" ht="15" customHeight="1">
      <c r="A983" s="85"/>
      <c r="B983" s="86"/>
      <c r="C983" s="86" t="s">
        <v>5356</v>
      </c>
      <c r="D983" s="86">
        <v>1</v>
      </c>
      <c r="E983" s="87"/>
      <c r="F983" s="87"/>
      <c r="G983" s="87"/>
      <c r="H983" s="88"/>
      <c r="I983" s="89"/>
      <c r="J983" s="89"/>
      <c r="K983" s="90"/>
      <c r="L983" s="91"/>
      <c r="M983" s="57"/>
    </row>
    <row r="984" spans="1:13" ht="15" customHeight="1">
      <c r="A984" s="73"/>
      <c r="B984" s="2"/>
      <c r="C984" s="2" t="s">
        <v>5359</v>
      </c>
      <c r="D984" s="2">
        <v>1</v>
      </c>
      <c r="E984" s="4"/>
      <c r="F984" s="4"/>
      <c r="G984" s="4"/>
      <c r="H984" s="61"/>
      <c r="I984" s="62"/>
      <c r="J984" s="62"/>
      <c r="K984" s="78"/>
      <c r="L984" s="57"/>
      <c r="M984" s="57"/>
    </row>
    <row r="985" spans="1:13" ht="15" customHeight="1">
      <c r="A985" s="73"/>
      <c r="B985" s="2"/>
      <c r="C985" s="2" t="s">
        <v>5357</v>
      </c>
      <c r="D985" s="2">
        <v>1</v>
      </c>
      <c r="E985" s="4"/>
      <c r="F985" s="4"/>
      <c r="G985" s="4"/>
      <c r="H985" s="61"/>
      <c r="I985" s="62"/>
      <c r="J985" s="62"/>
      <c r="K985" s="78"/>
      <c r="L985" s="57"/>
      <c r="M985" s="57"/>
    </row>
    <row r="986" spans="1:13" ht="15" customHeight="1">
      <c r="A986" s="80"/>
      <c r="B986" s="81"/>
      <c r="C986" s="81" t="s">
        <v>5358</v>
      </c>
      <c r="D986" s="81">
        <v>1</v>
      </c>
      <c r="E986" s="82"/>
      <c r="F986" s="82"/>
      <c r="G986" s="82"/>
      <c r="H986" s="83"/>
      <c r="I986" s="84"/>
      <c r="J986" s="84"/>
      <c r="K986" s="102"/>
      <c r="L986" s="103"/>
      <c r="M986" s="57"/>
    </row>
    <row r="987" spans="1:13" ht="15" customHeight="1" thickBot="1">
      <c r="A987" s="80"/>
      <c r="B987" s="81"/>
      <c r="C987" s="81" t="s">
        <v>5360</v>
      </c>
      <c r="D987" s="81">
        <v>1</v>
      </c>
      <c r="E987" s="82"/>
      <c r="F987" s="82"/>
      <c r="G987" s="82"/>
      <c r="H987" s="83"/>
      <c r="I987" s="84"/>
      <c r="J987" s="84"/>
      <c r="K987" s="102"/>
      <c r="L987" s="103"/>
      <c r="M987" s="57"/>
    </row>
    <row r="988" spans="1:13" ht="15" customHeight="1">
      <c r="A988" s="95" t="s">
        <v>5354</v>
      </c>
      <c r="B988" s="96">
        <v>16844</v>
      </c>
      <c r="C988" s="96" t="s">
        <v>5349</v>
      </c>
      <c r="D988" s="96">
        <v>80</v>
      </c>
      <c r="E988" s="97" t="s">
        <v>5364</v>
      </c>
      <c r="F988" s="97" t="s">
        <v>4259</v>
      </c>
      <c r="G988" s="97" t="s">
        <v>3663</v>
      </c>
      <c r="H988" s="98">
        <v>15077147</v>
      </c>
      <c r="I988" s="99"/>
      <c r="J988" s="99"/>
      <c r="K988" s="100"/>
      <c r="L988" s="101"/>
      <c r="M988" s="57"/>
    </row>
    <row r="989" spans="1:13" ht="15" customHeight="1">
      <c r="A989" s="85"/>
      <c r="B989" s="86"/>
      <c r="C989" s="86" t="s">
        <v>5361</v>
      </c>
      <c r="D989" s="86">
        <v>100</v>
      </c>
      <c r="E989" s="87"/>
      <c r="F989" s="87"/>
      <c r="G989" s="87"/>
      <c r="H989" s="88"/>
      <c r="I989" s="89"/>
      <c r="J989" s="89"/>
      <c r="K989" s="90"/>
      <c r="L989" s="91"/>
      <c r="M989" s="57"/>
    </row>
    <row r="990" spans="1:13" ht="15" customHeight="1">
      <c r="A990" s="80"/>
      <c r="B990" s="81"/>
      <c r="C990" s="81" t="s">
        <v>5362</v>
      </c>
      <c r="D990" s="81">
        <v>40</v>
      </c>
      <c r="E990" s="82"/>
      <c r="F990" s="82"/>
      <c r="G990" s="82"/>
      <c r="H990" s="83"/>
      <c r="I990" s="84"/>
      <c r="J990" s="84"/>
      <c r="K990" s="102"/>
      <c r="L990" s="103"/>
      <c r="M990" s="57"/>
    </row>
    <row r="991" spans="1:13" ht="15" customHeight="1" thickBot="1">
      <c r="A991" s="80"/>
      <c r="B991" s="81"/>
      <c r="C991" s="81" t="s">
        <v>5363</v>
      </c>
      <c r="D991" s="81">
        <v>30</v>
      </c>
      <c r="E991" s="82"/>
      <c r="F991" s="82"/>
      <c r="G991" s="82"/>
      <c r="H991" s="83"/>
      <c r="I991" s="84"/>
      <c r="J991" s="84"/>
      <c r="K991" s="102"/>
      <c r="L991" s="103"/>
      <c r="M991" s="57"/>
    </row>
    <row r="992" spans="1:13" ht="15" customHeight="1">
      <c r="A992" s="95" t="s">
        <v>5354</v>
      </c>
      <c r="B992" s="96">
        <v>16844</v>
      </c>
      <c r="C992" s="96" t="s">
        <v>5349</v>
      </c>
      <c r="D992" s="96">
        <v>80</v>
      </c>
      <c r="E992" s="97" t="s">
        <v>5364</v>
      </c>
      <c r="F992" s="97" t="s">
        <v>4259</v>
      </c>
      <c r="G992" s="97" t="s">
        <v>3663</v>
      </c>
      <c r="H992" s="98">
        <v>15077147</v>
      </c>
      <c r="I992" s="99"/>
      <c r="J992" s="99"/>
      <c r="K992" s="100"/>
      <c r="L992" s="101"/>
      <c r="M992" s="57"/>
    </row>
    <row r="993" spans="1:13" ht="15" customHeight="1">
      <c r="A993" s="85"/>
      <c r="B993" s="86"/>
      <c r="C993" s="86" t="s">
        <v>5361</v>
      </c>
      <c r="D993" s="86">
        <v>100</v>
      </c>
      <c r="E993" s="87"/>
      <c r="F993" s="87"/>
      <c r="G993" s="87"/>
      <c r="H993" s="88"/>
      <c r="I993" s="89"/>
      <c r="J993" s="89"/>
      <c r="K993" s="90"/>
      <c r="L993" s="91"/>
      <c r="M993" s="57"/>
    </row>
    <row r="994" spans="1:13" ht="15" customHeight="1">
      <c r="A994" s="80"/>
      <c r="B994" s="81"/>
      <c r="C994" s="81" t="s">
        <v>5362</v>
      </c>
      <c r="D994" s="81">
        <v>40</v>
      </c>
      <c r="E994" s="82"/>
      <c r="F994" s="82"/>
      <c r="G994" s="82"/>
      <c r="H994" s="83"/>
      <c r="I994" s="84"/>
      <c r="J994" s="84"/>
      <c r="K994" s="102"/>
      <c r="L994" s="103"/>
      <c r="M994" s="57"/>
    </row>
    <row r="995" spans="1:13" ht="15" customHeight="1" thickBot="1">
      <c r="A995" s="80"/>
      <c r="B995" s="81"/>
      <c r="C995" s="81" t="s">
        <v>5363</v>
      </c>
      <c r="D995" s="81">
        <v>30</v>
      </c>
      <c r="E995" s="82"/>
      <c r="F995" s="82"/>
      <c r="G995" s="82"/>
      <c r="H995" s="83"/>
      <c r="I995" s="84"/>
      <c r="J995" s="84"/>
      <c r="K995" s="102"/>
      <c r="L995" s="103"/>
      <c r="M995" s="57"/>
    </row>
    <row r="996" spans="1:13" ht="15" customHeight="1">
      <c r="A996" s="95" t="s">
        <v>5354</v>
      </c>
      <c r="B996" s="96">
        <v>16844</v>
      </c>
      <c r="C996" s="96" t="s">
        <v>5349</v>
      </c>
      <c r="D996" s="96">
        <v>80</v>
      </c>
      <c r="E996" s="97" t="s">
        <v>5364</v>
      </c>
      <c r="F996" s="97" t="s">
        <v>4259</v>
      </c>
      <c r="G996" s="97" t="s">
        <v>3663</v>
      </c>
      <c r="H996" s="98">
        <v>15077147</v>
      </c>
      <c r="I996" s="99"/>
      <c r="J996" s="99"/>
      <c r="K996" s="100"/>
      <c r="L996" s="101"/>
      <c r="M996" s="57"/>
    </row>
    <row r="997" spans="1:13" ht="15" customHeight="1">
      <c r="A997" s="85"/>
      <c r="B997" s="86"/>
      <c r="C997" s="86" t="s">
        <v>5361</v>
      </c>
      <c r="D997" s="86">
        <v>100</v>
      </c>
      <c r="E997" s="87"/>
      <c r="F997" s="87"/>
      <c r="G997" s="87"/>
      <c r="H997" s="88"/>
      <c r="I997" s="89"/>
      <c r="J997" s="89"/>
      <c r="K997" s="90"/>
      <c r="L997" s="91"/>
      <c r="M997" s="57"/>
    </row>
    <row r="998" spans="1:13" ht="15" customHeight="1">
      <c r="A998" s="80"/>
      <c r="B998" s="81"/>
      <c r="C998" s="81" t="s">
        <v>5362</v>
      </c>
      <c r="D998" s="81">
        <v>40</v>
      </c>
      <c r="E998" s="82"/>
      <c r="F998" s="82"/>
      <c r="G998" s="82"/>
      <c r="H998" s="83"/>
      <c r="I998" s="84"/>
      <c r="J998" s="84"/>
      <c r="K998" s="102"/>
      <c r="L998" s="103"/>
      <c r="M998" s="103"/>
    </row>
    <row r="999" spans="1:13" ht="15" customHeight="1" thickBot="1">
      <c r="A999" s="80"/>
      <c r="B999" s="81"/>
      <c r="C999" s="81" t="s">
        <v>5363</v>
      </c>
      <c r="D999" s="81">
        <v>30</v>
      </c>
      <c r="E999" s="82"/>
      <c r="F999" s="82"/>
      <c r="G999" s="82"/>
      <c r="H999" s="83"/>
      <c r="I999" s="84"/>
      <c r="J999" s="84"/>
      <c r="K999" s="102"/>
      <c r="L999" s="103"/>
      <c r="M999" s="103"/>
    </row>
    <row r="1000" spans="1:13" ht="15" customHeight="1" thickBot="1">
      <c r="A1000" s="104" t="s">
        <v>5369</v>
      </c>
      <c r="B1000" s="105">
        <v>16845</v>
      </c>
      <c r="C1000" s="105" t="s">
        <v>4206</v>
      </c>
      <c r="D1000" s="105">
        <v>150</v>
      </c>
      <c r="E1000" s="106"/>
      <c r="F1000" s="106"/>
      <c r="G1000" s="106"/>
      <c r="H1000" s="107"/>
      <c r="I1000" s="108" t="s">
        <v>5367</v>
      </c>
      <c r="J1000" s="108" t="s">
        <v>4259</v>
      </c>
      <c r="K1000" s="109" t="s">
        <v>1338</v>
      </c>
      <c r="L1000" s="110">
        <v>2048227.5</v>
      </c>
      <c r="M1000" s="110" t="s">
        <v>5368</v>
      </c>
    </row>
    <row r="1001" spans="1:13" ht="15" customHeight="1">
      <c r="A1001" s="104" t="s">
        <v>5369</v>
      </c>
      <c r="B1001" s="105">
        <v>16846</v>
      </c>
      <c r="C1001" s="105" t="s">
        <v>5370</v>
      </c>
      <c r="D1001" s="105">
        <v>3</v>
      </c>
      <c r="E1001" s="106"/>
      <c r="F1001" s="106"/>
      <c r="G1001" s="106"/>
      <c r="H1001" s="107"/>
      <c r="I1001" s="108" t="s">
        <v>5372</v>
      </c>
      <c r="J1001" s="108" t="s">
        <v>4220</v>
      </c>
      <c r="K1001" s="109" t="s">
        <v>2975</v>
      </c>
      <c r="L1001" s="110">
        <v>177870</v>
      </c>
      <c r="M1001" s="110" t="s">
        <v>5373</v>
      </c>
    </row>
    <row r="1002" spans="1:13" ht="15" customHeight="1" thickBot="1">
      <c r="A1002" s="80"/>
      <c r="B1002" s="81"/>
      <c r="C1002" s="81" t="s">
        <v>5371</v>
      </c>
      <c r="D1002" s="81">
        <v>3</v>
      </c>
      <c r="E1002" s="82"/>
      <c r="F1002" s="82"/>
      <c r="G1002" s="82"/>
      <c r="H1002" s="83"/>
      <c r="I1002" s="84"/>
      <c r="J1002" s="84"/>
      <c r="K1002" s="102"/>
      <c r="L1002" s="103"/>
      <c r="M1002" s="103"/>
    </row>
    <row r="1003" spans="1:13" ht="15" customHeight="1" thickBot="1">
      <c r="A1003" s="104" t="s">
        <v>5375</v>
      </c>
      <c r="B1003" s="105">
        <v>16847</v>
      </c>
      <c r="C1003" s="105" t="s">
        <v>5374</v>
      </c>
      <c r="D1003" s="105">
        <v>1</v>
      </c>
      <c r="E1003" s="106"/>
      <c r="F1003" s="106"/>
      <c r="G1003" s="106"/>
      <c r="H1003" s="107"/>
      <c r="I1003" s="108"/>
      <c r="J1003" s="108" t="s">
        <v>4211</v>
      </c>
      <c r="K1003" s="109" t="s">
        <v>3698</v>
      </c>
      <c r="L1003" s="110">
        <v>0</v>
      </c>
      <c r="M1003" s="110"/>
    </row>
    <row r="1004" spans="1:13" ht="15" customHeight="1" thickBot="1">
      <c r="A1004" s="104" t="s">
        <v>5377</v>
      </c>
      <c r="B1004" s="105">
        <v>16848</v>
      </c>
      <c r="C1004" s="105" t="s">
        <v>5376</v>
      </c>
      <c r="D1004" s="105">
        <v>6</v>
      </c>
      <c r="E1004" s="106"/>
      <c r="F1004" s="106"/>
      <c r="G1004" s="106"/>
      <c r="H1004" s="107"/>
      <c r="I1004" s="108"/>
      <c r="J1004" s="108" t="s">
        <v>4414</v>
      </c>
      <c r="K1004" s="109" t="s">
        <v>3836</v>
      </c>
      <c r="L1004" s="110">
        <v>0</v>
      </c>
      <c r="M1004" s="110"/>
    </row>
    <row r="1005" spans="1:13" ht="15" customHeight="1" thickBot="1">
      <c r="A1005" s="104">
        <v>45352</v>
      </c>
      <c r="B1005" s="105">
        <v>16849</v>
      </c>
      <c r="C1005" s="105" t="s">
        <v>5381</v>
      </c>
      <c r="D1005" s="105">
        <v>3</v>
      </c>
      <c r="E1005" s="106"/>
      <c r="F1005" s="106"/>
      <c r="G1005" s="106"/>
      <c r="H1005" s="107"/>
      <c r="I1005" s="108" t="s">
        <v>5382</v>
      </c>
      <c r="J1005" s="108" t="s">
        <v>4220</v>
      </c>
      <c r="K1005" s="109" t="s">
        <v>5378</v>
      </c>
      <c r="L1005" s="110">
        <v>3896006.5</v>
      </c>
      <c r="M1005" s="110" t="s">
        <v>5383</v>
      </c>
    </row>
    <row r="1006" spans="1:13" ht="15" customHeight="1">
      <c r="A1006" s="104">
        <v>45352</v>
      </c>
      <c r="B1006" s="105">
        <v>16850</v>
      </c>
      <c r="C1006" s="105" t="s">
        <v>5384</v>
      </c>
      <c r="D1006" s="105">
        <v>5000</v>
      </c>
      <c r="E1006" s="106"/>
      <c r="F1006" s="106"/>
      <c r="G1006" s="106"/>
      <c r="H1006" s="107"/>
      <c r="I1006" s="108" t="s">
        <v>5386</v>
      </c>
      <c r="J1006" s="108" t="s">
        <v>4207</v>
      </c>
      <c r="K1006" s="109" t="s">
        <v>3825</v>
      </c>
      <c r="L1006" s="110">
        <v>8760000</v>
      </c>
      <c r="M1006" s="110" t="s">
        <v>5387</v>
      </c>
    </row>
    <row r="1007" spans="1:13" ht="15" customHeight="1" thickBot="1">
      <c r="A1007" s="80"/>
      <c r="B1007" s="81"/>
      <c r="C1007" s="81" t="s">
        <v>5385</v>
      </c>
      <c r="D1007" s="81">
        <v>5000</v>
      </c>
      <c r="E1007" s="82"/>
      <c r="F1007" s="82"/>
      <c r="G1007" s="82"/>
      <c r="H1007" s="83"/>
      <c r="I1007" s="84"/>
      <c r="J1007" s="84"/>
      <c r="K1007" s="102"/>
      <c r="L1007" s="103"/>
      <c r="M1007" s="103"/>
    </row>
    <row r="1008" spans="1:13" ht="15" customHeight="1">
      <c r="A1008" s="104">
        <v>45383</v>
      </c>
      <c r="B1008" s="105">
        <v>16851</v>
      </c>
      <c r="C1008" s="105" t="s">
        <v>5388</v>
      </c>
      <c r="D1008" s="105">
        <v>5000</v>
      </c>
      <c r="E1008" s="106"/>
      <c r="F1008" s="106"/>
      <c r="G1008" s="106"/>
      <c r="H1008" s="107"/>
      <c r="I1008" s="108" t="s">
        <v>5390</v>
      </c>
      <c r="J1008" s="108" t="s">
        <v>5389</v>
      </c>
      <c r="K1008" s="109" t="s">
        <v>3647</v>
      </c>
      <c r="L1008" s="110">
        <v>8760000</v>
      </c>
      <c r="M1008" s="110" t="s">
        <v>5391</v>
      </c>
    </row>
    <row r="1009" spans="1:13" ht="15" customHeight="1" thickBot="1">
      <c r="A1009" s="80"/>
      <c r="B1009" s="81"/>
      <c r="C1009" s="81" t="s">
        <v>5385</v>
      </c>
      <c r="D1009" s="81">
        <v>5000</v>
      </c>
      <c r="E1009" s="82"/>
      <c r="F1009" s="82"/>
      <c r="G1009" s="82"/>
      <c r="H1009" s="83"/>
      <c r="I1009" s="84"/>
      <c r="J1009" s="84"/>
      <c r="K1009" s="102"/>
      <c r="L1009" s="103"/>
      <c r="M1009" s="103"/>
    </row>
    <row r="1010" spans="1:13" ht="15" customHeight="1">
      <c r="A1010" s="104">
        <v>45383</v>
      </c>
      <c r="B1010" s="105">
        <v>16852</v>
      </c>
      <c r="C1010" s="105" t="s">
        <v>5392</v>
      </c>
      <c r="D1010" s="105">
        <v>623.0999755859375</v>
      </c>
      <c r="E1010" s="106"/>
      <c r="F1010" s="106"/>
      <c r="G1010" s="106"/>
      <c r="H1010" s="107"/>
      <c r="I1010" s="108" t="s">
        <v>5394</v>
      </c>
      <c r="J1010" s="108" t="s">
        <v>4259</v>
      </c>
      <c r="K1010" s="109" t="s">
        <v>3692</v>
      </c>
      <c r="L1010" s="110">
        <v>2468206.75</v>
      </c>
      <c r="M1010" s="110" t="s">
        <v>5396</v>
      </c>
    </row>
    <row r="1011" spans="1:13" ht="15" customHeight="1" thickBot="1">
      <c r="A1011" s="80"/>
      <c r="B1011" s="81"/>
      <c r="C1011" s="81" t="s">
        <v>5393</v>
      </c>
      <c r="D1011" s="81">
        <v>91.199996948242188</v>
      </c>
      <c r="E1011" s="82"/>
      <c r="F1011" s="82"/>
      <c r="G1011" s="82"/>
      <c r="H1011" s="83"/>
      <c r="I1011" s="84"/>
      <c r="J1011" s="84"/>
      <c r="K1011" s="102"/>
      <c r="L1011" s="103"/>
      <c r="M1011" s="103"/>
    </row>
    <row r="1012" spans="1:13" ht="15" customHeight="1" thickBot="1">
      <c r="A1012" s="104">
        <v>45383</v>
      </c>
      <c r="B1012" s="105">
        <v>16853</v>
      </c>
      <c r="C1012" s="105" t="s">
        <v>5397</v>
      </c>
      <c r="D1012" s="105">
        <v>600</v>
      </c>
      <c r="E1012" s="106"/>
      <c r="F1012" s="106"/>
      <c r="G1012" s="106"/>
      <c r="H1012" s="107"/>
      <c r="I1012" s="108" t="s">
        <v>5382</v>
      </c>
      <c r="J1012" s="108" t="s">
        <v>4259</v>
      </c>
      <c r="K1012" s="109" t="s">
        <v>3692</v>
      </c>
      <c r="L1012" s="110">
        <v>36430680</v>
      </c>
      <c r="M1012" s="110" t="s">
        <v>5396</v>
      </c>
    </row>
    <row r="1013" spans="1:13" ht="15" customHeight="1">
      <c r="A1013" s="95">
        <v>45383</v>
      </c>
      <c r="B1013" s="96">
        <v>16854</v>
      </c>
      <c r="C1013" s="96" t="s">
        <v>5398</v>
      </c>
      <c r="D1013" s="96">
        <v>2</v>
      </c>
      <c r="E1013" s="97"/>
      <c r="F1013" s="97"/>
      <c r="G1013" s="97"/>
      <c r="H1013" s="98"/>
      <c r="I1013" s="99" t="s">
        <v>4696</v>
      </c>
      <c r="J1013" s="99" t="s">
        <v>4211</v>
      </c>
      <c r="K1013" s="100" t="s">
        <v>1256</v>
      </c>
      <c r="L1013" s="101">
        <v>0</v>
      </c>
      <c r="M1013" s="101" t="s">
        <v>5395</v>
      </c>
    </row>
    <row r="1014" spans="1:13" ht="15" customHeight="1">
      <c r="A1014" s="85"/>
      <c r="B1014" s="86"/>
      <c r="C1014" s="86" t="s">
        <v>5399</v>
      </c>
      <c r="D1014" s="86">
        <v>1</v>
      </c>
      <c r="E1014" s="87"/>
      <c r="F1014" s="87"/>
      <c r="G1014" s="87"/>
      <c r="H1014" s="88"/>
      <c r="I1014" s="89"/>
      <c r="J1014" s="89"/>
      <c r="K1014" s="90"/>
      <c r="L1014" s="91"/>
      <c r="M1014" s="91"/>
    </row>
    <row r="1015" spans="1:13" ht="15" customHeight="1">
      <c r="A1015" s="73"/>
      <c r="B1015" s="2"/>
      <c r="C1015" s="2" t="s">
        <v>5400</v>
      </c>
      <c r="D1015" s="2">
        <v>1</v>
      </c>
      <c r="E1015" s="4"/>
      <c r="F1015" s="4"/>
      <c r="G1015" s="4"/>
      <c r="H1015" s="61"/>
      <c r="I1015" s="62"/>
      <c r="J1015" s="62"/>
      <c r="K1015" s="78"/>
      <c r="L1015" s="57"/>
      <c r="M1015" s="57"/>
    </row>
    <row r="1016" spans="1:13" ht="15" customHeight="1">
      <c r="A1016" s="73"/>
      <c r="B1016" s="2"/>
      <c r="C1016" s="2" t="s">
        <v>5401</v>
      </c>
      <c r="D1016" s="2">
        <v>1</v>
      </c>
      <c r="E1016" s="4"/>
      <c r="F1016" s="4"/>
      <c r="G1016" s="4"/>
      <c r="H1016" s="61"/>
      <c r="I1016" s="62"/>
      <c r="J1016" s="62"/>
      <c r="K1016" s="78"/>
      <c r="L1016" s="57"/>
      <c r="M1016" s="57"/>
    </row>
    <row r="1017" spans="1:13" ht="15" customHeight="1">
      <c r="A1017" s="73"/>
      <c r="B1017" s="2"/>
      <c r="C1017" s="2" t="s">
        <v>5402</v>
      </c>
      <c r="D1017" s="2">
        <v>1</v>
      </c>
      <c r="E1017" s="4"/>
      <c r="F1017" s="4"/>
      <c r="G1017" s="4"/>
      <c r="H1017" s="61"/>
      <c r="I1017" s="62"/>
      <c r="J1017" s="62"/>
      <c r="K1017" s="78"/>
      <c r="L1017" s="57"/>
      <c r="M1017" s="57"/>
    </row>
    <row r="1018" spans="1:13" ht="15" customHeight="1">
      <c r="A1018" s="73"/>
      <c r="B1018" s="2"/>
      <c r="C1018" s="2" t="s">
        <v>5403</v>
      </c>
      <c r="D1018" s="2">
        <v>1</v>
      </c>
      <c r="E1018" s="4"/>
      <c r="F1018" s="4"/>
      <c r="G1018" s="4"/>
      <c r="H1018" s="61"/>
      <c r="I1018" s="62"/>
      <c r="J1018" s="62"/>
      <c r="K1018" s="78"/>
      <c r="L1018" s="57"/>
      <c r="M1018" s="57"/>
    </row>
    <row r="1019" spans="1:13" ht="15" customHeight="1">
      <c r="A1019" s="73"/>
      <c r="B1019" s="2"/>
      <c r="C1019" s="2" t="s">
        <v>5405</v>
      </c>
      <c r="D1019" s="2">
        <v>1</v>
      </c>
      <c r="E1019" s="4"/>
      <c r="F1019" s="4"/>
      <c r="G1019" s="4"/>
      <c r="H1019" s="61"/>
      <c r="I1019" s="62"/>
      <c r="J1019" s="62"/>
      <c r="K1019" s="78"/>
      <c r="L1019" s="57"/>
      <c r="M1019" s="57"/>
    </row>
    <row r="1020" spans="1:13" ht="15" customHeight="1">
      <c r="A1020" s="73"/>
      <c r="B1020" s="2"/>
      <c r="C1020" s="2" t="s">
        <v>5404</v>
      </c>
      <c r="D1020" s="2">
        <v>1</v>
      </c>
      <c r="E1020" s="4"/>
      <c r="F1020" s="4"/>
      <c r="G1020" s="4"/>
      <c r="H1020" s="61"/>
      <c r="I1020" s="62"/>
      <c r="J1020" s="62"/>
      <c r="K1020" s="78"/>
      <c r="L1020" s="57"/>
      <c r="M1020" s="57"/>
    </row>
    <row r="1021" spans="1:13" ht="15" customHeight="1">
      <c r="A1021" s="80"/>
      <c r="B1021" s="81"/>
      <c r="C1021" s="81" t="s">
        <v>5406</v>
      </c>
      <c r="D1021" s="81">
        <v>1</v>
      </c>
      <c r="E1021" s="82"/>
      <c r="F1021" s="82"/>
      <c r="G1021" s="82"/>
      <c r="H1021" s="83"/>
      <c r="I1021" s="84"/>
      <c r="J1021" s="84"/>
      <c r="K1021" s="102"/>
      <c r="L1021" s="103"/>
      <c r="M1021" s="103"/>
    </row>
    <row r="1022" spans="1:13" ht="15" customHeight="1" thickBot="1">
      <c r="A1022" s="80"/>
      <c r="B1022" s="81"/>
      <c r="C1022" s="81" t="s">
        <v>5407</v>
      </c>
      <c r="D1022" s="81">
        <v>1</v>
      </c>
      <c r="E1022" s="82"/>
      <c r="F1022" s="82"/>
      <c r="G1022" s="82"/>
      <c r="H1022" s="83"/>
      <c r="I1022" s="84"/>
      <c r="J1022" s="84"/>
      <c r="K1022" s="102"/>
      <c r="L1022" s="103"/>
      <c r="M1022" s="103"/>
    </row>
    <row r="1023" spans="1:13" ht="15" customHeight="1" thickBot="1">
      <c r="A1023" s="104">
        <v>45383</v>
      </c>
      <c r="B1023" s="105">
        <v>16855</v>
      </c>
      <c r="C1023" s="105" t="s">
        <v>5408</v>
      </c>
      <c r="D1023" s="105">
        <v>2</v>
      </c>
      <c r="E1023" s="106"/>
      <c r="F1023" s="106"/>
      <c r="G1023" s="106"/>
      <c r="H1023" s="107"/>
      <c r="I1023" s="108" t="s">
        <v>4264</v>
      </c>
      <c r="J1023" s="108" t="s">
        <v>5409</v>
      </c>
      <c r="K1023" s="109" t="s">
        <v>5378</v>
      </c>
      <c r="L1023" s="110">
        <v>143058.296875</v>
      </c>
      <c r="M1023" s="110" t="s">
        <v>5395</v>
      </c>
    </row>
    <row r="1024" spans="1:13" ht="15" customHeight="1" thickBot="1">
      <c r="A1024" s="104">
        <v>45383</v>
      </c>
      <c r="B1024" s="105">
        <v>16856</v>
      </c>
      <c r="C1024" s="105" t="s">
        <v>4206</v>
      </c>
      <c r="D1024" s="105">
        <v>60</v>
      </c>
      <c r="E1024" s="106"/>
      <c r="F1024" s="106"/>
      <c r="G1024" s="106"/>
      <c r="H1024" s="107"/>
      <c r="I1024" s="108" t="s">
        <v>5411</v>
      </c>
      <c r="J1024" s="108" t="s">
        <v>4217</v>
      </c>
      <c r="K1024" s="109" t="s">
        <v>1338</v>
      </c>
      <c r="L1024" s="110">
        <v>822558</v>
      </c>
      <c r="M1024" s="110" t="s">
        <v>5410</v>
      </c>
    </row>
    <row r="1025" spans="1:13" ht="15" customHeight="1">
      <c r="A1025" s="95">
        <v>45413</v>
      </c>
      <c r="B1025" s="96">
        <v>16857</v>
      </c>
      <c r="C1025" s="96" t="s">
        <v>5412</v>
      </c>
      <c r="D1025" s="96">
        <v>2</v>
      </c>
      <c r="E1025" s="97"/>
      <c r="F1025" s="97"/>
      <c r="G1025" s="97"/>
      <c r="H1025" s="98"/>
      <c r="I1025" s="99" t="s">
        <v>5415</v>
      </c>
      <c r="J1025" s="99" t="s">
        <v>4217</v>
      </c>
      <c r="K1025" s="100" t="s">
        <v>3778</v>
      </c>
      <c r="L1025" s="101">
        <v>1164.02001953125</v>
      </c>
      <c r="M1025" s="101" t="s">
        <v>5416</v>
      </c>
    </row>
    <row r="1026" spans="1:13" ht="15" customHeight="1">
      <c r="A1026" s="112"/>
      <c r="B1026" s="113"/>
      <c r="C1026" s="113" t="s">
        <v>5413</v>
      </c>
      <c r="D1026" s="113">
        <v>2</v>
      </c>
      <c r="E1026" s="114"/>
      <c r="F1026" s="114"/>
      <c r="G1026" s="114"/>
      <c r="H1026" s="115"/>
      <c r="I1026" s="116"/>
      <c r="J1026" s="116"/>
      <c r="K1026" s="117"/>
      <c r="L1026" s="118"/>
      <c r="M1026" s="118"/>
    </row>
    <row r="1027" spans="1:13" ht="15" customHeight="1" thickBot="1">
      <c r="A1027" s="80"/>
      <c r="B1027" s="81"/>
      <c r="C1027" s="81" t="s">
        <v>5414</v>
      </c>
      <c r="D1027" s="81">
        <v>2</v>
      </c>
      <c r="E1027" s="82"/>
      <c r="F1027" s="82"/>
      <c r="G1027" s="82"/>
      <c r="H1027" s="83"/>
      <c r="I1027" s="84"/>
      <c r="J1027" s="84"/>
      <c r="K1027" s="102"/>
      <c r="L1027" s="103"/>
      <c r="M1027" s="103"/>
    </row>
    <row r="1028" spans="1:13" ht="15" customHeight="1">
      <c r="A1028" s="95">
        <v>45536</v>
      </c>
      <c r="B1028" s="96">
        <v>16858</v>
      </c>
      <c r="C1028" s="96" t="s">
        <v>4642</v>
      </c>
      <c r="D1028" s="96">
        <v>555</v>
      </c>
      <c r="E1028" s="97"/>
      <c r="F1028" s="97"/>
      <c r="G1028" s="97"/>
      <c r="H1028" s="98"/>
      <c r="I1028" s="99" t="s">
        <v>5418</v>
      </c>
      <c r="J1028" s="99" t="s">
        <v>4259</v>
      </c>
      <c r="K1028" s="100" t="s">
        <v>3295</v>
      </c>
      <c r="L1028" s="101">
        <v>102327280</v>
      </c>
      <c r="M1028" s="101" t="s">
        <v>5419</v>
      </c>
    </row>
    <row r="1029" spans="1:13" ht="15" customHeight="1">
      <c r="A1029" s="112"/>
      <c r="B1029" s="113"/>
      <c r="C1029" s="113" t="s">
        <v>5417</v>
      </c>
      <c r="D1029" s="113">
        <v>269</v>
      </c>
      <c r="E1029" s="114"/>
      <c r="F1029" s="114"/>
      <c r="G1029" s="114"/>
      <c r="H1029" s="115"/>
      <c r="I1029" s="116"/>
      <c r="J1029" s="116"/>
      <c r="K1029" s="117"/>
      <c r="L1029" s="118"/>
      <c r="M1029" s="118"/>
    </row>
    <row r="1030" spans="1:13" ht="15" customHeight="1" thickBot="1">
      <c r="A1030" s="80"/>
      <c r="B1030" s="81"/>
      <c r="C1030" s="81" t="s">
        <v>4235</v>
      </c>
      <c r="D1030" s="81">
        <v>33</v>
      </c>
      <c r="E1030" s="82"/>
      <c r="F1030" s="82"/>
      <c r="G1030" s="82"/>
      <c r="H1030" s="83"/>
      <c r="I1030" s="84"/>
      <c r="J1030" s="84"/>
      <c r="K1030" s="102"/>
      <c r="L1030" s="103"/>
      <c r="M1030" s="103"/>
    </row>
    <row r="1031" spans="1:13" ht="15" customHeight="1">
      <c r="A1031" s="95">
        <v>45536</v>
      </c>
      <c r="B1031" s="96">
        <v>16859</v>
      </c>
      <c r="C1031" s="96" t="s">
        <v>5420</v>
      </c>
      <c r="D1031" s="96">
        <v>1</v>
      </c>
      <c r="E1031" s="97"/>
      <c r="F1031" s="97"/>
      <c r="G1031" s="97"/>
      <c r="H1031" s="98"/>
      <c r="I1031" s="99" t="s">
        <v>5424</v>
      </c>
      <c r="J1031" s="99" t="s">
        <v>4259</v>
      </c>
      <c r="K1031" s="100" t="s">
        <v>3063</v>
      </c>
      <c r="L1031" s="101">
        <v>1754500</v>
      </c>
      <c r="M1031" s="101" t="s">
        <v>5423</v>
      </c>
    </row>
    <row r="1032" spans="1:13" ht="15" customHeight="1">
      <c r="A1032" s="85"/>
      <c r="B1032" s="86"/>
      <c r="C1032" s="86" t="s">
        <v>5421</v>
      </c>
      <c r="D1032" s="86">
        <v>1</v>
      </c>
      <c r="E1032" s="87"/>
      <c r="F1032" s="87"/>
      <c r="G1032" s="87"/>
      <c r="H1032" s="88"/>
      <c r="I1032" s="89"/>
      <c r="J1032" s="89"/>
      <c r="K1032" s="90"/>
      <c r="L1032" s="91"/>
      <c r="M1032" s="91"/>
    </row>
    <row r="1033" spans="1:13" ht="15" customHeight="1">
      <c r="A1033" s="80"/>
      <c r="B1033" s="81"/>
      <c r="C1033" s="81" t="s">
        <v>4713</v>
      </c>
      <c r="D1033" s="81">
        <v>1</v>
      </c>
      <c r="E1033" s="82"/>
      <c r="F1033" s="82"/>
      <c r="G1033" s="82"/>
      <c r="H1033" s="83"/>
      <c r="I1033" s="84"/>
      <c r="J1033" s="84"/>
      <c r="K1033" s="102"/>
      <c r="L1033" s="103"/>
      <c r="M1033" s="103"/>
    </row>
    <row r="1034" spans="1:13" ht="15" customHeight="1" thickBot="1">
      <c r="A1034" s="80"/>
      <c r="B1034" s="81"/>
      <c r="C1034" s="81" t="s">
        <v>5422</v>
      </c>
      <c r="D1034" s="81">
        <v>1</v>
      </c>
      <c r="E1034" s="82"/>
      <c r="F1034" s="82"/>
      <c r="G1034" s="82"/>
      <c r="H1034" s="83"/>
      <c r="I1034" s="84"/>
      <c r="J1034" s="84"/>
      <c r="K1034" s="102"/>
      <c r="L1034" s="103"/>
      <c r="M1034" s="103"/>
    </row>
    <row r="1035" spans="1:13" ht="15" customHeight="1" thickBot="1">
      <c r="A1035" s="104">
        <v>45566</v>
      </c>
      <c r="B1035" s="105">
        <v>16860</v>
      </c>
      <c r="C1035" s="105" t="s">
        <v>5425</v>
      </c>
      <c r="D1035" s="105">
        <v>2</v>
      </c>
      <c r="E1035" s="106"/>
      <c r="F1035" s="106"/>
      <c r="G1035" s="106"/>
      <c r="H1035" s="107"/>
      <c r="I1035" s="108" t="s">
        <v>5426</v>
      </c>
      <c r="J1035" s="108" t="s">
        <v>4212</v>
      </c>
      <c r="K1035" s="109" t="s">
        <v>5378</v>
      </c>
      <c r="L1035" s="110">
        <v>30492</v>
      </c>
      <c r="M1035" s="110" t="s">
        <v>5427</v>
      </c>
    </row>
    <row r="1036" spans="1:13" ht="15" customHeight="1">
      <c r="A1036" s="95" t="s">
        <v>5430</v>
      </c>
      <c r="B1036" s="96">
        <v>16861</v>
      </c>
      <c r="C1036" s="96" t="s">
        <v>4642</v>
      </c>
      <c r="D1036" s="96">
        <v>555</v>
      </c>
      <c r="E1036" s="97"/>
      <c r="F1036" s="97"/>
      <c r="G1036" s="97"/>
      <c r="H1036" s="98"/>
      <c r="I1036" s="99" t="s">
        <v>5429</v>
      </c>
      <c r="J1036" s="99" t="s">
        <v>4259</v>
      </c>
      <c r="K1036" s="100" t="s">
        <v>3295</v>
      </c>
      <c r="L1036" s="101">
        <v>102327280</v>
      </c>
      <c r="M1036" s="101" t="s">
        <v>5419</v>
      </c>
    </row>
    <row r="1037" spans="1:13" ht="15" customHeight="1">
      <c r="A1037" s="112"/>
      <c r="B1037" s="113"/>
      <c r="C1037" s="113" t="s">
        <v>5428</v>
      </c>
      <c r="D1037" s="113">
        <v>269</v>
      </c>
      <c r="E1037" s="114"/>
      <c r="F1037" s="114"/>
      <c r="G1037" s="114"/>
      <c r="H1037" s="115"/>
      <c r="I1037" s="116"/>
      <c r="J1037" s="116"/>
      <c r="K1037" s="117"/>
      <c r="L1037" s="118"/>
      <c r="M1037" s="118"/>
    </row>
    <row r="1038" spans="1:13" ht="15" customHeight="1" thickBot="1">
      <c r="A1038" s="80"/>
      <c r="B1038" s="81"/>
      <c r="C1038" s="81" t="s">
        <v>4305</v>
      </c>
      <c r="D1038" s="81">
        <v>33</v>
      </c>
      <c r="E1038" s="82"/>
      <c r="F1038" s="82"/>
      <c r="G1038" s="82"/>
      <c r="H1038" s="83"/>
      <c r="I1038" s="84"/>
      <c r="J1038" s="84"/>
      <c r="K1038" s="102"/>
      <c r="L1038" s="103"/>
      <c r="M1038" s="103"/>
    </row>
    <row r="1039" spans="1:13" ht="15" customHeight="1" thickBot="1">
      <c r="A1039" s="104" t="s">
        <v>5430</v>
      </c>
      <c r="B1039" s="105">
        <v>16862</v>
      </c>
      <c r="C1039" s="105" t="s">
        <v>5431</v>
      </c>
      <c r="D1039" s="105">
        <v>1</v>
      </c>
      <c r="E1039" s="106"/>
      <c r="F1039" s="106"/>
      <c r="G1039" s="106"/>
      <c r="H1039" s="107"/>
      <c r="I1039" s="108" t="s">
        <v>4264</v>
      </c>
      <c r="J1039" s="108" t="s">
        <v>4414</v>
      </c>
      <c r="K1039" s="109" t="s">
        <v>2424</v>
      </c>
      <c r="L1039" s="110">
        <v>4320.00244140625</v>
      </c>
      <c r="M1039" s="110"/>
    </row>
    <row r="1040" spans="1:13" ht="15" customHeight="1" thickBot="1">
      <c r="A1040" s="104" t="s">
        <v>5435</v>
      </c>
      <c r="B1040" s="105">
        <v>16863</v>
      </c>
      <c r="C1040" s="105" t="s">
        <v>5432</v>
      </c>
      <c r="D1040" s="105">
        <v>20</v>
      </c>
      <c r="E1040" s="106"/>
      <c r="F1040" s="106"/>
      <c r="G1040" s="106"/>
      <c r="H1040" s="107"/>
      <c r="I1040" s="108" t="s">
        <v>5434</v>
      </c>
      <c r="J1040" s="108" t="s">
        <v>4259</v>
      </c>
      <c r="K1040" s="109" t="s">
        <v>1405</v>
      </c>
      <c r="L1040" s="110">
        <v>3242800</v>
      </c>
      <c r="M1040" s="110" t="s">
        <v>5433</v>
      </c>
    </row>
    <row r="1041" spans="1:13" ht="15" customHeight="1" thickBot="1">
      <c r="A1041" s="104" t="s">
        <v>5435</v>
      </c>
      <c r="B1041" s="105">
        <v>16864</v>
      </c>
      <c r="C1041" s="105" t="s">
        <v>5436</v>
      </c>
      <c r="D1041" s="105">
        <v>1</v>
      </c>
      <c r="E1041" s="106"/>
      <c r="F1041" s="106"/>
      <c r="G1041" s="106"/>
      <c r="H1041" s="107"/>
      <c r="I1041" s="108" t="s">
        <v>4264</v>
      </c>
      <c r="J1041" s="108" t="s">
        <v>5437</v>
      </c>
      <c r="K1041" s="109" t="s">
        <v>2424</v>
      </c>
      <c r="L1041" s="110">
        <v>8307.0009765625</v>
      </c>
      <c r="M1041" s="110"/>
    </row>
    <row r="1042" spans="1:13" ht="15" customHeight="1">
      <c r="A1042" s="95" t="s">
        <v>5443</v>
      </c>
      <c r="B1042" s="96">
        <v>16865</v>
      </c>
      <c r="C1042" s="96" t="s">
        <v>5438</v>
      </c>
      <c r="D1042" s="96">
        <v>1</v>
      </c>
      <c r="E1042" s="97"/>
      <c r="F1042" s="97"/>
      <c r="G1042" s="97"/>
      <c r="H1042" s="98"/>
      <c r="I1042" s="99" t="s">
        <v>4246</v>
      </c>
      <c r="J1042" s="99" t="s">
        <v>4211</v>
      </c>
      <c r="K1042" s="100" t="s">
        <v>1753</v>
      </c>
      <c r="L1042" s="101">
        <v>138.70750427246094</v>
      </c>
      <c r="M1042" s="101" t="s">
        <v>5442</v>
      </c>
    </row>
    <row r="1043" spans="1:13" ht="15" customHeight="1">
      <c r="A1043" s="85"/>
      <c r="B1043" s="86"/>
      <c r="C1043" s="86" t="s">
        <v>5439</v>
      </c>
      <c r="D1043" s="86">
        <v>1</v>
      </c>
      <c r="E1043" s="87"/>
      <c r="F1043" s="87"/>
      <c r="G1043" s="87"/>
      <c r="H1043" s="88"/>
      <c r="I1043" s="89"/>
      <c r="J1043" s="89"/>
      <c r="K1043" s="90"/>
      <c r="L1043" s="91"/>
      <c r="M1043" s="91"/>
    </row>
    <row r="1044" spans="1:13" ht="15" customHeight="1">
      <c r="A1044" s="80"/>
      <c r="B1044" s="81"/>
      <c r="C1044" s="81" t="s">
        <v>5440</v>
      </c>
      <c r="D1044" s="81">
        <v>2</v>
      </c>
      <c r="E1044" s="82"/>
      <c r="F1044" s="82"/>
      <c r="G1044" s="82"/>
      <c r="H1044" s="83"/>
      <c r="I1044" s="84"/>
      <c r="J1044" s="84"/>
      <c r="K1044" s="102"/>
      <c r="L1044" s="103"/>
      <c r="M1044" s="103"/>
    </row>
    <row r="1045" spans="1:13" ht="15" customHeight="1" thickBot="1">
      <c r="A1045" s="80"/>
      <c r="B1045" s="81"/>
      <c r="C1045" s="81" t="s">
        <v>5441</v>
      </c>
      <c r="D1045" s="81">
        <v>1</v>
      </c>
      <c r="E1045" s="82"/>
      <c r="F1045" s="82"/>
      <c r="G1045" s="82"/>
      <c r="H1045" s="83"/>
      <c r="I1045" s="84"/>
      <c r="J1045" s="84"/>
      <c r="K1045" s="102"/>
      <c r="L1045" s="103"/>
      <c r="M1045" s="103"/>
    </row>
    <row r="1046" spans="1:13" ht="15" customHeight="1">
      <c r="A1046" s="95" t="s">
        <v>5443</v>
      </c>
      <c r="B1046" s="96">
        <v>16866</v>
      </c>
      <c r="C1046" s="96" t="s">
        <v>5444</v>
      </c>
      <c r="D1046" s="96">
        <v>1</v>
      </c>
      <c r="E1046" s="97"/>
      <c r="F1046" s="97"/>
      <c r="G1046" s="97"/>
      <c r="H1046" s="98"/>
      <c r="I1046" s="99" t="s">
        <v>4246</v>
      </c>
      <c r="J1046" s="99" t="s">
        <v>4211</v>
      </c>
      <c r="K1046" s="100" t="s">
        <v>1753</v>
      </c>
      <c r="L1046" s="101">
        <v>334.50601196289063</v>
      </c>
      <c r="M1046" s="101" t="s">
        <v>5448</v>
      </c>
    </row>
    <row r="1047" spans="1:13" ht="15" customHeight="1">
      <c r="A1047" s="85"/>
      <c r="B1047" s="86"/>
      <c r="C1047" s="86" t="s">
        <v>5445</v>
      </c>
      <c r="D1047" s="86">
        <v>1</v>
      </c>
      <c r="E1047" s="87"/>
      <c r="F1047" s="87"/>
      <c r="G1047" s="87"/>
      <c r="H1047" s="88"/>
      <c r="I1047" s="89"/>
      <c r="J1047" s="89"/>
      <c r="K1047" s="90"/>
      <c r="L1047" s="91"/>
      <c r="M1047" s="91"/>
    </row>
    <row r="1048" spans="1:13" ht="15" customHeight="1">
      <c r="A1048" s="73"/>
      <c r="B1048" s="2"/>
      <c r="C1048" s="2" t="s">
        <v>4518</v>
      </c>
      <c r="D1048" s="2">
        <v>1</v>
      </c>
      <c r="E1048" s="4"/>
      <c r="F1048" s="4"/>
      <c r="G1048" s="4"/>
      <c r="H1048" s="61"/>
      <c r="I1048" s="62"/>
      <c r="J1048" s="62"/>
      <c r="K1048" s="78"/>
      <c r="L1048" s="57"/>
      <c r="M1048" s="57"/>
    </row>
    <row r="1049" spans="1:13" ht="15" customHeight="1">
      <c r="A1049" s="80"/>
      <c r="B1049" s="81"/>
      <c r="C1049" s="81" t="s">
        <v>5446</v>
      </c>
      <c r="D1049" s="81">
        <v>1</v>
      </c>
      <c r="E1049" s="82"/>
      <c r="F1049" s="82"/>
      <c r="G1049" s="82"/>
      <c r="H1049" s="83"/>
      <c r="I1049" s="84"/>
      <c r="J1049" s="84"/>
      <c r="K1049" s="102"/>
      <c r="L1049" s="103"/>
      <c r="M1049" s="103"/>
    </row>
    <row r="1050" spans="1:13" ht="15" customHeight="1" thickBot="1">
      <c r="A1050" s="80"/>
      <c r="B1050" s="81"/>
      <c r="C1050" s="81" t="s">
        <v>5447</v>
      </c>
      <c r="D1050" s="81">
        <v>1</v>
      </c>
      <c r="E1050" s="82"/>
      <c r="F1050" s="82"/>
      <c r="G1050" s="82"/>
      <c r="H1050" s="83"/>
      <c r="I1050" s="84"/>
      <c r="J1050" s="84"/>
      <c r="K1050" s="102"/>
      <c r="L1050" s="103"/>
      <c r="M1050" s="103"/>
    </row>
    <row r="1051" spans="1:13" ht="15" customHeight="1">
      <c r="A1051" s="95" t="s">
        <v>5454</v>
      </c>
      <c r="B1051" s="96">
        <v>16867</v>
      </c>
      <c r="C1051" s="96" t="s">
        <v>5449</v>
      </c>
      <c r="D1051" s="96">
        <v>4</v>
      </c>
      <c r="E1051" s="97"/>
      <c r="F1051" s="97"/>
      <c r="G1051" s="97"/>
      <c r="H1051" s="98"/>
      <c r="I1051" s="99" t="s">
        <v>5453</v>
      </c>
      <c r="J1051" s="99" t="s">
        <v>5452</v>
      </c>
      <c r="K1051" s="100" t="s">
        <v>3661</v>
      </c>
      <c r="L1051" s="101">
        <v>0</v>
      </c>
      <c r="M1051" s="101"/>
    </row>
    <row r="1052" spans="1:13" ht="15" customHeight="1">
      <c r="A1052" s="112"/>
      <c r="B1052" s="113"/>
      <c r="C1052" s="113" t="s">
        <v>5450</v>
      </c>
      <c r="D1052" s="113">
        <v>1</v>
      </c>
      <c r="E1052" s="114"/>
      <c r="F1052" s="114"/>
      <c r="G1052" s="114"/>
      <c r="H1052" s="115"/>
      <c r="I1052" s="116"/>
      <c r="J1052" s="116"/>
      <c r="K1052" s="117"/>
      <c r="L1052" s="118"/>
      <c r="M1052" s="118"/>
    </row>
    <row r="1053" spans="1:13" ht="15" customHeight="1" thickBot="1">
      <c r="A1053" s="80"/>
      <c r="B1053" s="81"/>
      <c r="C1053" s="81" t="s">
        <v>5451</v>
      </c>
      <c r="D1053" s="81">
        <v>1</v>
      </c>
      <c r="E1053" s="82"/>
      <c r="F1053" s="82"/>
      <c r="G1053" s="82"/>
      <c r="H1053" s="83"/>
      <c r="I1053" s="84"/>
      <c r="J1053" s="84"/>
      <c r="K1053" s="102"/>
      <c r="L1053" s="103"/>
      <c r="M1053" s="103"/>
    </row>
    <row r="1054" spans="1:13" ht="15" customHeight="1" thickBot="1">
      <c r="A1054" s="104">
        <v>45414</v>
      </c>
      <c r="B1054" s="105">
        <v>16868</v>
      </c>
      <c r="C1054" s="105" t="s">
        <v>5455</v>
      </c>
      <c r="D1054" s="105">
        <v>1</v>
      </c>
      <c r="E1054" s="106"/>
      <c r="F1054" s="106"/>
      <c r="G1054" s="106"/>
      <c r="H1054" s="107"/>
      <c r="I1054" s="108"/>
      <c r="J1054" s="108" t="s">
        <v>4239</v>
      </c>
      <c r="K1054" s="109" t="s">
        <v>4012</v>
      </c>
      <c r="L1054" s="110">
        <v>251500</v>
      </c>
      <c r="M1054" s="110"/>
    </row>
    <row r="1055" spans="1:13" ht="15" customHeight="1" thickBot="1">
      <c r="A1055" s="104">
        <v>45414</v>
      </c>
      <c r="B1055" s="105">
        <v>16869</v>
      </c>
      <c r="C1055" s="105" t="s">
        <v>5456</v>
      </c>
      <c r="D1055" s="105">
        <v>1</v>
      </c>
      <c r="E1055" s="106"/>
      <c r="F1055" s="106"/>
      <c r="G1055" s="106"/>
      <c r="H1055" s="107"/>
      <c r="I1055" s="108" t="s">
        <v>5457</v>
      </c>
      <c r="J1055" s="108" t="s">
        <v>4414</v>
      </c>
      <c r="K1055" s="109" t="s">
        <v>1253</v>
      </c>
      <c r="L1055" s="110">
        <v>508200</v>
      </c>
      <c r="M1055" s="110"/>
    </row>
    <row r="1056" spans="1:13" ht="15" customHeight="1" thickBot="1">
      <c r="A1056" s="104">
        <v>45537</v>
      </c>
      <c r="B1056" s="105">
        <v>16870</v>
      </c>
      <c r="C1056" s="105" t="s">
        <v>5458</v>
      </c>
      <c r="D1056" s="105">
        <v>1</v>
      </c>
      <c r="E1056" s="106"/>
      <c r="F1056" s="106"/>
      <c r="G1056" s="106"/>
      <c r="H1056" s="107"/>
      <c r="I1056" s="108" t="s">
        <v>5459</v>
      </c>
      <c r="J1056" s="108" t="s">
        <v>4259</v>
      </c>
      <c r="K1056" s="109" t="s">
        <v>3698</v>
      </c>
      <c r="L1056" s="110">
        <v>141100</v>
      </c>
      <c r="M1056" s="110" t="s">
        <v>5395</v>
      </c>
    </row>
    <row r="1057" spans="1:13" ht="15" customHeight="1" thickBot="1">
      <c r="A1057" s="104">
        <v>45537</v>
      </c>
      <c r="B1057" s="105">
        <v>16870</v>
      </c>
      <c r="C1057" s="105" t="s">
        <v>5458</v>
      </c>
      <c r="D1057" s="105">
        <v>1</v>
      </c>
      <c r="E1057" s="106"/>
      <c r="F1057" s="106"/>
      <c r="G1057" s="106"/>
      <c r="H1057" s="107"/>
      <c r="I1057" s="108" t="s">
        <v>5459</v>
      </c>
      <c r="J1057" s="108" t="s">
        <v>4259</v>
      </c>
      <c r="K1057" s="109" t="s">
        <v>3698</v>
      </c>
      <c r="L1057" s="110">
        <v>141100</v>
      </c>
      <c r="M1057" s="110" t="s">
        <v>5395</v>
      </c>
    </row>
    <row r="1058" spans="1:13" ht="15" customHeight="1" thickBot="1">
      <c r="A1058" s="104" t="s">
        <v>5462</v>
      </c>
      <c r="B1058" s="105">
        <v>16871</v>
      </c>
      <c r="C1058" s="105" t="s">
        <v>5460</v>
      </c>
      <c r="D1058" s="105">
        <v>1</v>
      </c>
      <c r="E1058" s="106"/>
      <c r="F1058" s="106"/>
      <c r="G1058" s="106"/>
      <c r="H1058" s="107"/>
      <c r="I1058" s="108" t="s">
        <v>5461</v>
      </c>
      <c r="J1058" s="108" t="s">
        <v>4227</v>
      </c>
      <c r="K1058" s="109" t="s">
        <v>1248</v>
      </c>
      <c r="L1058" s="110">
        <v>0</v>
      </c>
      <c r="M1058" s="110"/>
    </row>
    <row r="1059" spans="1:13" ht="15" customHeight="1" thickBot="1">
      <c r="A1059" s="104" t="s">
        <v>5462</v>
      </c>
      <c r="B1059" s="105">
        <v>16872</v>
      </c>
      <c r="C1059" s="105" t="s">
        <v>5463</v>
      </c>
      <c r="D1059" s="105">
        <v>1</v>
      </c>
      <c r="E1059" s="106"/>
      <c r="F1059" s="106"/>
      <c r="G1059" s="106"/>
      <c r="H1059" s="107"/>
      <c r="I1059" s="108" t="s">
        <v>5464</v>
      </c>
      <c r="J1059" s="108" t="s">
        <v>4328</v>
      </c>
      <c r="K1059" s="109" t="s">
        <v>3698</v>
      </c>
      <c r="L1059" s="110">
        <v>0</v>
      </c>
      <c r="M1059" s="110" t="s">
        <v>5395</v>
      </c>
    </row>
    <row r="1060" spans="1:13" ht="15" customHeight="1">
      <c r="A1060" s="95" t="s">
        <v>5481</v>
      </c>
      <c r="B1060" s="96">
        <v>16873</v>
      </c>
      <c r="C1060" s="96" t="s">
        <v>5465</v>
      </c>
      <c r="D1060" s="96">
        <v>2</v>
      </c>
      <c r="E1060" s="97"/>
      <c r="F1060" s="97"/>
      <c r="G1060" s="97"/>
      <c r="H1060" s="98"/>
      <c r="I1060" s="99" t="s">
        <v>4696</v>
      </c>
      <c r="J1060" s="99" t="s">
        <v>4211</v>
      </c>
      <c r="K1060" s="100" t="s">
        <v>3265</v>
      </c>
      <c r="L1060" s="101">
        <v>0</v>
      </c>
      <c r="M1060" s="101" t="s">
        <v>5480</v>
      </c>
    </row>
    <row r="1061" spans="1:13" ht="15" customHeight="1">
      <c r="A1061" s="85"/>
      <c r="B1061" s="86"/>
      <c r="C1061" s="86" t="s">
        <v>5466</v>
      </c>
      <c r="D1061" s="86">
        <v>1</v>
      </c>
      <c r="E1061" s="87"/>
      <c r="F1061" s="87"/>
      <c r="G1061" s="87"/>
      <c r="H1061" s="88"/>
      <c r="I1061" s="89"/>
      <c r="J1061" s="89"/>
      <c r="K1061" s="90"/>
      <c r="L1061" s="91"/>
      <c r="M1061" s="91"/>
    </row>
    <row r="1062" spans="1:13" ht="15" customHeight="1">
      <c r="A1062" s="73"/>
      <c r="B1062" s="2"/>
      <c r="C1062" s="2" t="s">
        <v>5467</v>
      </c>
      <c r="D1062" s="2">
        <v>2</v>
      </c>
      <c r="E1062" s="4"/>
      <c r="F1062" s="4"/>
      <c r="G1062" s="4"/>
      <c r="H1062" s="61"/>
      <c r="I1062" s="62"/>
      <c r="J1062" s="62"/>
      <c r="K1062" s="78"/>
      <c r="L1062" s="57"/>
      <c r="M1062" s="57"/>
    </row>
    <row r="1063" spans="1:13" ht="15" customHeight="1">
      <c r="A1063" s="73"/>
      <c r="B1063" s="2"/>
      <c r="C1063" s="2" t="s">
        <v>5468</v>
      </c>
      <c r="D1063" s="2">
        <v>1</v>
      </c>
      <c r="E1063" s="4"/>
      <c r="F1063" s="4"/>
      <c r="G1063" s="4"/>
      <c r="H1063" s="61"/>
      <c r="I1063" s="62"/>
      <c r="J1063" s="62"/>
      <c r="K1063" s="78"/>
      <c r="L1063" s="57"/>
      <c r="M1063" s="57"/>
    </row>
    <row r="1064" spans="1:13" ht="15" customHeight="1">
      <c r="A1064" s="73"/>
      <c r="B1064" s="2"/>
      <c r="C1064" s="2" t="s">
        <v>5469</v>
      </c>
      <c r="D1064" s="2">
        <v>6</v>
      </c>
      <c r="E1064" s="4"/>
      <c r="F1064" s="4"/>
      <c r="G1064" s="4"/>
      <c r="H1064" s="61"/>
      <c r="I1064" s="62"/>
      <c r="J1064" s="62"/>
      <c r="K1064" s="78"/>
      <c r="L1064" s="57"/>
      <c r="M1064" s="57"/>
    </row>
    <row r="1065" spans="1:13" ht="15" customHeight="1">
      <c r="A1065" s="73"/>
      <c r="B1065" s="2"/>
      <c r="C1065" s="2" t="s">
        <v>5470</v>
      </c>
      <c r="D1065" s="2">
        <v>2</v>
      </c>
      <c r="E1065" s="4"/>
      <c r="F1065" s="4"/>
      <c r="G1065" s="4"/>
      <c r="H1065" s="61"/>
      <c r="I1065" s="62"/>
      <c r="J1065" s="62"/>
      <c r="K1065" s="78"/>
      <c r="L1065" s="57"/>
      <c r="M1065" s="57"/>
    </row>
    <row r="1066" spans="1:13" ht="15" customHeight="1">
      <c r="A1066" s="73"/>
      <c r="B1066" s="2"/>
      <c r="C1066" s="2" t="s">
        <v>5471</v>
      </c>
      <c r="D1066" s="2">
        <v>4</v>
      </c>
      <c r="E1066" s="4"/>
      <c r="F1066" s="4"/>
      <c r="G1066" s="4"/>
      <c r="H1066" s="61"/>
      <c r="I1066" s="62"/>
      <c r="J1066" s="62"/>
      <c r="K1066" s="78"/>
      <c r="L1066" s="57"/>
      <c r="M1066" s="57"/>
    </row>
    <row r="1067" spans="1:13" ht="15" customHeight="1">
      <c r="A1067" s="73"/>
      <c r="B1067" s="2"/>
      <c r="C1067" s="2" t="s">
        <v>5472</v>
      </c>
      <c r="D1067" s="2">
        <v>3</v>
      </c>
      <c r="E1067" s="4"/>
      <c r="F1067" s="4"/>
      <c r="G1067" s="4"/>
      <c r="H1067" s="61"/>
      <c r="I1067" s="62"/>
      <c r="J1067" s="62"/>
      <c r="K1067" s="78"/>
      <c r="L1067" s="57"/>
      <c r="M1067" s="57"/>
    </row>
    <row r="1068" spans="1:13" ht="15" customHeight="1">
      <c r="A1068" s="73"/>
      <c r="B1068" s="2"/>
      <c r="C1068" s="2" t="s">
        <v>5473</v>
      </c>
      <c r="D1068" s="2">
        <v>1</v>
      </c>
      <c r="E1068" s="4"/>
      <c r="F1068" s="4"/>
      <c r="G1068" s="4"/>
      <c r="H1068" s="61"/>
      <c r="I1068" s="62"/>
      <c r="J1068" s="62"/>
      <c r="K1068" s="78"/>
      <c r="L1068" s="57"/>
      <c r="M1068" s="57"/>
    </row>
    <row r="1069" spans="1:13" ht="15" customHeight="1">
      <c r="A1069" s="73"/>
      <c r="B1069" s="2"/>
      <c r="C1069" s="2" t="s">
        <v>5474</v>
      </c>
      <c r="D1069" s="2">
        <v>1</v>
      </c>
      <c r="E1069" s="4"/>
      <c r="F1069" s="4"/>
      <c r="G1069" s="4"/>
      <c r="H1069" s="61"/>
      <c r="I1069" s="62"/>
      <c r="J1069" s="62"/>
      <c r="K1069" s="78"/>
      <c r="L1069" s="57"/>
      <c r="M1069" s="57"/>
    </row>
    <row r="1070" spans="1:13" ht="15" customHeight="1">
      <c r="A1070" s="73"/>
      <c r="B1070" s="2"/>
      <c r="C1070" s="2" t="s">
        <v>5475</v>
      </c>
      <c r="D1070" s="2">
        <v>1</v>
      </c>
      <c r="E1070" s="4"/>
      <c r="F1070" s="4"/>
      <c r="G1070" s="4"/>
      <c r="H1070" s="61"/>
      <c r="I1070" s="62"/>
      <c r="J1070" s="62"/>
      <c r="K1070" s="78"/>
      <c r="L1070" s="57"/>
      <c r="M1070" s="57"/>
    </row>
    <row r="1071" spans="1:13" ht="15" customHeight="1">
      <c r="A1071" s="73"/>
      <c r="B1071" s="2"/>
      <c r="C1071" s="2" t="s">
        <v>5476</v>
      </c>
      <c r="D1071" s="2">
        <v>1</v>
      </c>
      <c r="E1071" s="4"/>
      <c r="F1071" s="4"/>
      <c r="G1071" s="4"/>
      <c r="H1071" s="61"/>
      <c r="I1071" s="62"/>
      <c r="J1071" s="62"/>
      <c r="K1071" s="78"/>
      <c r="L1071" s="57"/>
      <c r="M1071" s="57"/>
    </row>
    <row r="1072" spans="1:13" ht="15" customHeight="1">
      <c r="A1072" s="73"/>
      <c r="B1072" s="2"/>
      <c r="C1072" s="2" t="s">
        <v>5477</v>
      </c>
      <c r="D1072" s="2">
        <v>2</v>
      </c>
      <c r="E1072" s="4"/>
      <c r="F1072" s="4"/>
      <c r="G1072" s="4"/>
      <c r="H1072" s="61"/>
      <c r="I1072" s="62"/>
      <c r="J1072" s="62"/>
      <c r="K1072" s="78"/>
      <c r="L1072" s="57"/>
      <c r="M1072" s="57"/>
    </row>
    <row r="1073" spans="1:13" ht="15" customHeight="1">
      <c r="A1073" s="80"/>
      <c r="B1073" s="81"/>
      <c r="C1073" s="81" t="s">
        <v>5478</v>
      </c>
      <c r="D1073" s="81">
        <v>2</v>
      </c>
      <c r="E1073" s="82"/>
      <c r="F1073" s="82"/>
      <c r="G1073" s="82"/>
      <c r="H1073" s="83"/>
      <c r="I1073" s="84"/>
      <c r="J1073" s="84"/>
      <c r="K1073" s="102"/>
      <c r="L1073" s="103"/>
      <c r="M1073" s="103"/>
    </row>
    <row r="1074" spans="1:13" ht="15" customHeight="1" thickBot="1">
      <c r="A1074" s="80"/>
      <c r="B1074" s="81"/>
      <c r="C1074" s="81" t="s">
        <v>5479</v>
      </c>
      <c r="D1074" s="81">
        <v>12</v>
      </c>
      <c r="E1074" s="82"/>
      <c r="F1074" s="82"/>
      <c r="G1074" s="82"/>
      <c r="H1074" s="83"/>
      <c r="I1074" s="84"/>
      <c r="J1074" s="84"/>
      <c r="K1074" s="102"/>
      <c r="L1074" s="103"/>
      <c r="M1074" s="103"/>
    </row>
    <row r="1075" spans="1:13" ht="15" customHeight="1" thickBot="1">
      <c r="A1075" s="104" t="s">
        <v>5481</v>
      </c>
      <c r="B1075" s="105">
        <v>16874</v>
      </c>
      <c r="C1075" s="105" t="s">
        <v>5483</v>
      </c>
      <c r="D1075" s="105">
        <v>1</v>
      </c>
      <c r="E1075" s="106"/>
      <c r="F1075" s="106"/>
      <c r="G1075" s="106"/>
      <c r="H1075" s="107"/>
      <c r="I1075" s="108" t="s">
        <v>4696</v>
      </c>
      <c r="J1075" s="108" t="s">
        <v>4211</v>
      </c>
      <c r="K1075" s="109" t="s">
        <v>3265</v>
      </c>
      <c r="L1075" s="110">
        <v>4036</v>
      </c>
      <c r="M1075" s="110" t="s">
        <v>5482</v>
      </c>
    </row>
    <row r="1076" spans="1:13" ht="15" customHeight="1" thickBot="1">
      <c r="A1076" s="104" t="s">
        <v>5486</v>
      </c>
      <c r="B1076" s="105">
        <v>16875</v>
      </c>
      <c r="C1076" s="105" t="s">
        <v>5484</v>
      </c>
      <c r="D1076" s="105">
        <v>1</v>
      </c>
      <c r="E1076" s="106"/>
      <c r="F1076" s="106"/>
      <c r="G1076" s="106"/>
      <c r="H1076" s="107"/>
      <c r="I1076" s="108" t="s">
        <v>5167</v>
      </c>
      <c r="J1076" s="108" t="s">
        <v>4259</v>
      </c>
      <c r="K1076" s="109" t="s">
        <v>298</v>
      </c>
      <c r="L1076" s="110">
        <v>67.336502075195313</v>
      </c>
      <c r="M1076" s="110" t="s">
        <v>5485</v>
      </c>
    </row>
    <row r="1077" spans="1:13" ht="15" customHeight="1">
      <c r="A1077" s="95" t="s">
        <v>5492</v>
      </c>
      <c r="B1077" s="96">
        <v>16876</v>
      </c>
      <c r="C1077" s="96" t="s">
        <v>5487</v>
      </c>
      <c r="D1077" s="96">
        <v>1</v>
      </c>
      <c r="E1077" s="97"/>
      <c r="F1077" s="97"/>
      <c r="G1077" s="97"/>
      <c r="H1077" s="98"/>
      <c r="I1077" s="99" t="s">
        <v>5491</v>
      </c>
      <c r="J1077" s="99" t="s">
        <v>4211</v>
      </c>
      <c r="K1077" s="100" t="s">
        <v>3547</v>
      </c>
      <c r="L1077" s="101">
        <v>0</v>
      </c>
      <c r="M1077" s="101" t="s">
        <v>5482</v>
      </c>
    </row>
    <row r="1078" spans="1:13" ht="15" customHeight="1">
      <c r="A1078" s="85"/>
      <c r="B1078" s="86"/>
      <c r="C1078" s="86" t="s">
        <v>5488</v>
      </c>
      <c r="D1078" s="86">
        <v>2</v>
      </c>
      <c r="E1078" s="87"/>
      <c r="F1078" s="87"/>
      <c r="G1078" s="87"/>
      <c r="H1078" s="88"/>
      <c r="I1078" s="89"/>
      <c r="J1078" s="89"/>
      <c r="K1078" s="90"/>
      <c r="L1078" s="91"/>
      <c r="M1078" s="91"/>
    </row>
    <row r="1079" spans="1:13" ht="15" customHeight="1">
      <c r="A1079" s="80"/>
      <c r="B1079" s="81"/>
      <c r="C1079" s="81" t="s">
        <v>5489</v>
      </c>
      <c r="D1079" s="81">
        <v>10</v>
      </c>
      <c r="E1079" s="82"/>
      <c r="F1079" s="82"/>
      <c r="G1079" s="82"/>
      <c r="H1079" s="83"/>
      <c r="I1079" s="84"/>
      <c r="J1079" s="84"/>
      <c r="K1079" s="102"/>
      <c r="L1079" s="103"/>
      <c r="M1079" s="103"/>
    </row>
    <row r="1080" spans="1:13" ht="15" customHeight="1" thickBot="1">
      <c r="A1080" s="80"/>
      <c r="B1080" s="81"/>
      <c r="C1080" s="81" t="s">
        <v>5490</v>
      </c>
      <c r="D1080" s="81">
        <v>10</v>
      </c>
      <c r="E1080" s="82"/>
      <c r="F1080" s="82"/>
      <c r="G1080" s="82"/>
      <c r="H1080" s="83"/>
      <c r="I1080" s="84"/>
      <c r="J1080" s="84"/>
      <c r="K1080" s="102"/>
      <c r="L1080" s="103"/>
      <c r="M1080" s="103"/>
    </row>
    <row r="1081" spans="1:13" ht="15" customHeight="1" thickBot="1">
      <c r="A1081" s="104" t="s">
        <v>5494</v>
      </c>
      <c r="B1081" s="105">
        <v>16877</v>
      </c>
      <c r="C1081" s="105" t="s">
        <v>5493</v>
      </c>
      <c r="D1081" s="105">
        <v>4</v>
      </c>
      <c r="E1081" s="106"/>
      <c r="F1081" s="106"/>
      <c r="G1081" s="106"/>
      <c r="H1081" s="107"/>
      <c r="I1081" s="108" t="s">
        <v>4264</v>
      </c>
      <c r="J1081" s="108" t="s">
        <v>4211</v>
      </c>
      <c r="K1081" s="109" t="s">
        <v>75</v>
      </c>
      <c r="L1081" s="110">
        <v>0</v>
      </c>
      <c r="M1081" s="110" t="s">
        <v>5482</v>
      </c>
    </row>
    <row r="1082" spans="1:13" ht="15" customHeight="1" thickBot="1">
      <c r="A1082" s="104">
        <v>45507</v>
      </c>
      <c r="B1082" s="105">
        <v>16878</v>
      </c>
      <c r="C1082" s="105" t="s">
        <v>5495</v>
      </c>
      <c r="D1082" s="105">
        <v>1</v>
      </c>
      <c r="E1082" s="106"/>
      <c r="F1082" s="106"/>
      <c r="G1082" s="106"/>
      <c r="H1082" s="107"/>
      <c r="I1082" s="108" t="s">
        <v>4264</v>
      </c>
      <c r="J1082" s="108" t="s">
        <v>4414</v>
      </c>
      <c r="K1082" s="109" t="s">
        <v>3542</v>
      </c>
      <c r="L1082" s="110">
        <v>0</v>
      </c>
      <c r="M1082" s="110" t="s">
        <v>5496</v>
      </c>
    </row>
    <row r="1083" spans="1:13" ht="15" customHeight="1" thickBot="1">
      <c r="A1083" s="104">
        <v>45507</v>
      </c>
      <c r="B1083" s="105">
        <v>16879</v>
      </c>
      <c r="C1083" s="105" t="s">
        <v>5495</v>
      </c>
      <c r="D1083" s="105">
        <v>1</v>
      </c>
      <c r="E1083" s="106"/>
      <c r="F1083" s="106"/>
      <c r="G1083" s="106"/>
      <c r="H1083" s="107"/>
      <c r="I1083" s="108" t="s">
        <v>4264</v>
      </c>
      <c r="J1083" s="108" t="s">
        <v>4414</v>
      </c>
      <c r="K1083" s="109" t="s">
        <v>3542</v>
      </c>
      <c r="L1083" s="110">
        <v>252890</v>
      </c>
      <c r="M1083" s="110" t="s">
        <v>5497</v>
      </c>
    </row>
    <row r="1084" spans="1:13" ht="15" customHeight="1">
      <c r="A1084" s="104">
        <v>45507</v>
      </c>
      <c r="B1084" s="105">
        <v>16880</v>
      </c>
      <c r="C1084" s="105" t="s">
        <v>5498</v>
      </c>
      <c r="D1084" s="105">
        <v>1</v>
      </c>
      <c r="E1084" s="106"/>
      <c r="F1084" s="106"/>
      <c r="G1084" s="106"/>
      <c r="H1084" s="107"/>
      <c r="I1084" s="108" t="s">
        <v>5500</v>
      </c>
      <c r="J1084" s="108" t="s">
        <v>4414</v>
      </c>
      <c r="K1084" s="109" t="s">
        <v>3542</v>
      </c>
      <c r="L1084" s="110">
        <v>0</v>
      </c>
      <c r="M1084" s="110" t="s">
        <v>5497</v>
      </c>
    </row>
    <row r="1085" spans="1:13" ht="15" customHeight="1" thickBot="1">
      <c r="A1085" s="80"/>
      <c r="B1085" s="81"/>
      <c r="C1085" s="81" t="s">
        <v>5499</v>
      </c>
      <c r="D1085" s="81">
        <v>1</v>
      </c>
      <c r="E1085" s="82"/>
      <c r="F1085" s="82"/>
      <c r="G1085" s="82"/>
      <c r="H1085" s="83"/>
      <c r="I1085" s="84"/>
      <c r="J1085" s="84"/>
      <c r="K1085" s="102"/>
      <c r="L1085" s="103"/>
      <c r="M1085" s="103"/>
    </row>
    <row r="1086" spans="1:13" ht="15" customHeight="1" thickBot="1">
      <c r="A1086" s="104" t="s">
        <v>5502</v>
      </c>
      <c r="B1086" s="105">
        <v>16881</v>
      </c>
      <c r="C1086" s="105" t="s">
        <v>5501</v>
      </c>
      <c r="D1086" s="105">
        <v>1</v>
      </c>
      <c r="E1086" s="106"/>
      <c r="F1086" s="106"/>
      <c r="G1086" s="106"/>
      <c r="H1086" s="107"/>
      <c r="I1086" s="108"/>
      <c r="J1086" s="108" t="s">
        <v>4234</v>
      </c>
      <c r="K1086" s="109" t="s">
        <v>2021</v>
      </c>
      <c r="L1086" s="110">
        <v>472000</v>
      </c>
      <c r="M1086" s="110"/>
    </row>
    <row r="1087" spans="1:13" ht="15" customHeight="1">
      <c r="A1087" s="95" t="s">
        <v>5507</v>
      </c>
      <c r="B1087" s="96">
        <v>16882</v>
      </c>
      <c r="C1087" s="96" t="s">
        <v>5503</v>
      </c>
      <c r="D1087" s="96">
        <v>2</v>
      </c>
      <c r="E1087" s="97"/>
      <c r="F1087" s="97"/>
      <c r="G1087" s="97"/>
      <c r="H1087" s="98"/>
      <c r="I1087" s="99" t="s">
        <v>4264</v>
      </c>
      <c r="J1087" s="99" t="s">
        <v>4414</v>
      </c>
      <c r="K1087" s="100" t="s">
        <v>4139</v>
      </c>
      <c r="L1087" s="101">
        <v>230021</v>
      </c>
      <c r="M1087" s="101"/>
    </row>
    <row r="1088" spans="1:13" ht="15" customHeight="1">
      <c r="A1088" s="85"/>
      <c r="B1088" s="86"/>
      <c r="C1088" s="86" t="s">
        <v>5504</v>
      </c>
      <c r="D1088" s="86">
        <v>7</v>
      </c>
      <c r="E1088" s="87"/>
      <c r="F1088" s="87"/>
      <c r="G1088" s="87"/>
      <c r="H1088" s="88"/>
      <c r="I1088" s="89"/>
      <c r="J1088" s="89"/>
      <c r="K1088" s="90"/>
      <c r="L1088" s="91"/>
      <c r="M1088" s="91"/>
    </row>
    <row r="1089" spans="1:13" ht="15" customHeight="1">
      <c r="A1089" s="80"/>
      <c r="B1089" s="81"/>
      <c r="C1089" s="81" t="s">
        <v>5505</v>
      </c>
      <c r="D1089" s="81">
        <v>2</v>
      </c>
      <c r="E1089" s="82"/>
      <c r="F1089" s="82"/>
      <c r="G1089" s="82"/>
      <c r="H1089" s="83"/>
      <c r="I1089" s="84"/>
      <c r="J1089" s="84"/>
      <c r="K1089" s="102"/>
      <c r="L1089" s="103"/>
      <c r="M1089" s="103"/>
    </row>
    <row r="1090" spans="1:13" ht="15" customHeight="1" thickBot="1">
      <c r="A1090" s="80"/>
      <c r="B1090" s="81"/>
      <c r="C1090" s="81" t="s">
        <v>5506</v>
      </c>
      <c r="D1090" s="81">
        <v>4</v>
      </c>
      <c r="E1090" s="82"/>
      <c r="F1090" s="82"/>
      <c r="G1090" s="82"/>
      <c r="H1090" s="83"/>
      <c r="I1090" s="84"/>
      <c r="J1090" s="84"/>
      <c r="K1090" s="102"/>
      <c r="L1090" s="103"/>
      <c r="M1090" s="103"/>
    </row>
    <row r="1091" spans="1:13" ht="15" customHeight="1">
      <c r="A1091" s="95">
        <v>45355</v>
      </c>
      <c r="B1091" s="96">
        <v>16883</v>
      </c>
      <c r="C1091" s="96" t="s">
        <v>5511</v>
      </c>
      <c r="D1091" s="96">
        <v>2</v>
      </c>
      <c r="E1091" s="97"/>
      <c r="F1091" s="97"/>
      <c r="G1091" s="97"/>
      <c r="H1091" s="98"/>
      <c r="I1091" s="99" t="s">
        <v>4264</v>
      </c>
      <c r="J1091" s="99" t="s">
        <v>4687</v>
      </c>
      <c r="K1091" s="100" t="s">
        <v>4979</v>
      </c>
      <c r="L1091" s="101">
        <v>0</v>
      </c>
      <c r="M1091" s="101"/>
    </row>
    <row r="1092" spans="1:13" ht="15" customHeight="1">
      <c r="A1092" s="85"/>
      <c r="B1092" s="86"/>
      <c r="C1092" s="86" t="s">
        <v>5512</v>
      </c>
      <c r="D1092" s="86">
        <v>2</v>
      </c>
      <c r="E1092" s="87"/>
      <c r="F1092" s="87"/>
      <c r="G1092" s="87"/>
      <c r="H1092" s="88"/>
      <c r="I1092" s="89"/>
      <c r="J1092" s="89"/>
      <c r="K1092" s="90"/>
      <c r="L1092" s="91"/>
      <c r="M1092" s="91"/>
    </row>
    <row r="1093" spans="1:13" ht="15" customHeight="1">
      <c r="A1093" s="80"/>
      <c r="B1093" s="81"/>
      <c r="C1093" s="81" t="s">
        <v>5513</v>
      </c>
      <c r="D1093" s="81">
        <v>1</v>
      </c>
      <c r="E1093" s="82"/>
      <c r="F1093" s="82"/>
      <c r="G1093" s="82"/>
      <c r="H1093" s="83"/>
      <c r="I1093" s="84"/>
      <c r="J1093" s="84"/>
      <c r="K1093" s="102"/>
      <c r="L1093" s="103"/>
      <c r="M1093" s="103"/>
    </row>
    <row r="1094" spans="1:13" ht="15" customHeight="1" thickBot="1">
      <c r="A1094" s="80"/>
      <c r="B1094" s="81"/>
      <c r="C1094" s="81" t="s">
        <v>5514</v>
      </c>
      <c r="D1094" s="81">
        <v>1</v>
      </c>
      <c r="E1094" s="82"/>
      <c r="F1094" s="82"/>
      <c r="G1094" s="82"/>
      <c r="H1094" s="83"/>
      <c r="I1094" s="84"/>
      <c r="J1094" s="84"/>
      <c r="K1094" s="102"/>
      <c r="L1094" s="103"/>
      <c r="M1094" s="103"/>
    </row>
    <row r="1095" spans="1:13" ht="15" customHeight="1">
      <c r="A1095" s="104">
        <v>45355</v>
      </c>
      <c r="B1095" s="105">
        <v>16884</v>
      </c>
      <c r="C1095" s="105" t="s">
        <v>5515</v>
      </c>
      <c r="D1095" s="105">
        <v>1</v>
      </c>
      <c r="E1095" s="106"/>
      <c r="F1095" s="106"/>
      <c r="G1095" s="106"/>
      <c r="H1095" s="107"/>
      <c r="I1095" s="108" t="s">
        <v>4264</v>
      </c>
      <c r="J1095" s="108" t="s">
        <v>4220</v>
      </c>
      <c r="K1095" s="109" t="s">
        <v>3661</v>
      </c>
      <c r="L1095" s="110">
        <v>934.6185302734375</v>
      </c>
      <c r="M1095" s="110" t="s">
        <v>5516</v>
      </c>
    </row>
    <row r="1096" spans="1:13" ht="15" customHeight="1" thickBot="1">
      <c r="A1096" s="80"/>
      <c r="B1096" s="81"/>
      <c r="C1096" s="81" t="s">
        <v>5517</v>
      </c>
      <c r="D1096" s="81">
        <v>2</v>
      </c>
      <c r="E1096" s="82"/>
      <c r="F1096" s="82"/>
      <c r="G1096" s="82"/>
      <c r="H1096" s="83"/>
      <c r="I1096" s="84"/>
      <c r="J1096" s="84"/>
      <c r="K1096" s="102"/>
      <c r="L1096" s="103"/>
      <c r="M1096" s="103"/>
    </row>
    <row r="1097" spans="1:13" ht="15" customHeight="1" thickBot="1">
      <c r="A1097" s="104">
        <v>45539</v>
      </c>
      <c r="B1097" s="105">
        <v>16885</v>
      </c>
      <c r="C1097" s="105" t="s">
        <v>5518</v>
      </c>
      <c r="D1097" s="105">
        <v>1</v>
      </c>
      <c r="E1097" s="106"/>
      <c r="F1097" s="106"/>
      <c r="G1097" s="106"/>
      <c r="H1097" s="107"/>
      <c r="I1097" s="108" t="s">
        <v>4246</v>
      </c>
      <c r="J1097" s="108" t="s">
        <v>4211</v>
      </c>
      <c r="K1097" s="109" t="s">
        <v>3661</v>
      </c>
      <c r="L1097" s="110">
        <v>423.31570434570313</v>
      </c>
      <c r="M1097" s="110" t="s">
        <v>5482</v>
      </c>
    </row>
    <row r="1098" spans="1:13" ht="15" customHeight="1">
      <c r="A1098" s="104" t="s">
        <v>5522</v>
      </c>
      <c r="B1098" s="105">
        <v>16886</v>
      </c>
      <c r="C1098" s="105" t="s">
        <v>5519</v>
      </c>
      <c r="D1098" s="105">
        <v>2</v>
      </c>
      <c r="E1098" s="106"/>
      <c r="F1098" s="106"/>
      <c r="G1098" s="106"/>
      <c r="H1098" s="107"/>
      <c r="I1098" s="108"/>
      <c r="J1098" s="108" t="s">
        <v>5521</v>
      </c>
      <c r="K1098" s="109" t="s">
        <v>4979</v>
      </c>
      <c r="L1098" s="110">
        <v>0</v>
      </c>
      <c r="M1098" s="110"/>
    </row>
    <row r="1099" spans="1:13" ht="15" customHeight="1" thickBot="1">
      <c r="A1099" s="80"/>
      <c r="B1099" s="81"/>
      <c r="C1099" s="81" t="s">
        <v>5520</v>
      </c>
      <c r="D1099" s="81">
        <v>1</v>
      </c>
      <c r="E1099" s="82"/>
      <c r="F1099" s="82"/>
      <c r="G1099" s="82"/>
      <c r="H1099" s="83"/>
      <c r="I1099" s="84"/>
      <c r="J1099" s="84"/>
      <c r="K1099" s="102"/>
      <c r="L1099" s="103"/>
      <c r="M1099" s="103"/>
    </row>
    <row r="1100" spans="1:13" ht="15" customHeight="1" thickBot="1">
      <c r="A1100" s="104" t="s">
        <v>5525</v>
      </c>
      <c r="B1100" s="105">
        <v>16887</v>
      </c>
      <c r="C1100" s="105" t="s">
        <v>5524</v>
      </c>
      <c r="D1100" s="105">
        <v>1</v>
      </c>
      <c r="E1100" s="106"/>
      <c r="F1100" s="106"/>
      <c r="G1100" s="106"/>
      <c r="H1100" s="107"/>
      <c r="I1100" s="108" t="s">
        <v>5523</v>
      </c>
      <c r="J1100" s="108" t="s">
        <v>4234</v>
      </c>
      <c r="K1100" s="109" t="s">
        <v>3698</v>
      </c>
      <c r="L1100" s="110">
        <v>0</v>
      </c>
      <c r="M1100" s="110"/>
    </row>
    <row r="1101" spans="1:13" ht="15" customHeight="1" thickBot="1">
      <c r="A1101" s="104">
        <v>45570</v>
      </c>
      <c r="B1101" s="105">
        <v>16888</v>
      </c>
      <c r="C1101" s="105" t="s">
        <v>5526</v>
      </c>
      <c r="D1101" s="105">
        <v>6</v>
      </c>
      <c r="E1101" s="106"/>
      <c r="F1101" s="106"/>
      <c r="G1101" s="106"/>
      <c r="H1101" s="107"/>
      <c r="I1101" s="108" t="s">
        <v>4246</v>
      </c>
      <c r="J1101" s="108" t="s">
        <v>4211</v>
      </c>
      <c r="K1101" s="109" t="s">
        <v>3951</v>
      </c>
      <c r="L1101" s="110">
        <v>0</v>
      </c>
      <c r="M1101" s="110" t="s">
        <v>5482</v>
      </c>
    </row>
    <row r="1102" spans="1:13" ht="15" customHeight="1" thickBot="1">
      <c r="A1102" s="104" t="s">
        <v>5528</v>
      </c>
      <c r="B1102" s="105">
        <v>16889</v>
      </c>
      <c r="C1102" s="105" t="s">
        <v>5527</v>
      </c>
      <c r="D1102" s="105">
        <v>2</v>
      </c>
      <c r="E1102" s="106"/>
      <c r="F1102" s="106"/>
      <c r="G1102" s="106"/>
      <c r="H1102" s="107"/>
      <c r="I1102" s="108" t="s">
        <v>4264</v>
      </c>
      <c r="J1102" s="108" t="s">
        <v>4301</v>
      </c>
      <c r="K1102" s="109" t="s">
        <v>3836</v>
      </c>
      <c r="L1102" s="110">
        <v>0</v>
      </c>
      <c r="M1102" s="110"/>
    </row>
    <row r="1103" spans="1:13" ht="15" customHeight="1">
      <c r="A1103" s="104" t="s">
        <v>5528</v>
      </c>
      <c r="B1103" s="105">
        <v>16890</v>
      </c>
      <c r="C1103" s="105"/>
      <c r="D1103" s="105"/>
      <c r="E1103" s="106"/>
      <c r="F1103" s="106"/>
      <c r="G1103" s="106"/>
      <c r="H1103" s="107"/>
      <c r="I1103" s="108">
        <v>0</v>
      </c>
      <c r="J1103" s="108">
        <v>50</v>
      </c>
      <c r="K1103" s="109">
        <v>45246</v>
      </c>
      <c r="L1103" s="110">
        <v>0</v>
      </c>
      <c r="M1103" s="110"/>
    </row>
    <row r="1104" spans="1:13" ht="15" customHeight="1" thickBot="1">
      <c r="A1104" s="80"/>
      <c r="B1104" s="81"/>
      <c r="C1104" s="81"/>
      <c r="D1104" s="81"/>
      <c r="E1104" s="82"/>
      <c r="F1104" s="82"/>
      <c r="G1104" s="82"/>
      <c r="H1104" s="83"/>
      <c r="I1104" s="84">
        <v>30</v>
      </c>
      <c r="J1104" s="84">
        <v>50</v>
      </c>
      <c r="K1104" s="102">
        <v>45276</v>
      </c>
      <c r="L1104" s="103">
        <v>0</v>
      </c>
      <c r="M1104" s="103"/>
    </row>
    <row r="1105" spans="1:13" ht="15" customHeight="1" thickBot="1">
      <c r="A1105" s="104" t="s">
        <v>5528</v>
      </c>
      <c r="B1105" s="105">
        <v>16891</v>
      </c>
      <c r="C1105" s="105" t="s">
        <v>5529</v>
      </c>
      <c r="D1105" s="105">
        <v>1</v>
      </c>
      <c r="E1105" s="106"/>
      <c r="F1105" s="106"/>
      <c r="G1105" s="106"/>
      <c r="H1105" s="107"/>
      <c r="I1105" s="108" t="s">
        <v>5531</v>
      </c>
      <c r="J1105" s="108" t="s">
        <v>5530</v>
      </c>
      <c r="K1105" s="109" t="s">
        <v>3676</v>
      </c>
      <c r="L1105" s="110">
        <v>0</v>
      </c>
      <c r="M1105" s="110"/>
    </row>
    <row r="1106" spans="1:13" ht="15" customHeight="1">
      <c r="A1106" s="104" t="s">
        <v>5528</v>
      </c>
      <c r="B1106" s="105">
        <v>16892</v>
      </c>
      <c r="C1106" s="105" t="s">
        <v>5532</v>
      </c>
      <c r="D1106" s="105">
        <v>1</v>
      </c>
      <c r="E1106" s="106"/>
      <c r="F1106" s="106"/>
      <c r="G1106" s="106"/>
      <c r="H1106" s="107"/>
      <c r="I1106" s="108" t="s">
        <v>5534</v>
      </c>
      <c r="J1106" s="108" t="s">
        <v>5530</v>
      </c>
      <c r="K1106" s="109" t="s">
        <v>3676</v>
      </c>
      <c r="L1106" s="110">
        <v>0</v>
      </c>
      <c r="M1106" s="110"/>
    </row>
    <row r="1107" spans="1:13" ht="15" customHeight="1" thickBot="1">
      <c r="A1107" s="80"/>
      <c r="B1107" s="81"/>
      <c r="C1107" s="81" t="s">
        <v>5533</v>
      </c>
      <c r="D1107" s="81">
        <v>1</v>
      </c>
      <c r="E1107" s="82"/>
      <c r="F1107" s="82"/>
      <c r="G1107" s="82"/>
      <c r="H1107" s="83"/>
      <c r="I1107" s="84"/>
      <c r="J1107" s="84"/>
      <c r="K1107" s="102"/>
      <c r="L1107" s="103"/>
      <c r="M1107" s="103"/>
    </row>
    <row r="1108" spans="1:13" ht="15" customHeight="1" thickBot="1">
      <c r="A1108" s="104" t="s">
        <v>5528</v>
      </c>
      <c r="B1108" s="105">
        <v>16893</v>
      </c>
      <c r="C1108" s="105" t="s">
        <v>4533</v>
      </c>
      <c r="D1108" s="105">
        <v>1</v>
      </c>
      <c r="E1108" s="106"/>
      <c r="F1108" s="106"/>
      <c r="G1108" s="106"/>
      <c r="H1108" s="107"/>
      <c r="I1108" s="108" t="s">
        <v>5536</v>
      </c>
      <c r="J1108" s="108" t="s">
        <v>5535</v>
      </c>
      <c r="K1108" s="109" t="s">
        <v>1248</v>
      </c>
      <c r="L1108" s="110">
        <v>0</v>
      </c>
      <c r="M1108" s="110" t="s">
        <v>5482</v>
      </c>
    </row>
    <row r="1109" spans="1:13" ht="15" customHeight="1" thickBot="1">
      <c r="A1109" s="104" t="s">
        <v>5528</v>
      </c>
      <c r="B1109" s="105">
        <v>16894</v>
      </c>
      <c r="C1109" s="105" t="s">
        <v>5537</v>
      </c>
      <c r="D1109" s="105">
        <v>1</v>
      </c>
      <c r="E1109" s="106"/>
      <c r="F1109" s="106"/>
      <c r="G1109" s="106"/>
      <c r="H1109" s="107"/>
      <c r="I1109" s="108"/>
      <c r="J1109" s="108" t="s">
        <v>5538</v>
      </c>
      <c r="K1109" s="109" t="s">
        <v>1248</v>
      </c>
      <c r="L1109" s="110">
        <v>0</v>
      </c>
      <c r="M1109" s="110" t="s">
        <v>5482</v>
      </c>
    </row>
    <row r="1110" spans="1:13" ht="15" customHeight="1" thickBot="1">
      <c r="A1110" s="104" t="s">
        <v>5528</v>
      </c>
      <c r="B1110" s="105">
        <v>16895</v>
      </c>
      <c r="C1110" s="105" t="s">
        <v>5540</v>
      </c>
      <c r="D1110" s="105">
        <v>1</v>
      </c>
      <c r="E1110" s="106"/>
      <c r="F1110" s="106"/>
      <c r="G1110" s="106"/>
      <c r="H1110" s="107"/>
      <c r="I1110" s="108" t="s">
        <v>5539</v>
      </c>
      <c r="J1110" s="108" t="s">
        <v>5538</v>
      </c>
      <c r="K1110" s="109" t="s">
        <v>1248</v>
      </c>
      <c r="L1110" s="110">
        <v>0</v>
      </c>
      <c r="M1110" s="110" t="s">
        <v>5482</v>
      </c>
    </row>
    <row r="1111" spans="1:13" ht="15" customHeight="1" thickBot="1">
      <c r="A1111" s="104" t="s">
        <v>5542</v>
      </c>
      <c r="B1111" s="105">
        <v>16896</v>
      </c>
      <c r="C1111" s="105" t="s">
        <v>5541</v>
      </c>
      <c r="D1111" s="105">
        <v>1</v>
      </c>
      <c r="E1111" s="106"/>
      <c r="F1111" s="106"/>
      <c r="G1111" s="106"/>
      <c r="H1111" s="107"/>
      <c r="I1111" s="108" t="s">
        <v>4228</v>
      </c>
      <c r="J1111" s="108" t="s">
        <v>4227</v>
      </c>
      <c r="K1111" s="109" t="s">
        <v>3653</v>
      </c>
      <c r="L1111" s="110">
        <v>0</v>
      </c>
      <c r="M1111" s="110" t="s">
        <v>5482</v>
      </c>
    </row>
    <row r="1112" spans="1:13" ht="15" customHeight="1" thickBot="1">
      <c r="A1112" s="104" t="s">
        <v>5542</v>
      </c>
      <c r="B1112" s="105">
        <v>16897</v>
      </c>
      <c r="C1112" s="105" t="s">
        <v>5543</v>
      </c>
      <c r="D1112" s="105">
        <v>3</v>
      </c>
      <c r="E1112" s="106"/>
      <c r="F1112" s="106"/>
      <c r="G1112" s="106"/>
      <c r="H1112" s="107"/>
      <c r="I1112" s="108" t="s">
        <v>4264</v>
      </c>
      <c r="J1112" s="108" t="s">
        <v>5544</v>
      </c>
      <c r="K1112" s="109" t="s">
        <v>3907</v>
      </c>
      <c r="L1112" s="110">
        <v>0</v>
      </c>
      <c r="M1112" s="110" t="s">
        <v>5545</v>
      </c>
    </row>
    <row r="1113" spans="1:13" ht="15" customHeight="1">
      <c r="A1113" s="104" t="s">
        <v>5542</v>
      </c>
      <c r="B1113" s="105">
        <v>16898</v>
      </c>
      <c r="C1113" s="105" t="s">
        <v>5546</v>
      </c>
      <c r="D1113" s="105">
        <v>2</v>
      </c>
      <c r="E1113" s="106"/>
      <c r="F1113" s="106"/>
      <c r="G1113" s="106"/>
      <c r="H1113" s="107"/>
      <c r="I1113" s="108" t="s">
        <v>5548</v>
      </c>
      <c r="J1113" s="108" t="s">
        <v>5547</v>
      </c>
      <c r="K1113" s="109" t="s">
        <v>3542</v>
      </c>
      <c r="L1113" s="110">
        <v>0</v>
      </c>
      <c r="M1113" s="110" t="s">
        <v>5549</v>
      </c>
    </row>
    <row r="1114" spans="1:13" ht="15" customHeight="1" thickBot="1">
      <c r="A1114" s="80"/>
      <c r="B1114" s="81"/>
      <c r="C1114" s="81" t="s">
        <v>5546</v>
      </c>
      <c r="D1114" s="81">
        <v>2</v>
      </c>
      <c r="E1114" s="82"/>
      <c r="F1114" s="82"/>
      <c r="G1114" s="82"/>
      <c r="H1114" s="83"/>
      <c r="I1114" s="84"/>
      <c r="J1114" s="84"/>
      <c r="K1114" s="102"/>
      <c r="L1114" s="103"/>
      <c r="M1114" s="103"/>
    </row>
    <row r="1115" spans="1:13" ht="15" customHeight="1" thickBot="1">
      <c r="A1115" s="104" t="s">
        <v>5553</v>
      </c>
      <c r="B1115" s="105">
        <v>16899</v>
      </c>
      <c r="C1115" s="105" t="s">
        <v>5550</v>
      </c>
      <c r="D1115" s="105">
        <v>4</v>
      </c>
      <c r="E1115" s="106"/>
      <c r="F1115" s="106"/>
      <c r="G1115" s="106"/>
      <c r="H1115" s="107"/>
      <c r="I1115" s="108" t="s">
        <v>5552</v>
      </c>
      <c r="J1115" s="108" t="s">
        <v>5551</v>
      </c>
      <c r="K1115" s="109" t="s">
        <v>3836</v>
      </c>
      <c r="L1115" s="110">
        <v>0</v>
      </c>
      <c r="M1115" s="110" t="s">
        <v>5482</v>
      </c>
    </row>
    <row r="1116" spans="1:13" ht="15" customHeight="1" thickBot="1">
      <c r="A1116" s="104" t="s">
        <v>5553</v>
      </c>
      <c r="B1116" s="105">
        <v>16900</v>
      </c>
      <c r="C1116" s="105" t="s">
        <v>5554</v>
      </c>
      <c r="D1116" s="105">
        <v>1</v>
      </c>
      <c r="E1116" s="106"/>
      <c r="F1116" s="106"/>
      <c r="G1116" s="106"/>
      <c r="H1116" s="107"/>
      <c r="I1116" s="108" t="s">
        <v>5555</v>
      </c>
      <c r="J1116" s="108" t="s">
        <v>5555</v>
      </c>
      <c r="K1116" s="109" t="s">
        <v>502</v>
      </c>
      <c r="L1116" s="110">
        <v>0</v>
      </c>
      <c r="M1116" s="110" t="s">
        <v>5482</v>
      </c>
    </row>
    <row r="1117" spans="1:13" ht="15" customHeight="1">
      <c r="A1117" s="104" t="s">
        <v>5560</v>
      </c>
      <c r="B1117" s="105">
        <v>16901</v>
      </c>
      <c r="C1117" s="105" t="s">
        <v>5556</v>
      </c>
      <c r="D1117" s="105">
        <v>3</v>
      </c>
      <c r="E1117" s="106"/>
      <c r="F1117" s="106"/>
      <c r="G1117" s="106"/>
      <c r="H1117" s="107"/>
      <c r="I1117" s="108" t="s">
        <v>5559</v>
      </c>
      <c r="J1117" s="108" t="s">
        <v>5558</v>
      </c>
      <c r="K1117" s="109" t="s">
        <v>450</v>
      </c>
      <c r="L1117" s="110">
        <v>0</v>
      </c>
      <c r="M1117" s="110" t="s">
        <v>5410</v>
      </c>
    </row>
    <row r="1118" spans="1:13" ht="15" customHeight="1" thickBot="1">
      <c r="A1118" s="80"/>
      <c r="B1118" s="81"/>
      <c r="C1118" s="81" t="s">
        <v>5557</v>
      </c>
      <c r="D1118" s="81">
        <v>2</v>
      </c>
      <c r="E1118" s="82"/>
      <c r="F1118" s="82"/>
      <c r="G1118" s="82"/>
      <c r="H1118" s="83"/>
      <c r="I1118" s="84"/>
      <c r="J1118" s="84"/>
      <c r="K1118" s="102"/>
      <c r="L1118" s="103"/>
      <c r="M1118" s="103"/>
    </row>
    <row r="1119" spans="1:13" ht="15" customHeight="1">
      <c r="A1119" s="95" t="s">
        <v>5567</v>
      </c>
      <c r="B1119" s="96">
        <v>16902</v>
      </c>
      <c r="C1119" s="96" t="s">
        <v>5561</v>
      </c>
      <c r="D1119" s="96">
        <v>2</v>
      </c>
      <c r="E1119" s="97"/>
      <c r="F1119" s="97"/>
      <c r="G1119" s="97"/>
      <c r="H1119" s="98"/>
      <c r="I1119" s="99" t="s">
        <v>5566</v>
      </c>
      <c r="J1119" s="99" t="s">
        <v>4414</v>
      </c>
      <c r="K1119" s="100" t="s">
        <v>3836</v>
      </c>
      <c r="L1119" s="101">
        <v>0</v>
      </c>
      <c r="M1119" s="101" t="s">
        <v>5482</v>
      </c>
    </row>
    <row r="1120" spans="1:13" ht="15" customHeight="1">
      <c r="A1120" s="85"/>
      <c r="B1120" s="86"/>
      <c r="C1120" s="86" t="s">
        <v>5562</v>
      </c>
      <c r="D1120" s="86">
        <v>1</v>
      </c>
      <c r="E1120" s="87"/>
      <c r="F1120" s="87"/>
      <c r="G1120" s="87"/>
      <c r="H1120" s="88"/>
      <c r="I1120" s="89"/>
      <c r="J1120" s="89"/>
      <c r="K1120" s="90"/>
      <c r="L1120" s="91"/>
      <c r="M1120" s="91"/>
    </row>
    <row r="1121" spans="1:13" ht="15" customHeight="1">
      <c r="A1121" s="73"/>
      <c r="B1121" s="2"/>
      <c r="C1121" s="2" t="s">
        <v>5563</v>
      </c>
      <c r="D1121" s="2">
        <v>1</v>
      </c>
      <c r="E1121" s="4"/>
      <c r="F1121" s="4"/>
      <c r="G1121" s="4"/>
      <c r="H1121" s="61"/>
      <c r="I1121" s="62"/>
      <c r="J1121" s="62"/>
      <c r="K1121" s="78"/>
      <c r="L1121" s="57"/>
      <c r="M1121" s="57"/>
    </row>
    <row r="1122" spans="1:13" ht="15" customHeight="1">
      <c r="A1122" s="80"/>
      <c r="B1122" s="81"/>
      <c r="C1122" s="81" t="s">
        <v>5564</v>
      </c>
      <c r="D1122" s="81">
        <v>1</v>
      </c>
      <c r="E1122" s="82"/>
      <c r="F1122" s="82"/>
      <c r="G1122" s="82"/>
      <c r="H1122" s="83"/>
      <c r="I1122" s="84"/>
      <c r="J1122" s="84"/>
      <c r="K1122" s="102"/>
      <c r="L1122" s="103"/>
      <c r="M1122" s="103"/>
    </row>
    <row r="1123" spans="1:13" ht="15" customHeight="1" thickBot="1">
      <c r="A1123" s="80"/>
      <c r="B1123" s="81"/>
      <c r="C1123" s="81" t="s">
        <v>5565</v>
      </c>
      <c r="D1123" s="81">
        <v>1</v>
      </c>
      <c r="E1123" s="82"/>
      <c r="F1123" s="82"/>
      <c r="G1123" s="82"/>
      <c r="H1123" s="83"/>
      <c r="I1123" s="84"/>
      <c r="J1123" s="84"/>
      <c r="K1123" s="102"/>
      <c r="L1123" s="103"/>
      <c r="M1123" s="103"/>
    </row>
    <row r="1124" spans="1:13" ht="15" customHeight="1" thickBot="1">
      <c r="A1124" s="104" t="s">
        <v>5567</v>
      </c>
      <c r="B1124" s="105">
        <v>16903</v>
      </c>
      <c r="C1124" s="105" t="s">
        <v>5568</v>
      </c>
      <c r="D1124" s="105">
        <v>3</v>
      </c>
      <c r="E1124" s="106"/>
      <c r="F1124" s="106"/>
      <c r="G1124" s="106"/>
      <c r="H1124" s="107"/>
      <c r="I1124" s="108" t="s">
        <v>4643</v>
      </c>
      <c r="J1124" s="108" t="s">
        <v>5569</v>
      </c>
      <c r="K1124" s="109" t="s">
        <v>3662</v>
      </c>
      <c r="L1124" s="110">
        <v>0</v>
      </c>
      <c r="M1124" s="110" t="s">
        <v>5482</v>
      </c>
    </row>
    <row r="1125" spans="1:13" ht="15" customHeight="1">
      <c r="A1125" s="104" t="s">
        <v>5567</v>
      </c>
      <c r="B1125" s="105">
        <v>16904</v>
      </c>
      <c r="C1125" s="105" t="s">
        <v>5570</v>
      </c>
      <c r="D1125" s="105">
        <v>2</v>
      </c>
      <c r="E1125" s="106"/>
      <c r="F1125" s="106"/>
      <c r="G1125" s="106"/>
      <c r="H1125" s="107"/>
      <c r="I1125" s="108" t="s">
        <v>5572</v>
      </c>
      <c r="J1125" s="108" t="s">
        <v>5547</v>
      </c>
      <c r="K1125" s="109" t="s">
        <v>3662</v>
      </c>
      <c r="L1125" s="110">
        <v>0</v>
      </c>
      <c r="M1125" s="110" t="s">
        <v>5482</v>
      </c>
    </row>
    <row r="1126" spans="1:13" ht="15" customHeight="1" thickBot="1">
      <c r="A1126" s="80"/>
      <c r="B1126" s="81"/>
      <c r="C1126" s="81" t="s">
        <v>5571</v>
      </c>
      <c r="D1126" s="81">
        <v>2</v>
      </c>
      <c r="E1126" s="82"/>
      <c r="F1126" s="82"/>
      <c r="G1126" s="82"/>
      <c r="H1126" s="83"/>
      <c r="I1126" s="84"/>
      <c r="J1126" s="84"/>
      <c r="K1126" s="102"/>
      <c r="L1126" s="103"/>
      <c r="M1126" s="103"/>
    </row>
    <row r="1127" spans="1:13" ht="15" customHeight="1">
      <c r="A1127" s="95" t="s">
        <v>5567</v>
      </c>
      <c r="B1127" s="96">
        <v>16905</v>
      </c>
      <c r="C1127" s="96" t="s">
        <v>5573</v>
      </c>
      <c r="D1127" s="96">
        <v>3</v>
      </c>
      <c r="E1127" s="97"/>
      <c r="F1127" s="97"/>
      <c r="G1127" s="97"/>
      <c r="H1127" s="98"/>
      <c r="I1127" s="99" t="s">
        <v>5566</v>
      </c>
      <c r="J1127" s="99" t="s">
        <v>5547</v>
      </c>
      <c r="K1127" s="100" t="s">
        <v>3907</v>
      </c>
      <c r="L1127" s="101">
        <v>0</v>
      </c>
      <c r="M1127" s="101" t="s">
        <v>5482</v>
      </c>
    </row>
    <row r="1128" spans="1:13" ht="15" customHeight="1">
      <c r="A1128" s="85"/>
      <c r="B1128" s="86"/>
      <c r="C1128" s="86" t="s">
        <v>5574</v>
      </c>
      <c r="D1128" s="86">
        <v>2</v>
      </c>
      <c r="E1128" s="87"/>
      <c r="F1128" s="87"/>
      <c r="G1128" s="87"/>
      <c r="H1128" s="88"/>
      <c r="I1128" s="89"/>
      <c r="J1128" s="89"/>
      <c r="K1128" s="90"/>
      <c r="L1128" s="91"/>
      <c r="M1128" s="91"/>
    </row>
    <row r="1129" spans="1:13" ht="15" customHeight="1">
      <c r="A1129" s="73"/>
      <c r="B1129" s="2"/>
      <c r="C1129" s="2" t="s">
        <v>5575</v>
      </c>
      <c r="D1129" s="2">
        <v>6</v>
      </c>
      <c r="E1129" s="4"/>
      <c r="F1129" s="4"/>
      <c r="G1129" s="4"/>
      <c r="H1129" s="61"/>
      <c r="I1129" s="62"/>
      <c r="J1129" s="62"/>
      <c r="K1129" s="78"/>
      <c r="L1129" s="57"/>
      <c r="M1129" s="57"/>
    </row>
    <row r="1130" spans="1:13" ht="15" customHeight="1">
      <c r="A1130" s="73"/>
      <c r="B1130" s="2"/>
      <c r="C1130" s="2" t="s">
        <v>5576</v>
      </c>
      <c r="D1130" s="2">
        <v>2</v>
      </c>
      <c r="E1130" s="4"/>
      <c r="F1130" s="4"/>
      <c r="G1130" s="4"/>
      <c r="H1130" s="61"/>
      <c r="I1130" s="62"/>
      <c r="J1130" s="62"/>
      <c r="K1130" s="78"/>
      <c r="L1130" s="57"/>
      <c r="M1130" s="57"/>
    </row>
    <row r="1131" spans="1:13" ht="15" customHeight="1">
      <c r="A1131" s="73"/>
      <c r="B1131" s="2"/>
      <c r="C1131" s="2" t="s">
        <v>5577</v>
      </c>
      <c r="D1131" s="2">
        <v>3</v>
      </c>
      <c r="E1131" s="4"/>
      <c r="F1131" s="4"/>
      <c r="G1131" s="4"/>
      <c r="H1131" s="61"/>
      <c r="I1131" s="62"/>
      <c r="J1131" s="62"/>
      <c r="K1131" s="78"/>
      <c r="L1131" s="57"/>
      <c r="M1131" s="57"/>
    </row>
    <row r="1132" spans="1:13" ht="15" customHeight="1">
      <c r="A1132" s="73"/>
      <c r="B1132" s="2"/>
      <c r="C1132" s="2" t="s">
        <v>5578</v>
      </c>
      <c r="D1132" s="2">
        <v>10</v>
      </c>
      <c r="E1132" s="4"/>
      <c r="F1132" s="4"/>
      <c r="G1132" s="4"/>
      <c r="H1132" s="61"/>
      <c r="I1132" s="62"/>
      <c r="J1132" s="62"/>
      <c r="K1132" s="78"/>
      <c r="L1132" s="57"/>
      <c r="M1132" s="57"/>
    </row>
    <row r="1133" spans="1:13" ht="15" customHeight="1">
      <c r="A1133" s="73"/>
      <c r="B1133" s="2"/>
      <c r="C1133" s="2" t="s">
        <v>5579</v>
      </c>
      <c r="D1133" s="2">
        <v>6</v>
      </c>
      <c r="E1133" s="4"/>
      <c r="F1133" s="4"/>
      <c r="G1133" s="4"/>
      <c r="H1133" s="61"/>
      <c r="I1133" s="62"/>
      <c r="J1133" s="62"/>
      <c r="K1133" s="78"/>
      <c r="L1133" s="57"/>
      <c r="M1133" s="57"/>
    </row>
    <row r="1134" spans="1:13" ht="15" customHeight="1">
      <c r="A1134" s="80"/>
      <c r="B1134" s="81"/>
      <c r="C1134" s="81" t="s">
        <v>5580</v>
      </c>
      <c r="D1134" s="81">
        <v>50</v>
      </c>
      <c r="E1134" s="82"/>
      <c r="F1134" s="82"/>
      <c r="G1134" s="82"/>
      <c r="H1134" s="83"/>
      <c r="I1134" s="84"/>
      <c r="J1134" s="84"/>
      <c r="K1134" s="102"/>
      <c r="L1134" s="103"/>
      <c r="M1134" s="103"/>
    </row>
    <row r="1135" spans="1:13" ht="15" customHeight="1" thickBot="1">
      <c r="A1135" s="80"/>
      <c r="B1135" s="81"/>
      <c r="C1135" s="81" t="s">
        <v>5526</v>
      </c>
      <c r="D1135" s="81">
        <v>10</v>
      </c>
      <c r="E1135" s="82"/>
      <c r="F1135" s="82"/>
      <c r="G1135" s="82"/>
      <c r="H1135" s="83"/>
      <c r="I1135" s="84"/>
      <c r="J1135" s="84"/>
      <c r="K1135" s="102"/>
      <c r="L1135" s="103"/>
      <c r="M1135" s="103"/>
    </row>
    <row r="1136" spans="1:13" ht="15" customHeight="1">
      <c r="A1136" s="104" t="s">
        <v>5567</v>
      </c>
      <c r="B1136" s="105">
        <v>16906</v>
      </c>
      <c r="C1136" s="105" t="s">
        <v>5581</v>
      </c>
      <c r="D1136" s="105">
        <v>1</v>
      </c>
      <c r="E1136" s="106"/>
      <c r="F1136" s="106"/>
      <c r="G1136" s="106"/>
      <c r="H1136" s="107"/>
      <c r="I1136" s="108" t="s">
        <v>5572</v>
      </c>
      <c r="J1136" s="108" t="s">
        <v>5547</v>
      </c>
      <c r="K1136" s="109" t="s">
        <v>3662</v>
      </c>
      <c r="L1136" s="110">
        <v>0</v>
      </c>
      <c r="M1136" s="110" t="s">
        <v>5482</v>
      </c>
    </row>
    <row r="1137" spans="1:13" ht="15" customHeight="1" thickBot="1">
      <c r="A1137" s="80"/>
      <c r="B1137" s="81"/>
      <c r="C1137" s="81" t="s">
        <v>5582</v>
      </c>
      <c r="D1137" s="81">
        <v>6</v>
      </c>
      <c r="E1137" s="82"/>
      <c r="F1137" s="82"/>
      <c r="G1137" s="82"/>
      <c r="H1137" s="83"/>
      <c r="I1137" s="84"/>
      <c r="J1137" s="84"/>
      <c r="K1137" s="102"/>
      <c r="L1137" s="103"/>
      <c r="M1137" s="103"/>
    </row>
    <row r="1138" spans="1:13" ht="15" customHeight="1">
      <c r="A1138" s="95" t="s">
        <v>5585</v>
      </c>
      <c r="B1138" s="96">
        <v>16907</v>
      </c>
      <c r="C1138" s="96" t="s">
        <v>5583</v>
      </c>
      <c r="D1138" s="96">
        <v>1</v>
      </c>
      <c r="E1138" s="97"/>
      <c r="F1138" s="97"/>
      <c r="G1138" s="97"/>
      <c r="H1138" s="98"/>
      <c r="I1138" s="99"/>
      <c r="J1138" s="99"/>
      <c r="K1138" s="100" t="s">
        <v>286</v>
      </c>
      <c r="L1138" s="101">
        <v>45.979999542236328</v>
      </c>
      <c r="M1138" s="101"/>
    </row>
    <row r="1139" spans="1:13" ht="15" customHeight="1">
      <c r="A1139" s="112"/>
      <c r="B1139" s="113"/>
      <c r="C1139" s="113" t="s">
        <v>5583</v>
      </c>
      <c r="D1139" s="113">
        <v>2</v>
      </c>
      <c r="E1139" s="114"/>
      <c r="F1139" s="114"/>
      <c r="G1139" s="114"/>
      <c r="H1139" s="115"/>
      <c r="I1139" s="116"/>
      <c r="J1139" s="116"/>
      <c r="K1139" s="117"/>
      <c r="L1139" s="118"/>
      <c r="M1139" s="118"/>
    </row>
    <row r="1140" spans="1:13" ht="15" customHeight="1" thickBot="1">
      <c r="A1140" s="80"/>
      <c r="B1140" s="81"/>
      <c r="C1140" s="81" t="s">
        <v>5584</v>
      </c>
      <c r="D1140" s="81">
        <v>3</v>
      </c>
      <c r="E1140" s="82"/>
      <c r="F1140" s="82"/>
      <c r="G1140" s="82"/>
      <c r="H1140" s="83"/>
      <c r="I1140" s="84"/>
      <c r="J1140" s="84"/>
      <c r="K1140" s="102"/>
      <c r="L1140" s="103"/>
      <c r="M1140" s="103"/>
    </row>
    <row r="1141" spans="1:13" ht="15" customHeight="1">
      <c r="A1141" s="95" t="s">
        <v>5595</v>
      </c>
      <c r="B1141" s="96">
        <v>16907</v>
      </c>
      <c r="C1141" s="96" t="s">
        <v>5590</v>
      </c>
      <c r="D1141" s="96">
        <v>135.60000610351563</v>
      </c>
      <c r="E1141" s="97"/>
      <c r="F1141" s="97"/>
      <c r="G1141" s="97"/>
      <c r="H1141" s="98"/>
      <c r="I1141" s="99" t="s">
        <v>4301</v>
      </c>
      <c r="J1141" s="99" t="s">
        <v>5593</v>
      </c>
      <c r="K1141" s="100" t="s">
        <v>3659</v>
      </c>
      <c r="L1141" s="101">
        <v>0</v>
      </c>
      <c r="M1141" s="101" t="s">
        <v>5594</v>
      </c>
    </row>
    <row r="1142" spans="1:13" ht="15" customHeight="1">
      <c r="A1142" s="112"/>
      <c r="B1142" s="113"/>
      <c r="C1142" s="113" t="s">
        <v>5591</v>
      </c>
      <c r="D1142" s="113">
        <v>75.599998474121094</v>
      </c>
      <c r="E1142" s="114"/>
      <c r="F1142" s="114"/>
      <c r="G1142" s="114"/>
      <c r="H1142" s="115"/>
      <c r="I1142" s="116"/>
      <c r="J1142" s="116"/>
      <c r="K1142" s="117"/>
      <c r="L1142" s="118"/>
      <c r="M1142" s="118"/>
    </row>
    <row r="1143" spans="1:13" ht="15" customHeight="1" thickBot="1">
      <c r="A1143" s="80"/>
      <c r="B1143" s="81"/>
      <c r="C1143" s="81" t="s">
        <v>5592</v>
      </c>
      <c r="D1143" s="81">
        <v>200.39999389648438</v>
      </c>
      <c r="E1143" s="82"/>
      <c r="F1143" s="82"/>
      <c r="G1143" s="82"/>
      <c r="H1143" s="83"/>
      <c r="I1143" s="84"/>
      <c r="J1143" s="84"/>
      <c r="K1143" s="102"/>
      <c r="L1143" s="103"/>
      <c r="M1143" s="103"/>
    </row>
    <row r="1144" spans="1:13" ht="15" customHeight="1" thickBot="1">
      <c r="A1144" s="104" t="s">
        <v>5595</v>
      </c>
      <c r="B1144" s="105">
        <v>16908</v>
      </c>
      <c r="C1144" s="105" t="s">
        <v>5596</v>
      </c>
      <c r="D1144" s="105">
        <v>1</v>
      </c>
      <c r="E1144" s="106"/>
      <c r="F1144" s="106"/>
      <c r="G1144" s="106"/>
      <c r="H1144" s="107"/>
      <c r="I1144" s="108" t="s">
        <v>4994</v>
      </c>
      <c r="J1144" s="108" t="s">
        <v>4227</v>
      </c>
      <c r="K1144" s="109" t="s">
        <v>3746</v>
      </c>
      <c r="L1144" s="110">
        <v>125356</v>
      </c>
      <c r="M1144" s="110" t="s">
        <v>5482</v>
      </c>
    </row>
    <row r="1145" spans="1:13" ht="15" customHeight="1" thickBot="1">
      <c r="A1145" s="104" t="s">
        <v>5598</v>
      </c>
      <c r="B1145" s="105">
        <v>16909</v>
      </c>
      <c r="C1145" s="105" t="s">
        <v>5597</v>
      </c>
      <c r="D1145" s="105">
        <v>1</v>
      </c>
      <c r="E1145" s="106"/>
      <c r="F1145" s="106"/>
      <c r="G1145" s="106"/>
      <c r="H1145" s="107"/>
      <c r="I1145" s="108"/>
      <c r="J1145" s="108"/>
      <c r="K1145" s="109" t="s">
        <v>3661</v>
      </c>
      <c r="L1145" s="110">
        <v>0</v>
      </c>
      <c r="M1145" s="110"/>
    </row>
    <row r="1146" spans="1:13" ht="15" customHeight="1" thickBot="1">
      <c r="A1146" s="104" t="s">
        <v>5598</v>
      </c>
      <c r="B1146" s="105">
        <v>16910</v>
      </c>
      <c r="C1146" s="105" t="s">
        <v>5597</v>
      </c>
      <c r="D1146" s="105">
        <v>5</v>
      </c>
      <c r="E1146" s="106"/>
      <c r="F1146" s="106"/>
      <c r="G1146" s="106"/>
      <c r="H1146" s="107"/>
      <c r="I1146" s="108"/>
      <c r="J1146" s="108"/>
      <c r="K1146" s="109" t="s">
        <v>3661</v>
      </c>
      <c r="L1146" s="110">
        <v>0</v>
      </c>
      <c r="M1146" s="110"/>
    </row>
    <row r="1147" spans="1:13" ht="15" customHeight="1" thickBot="1">
      <c r="A1147" s="119" t="s">
        <v>5598</v>
      </c>
      <c r="B1147" s="120">
        <v>16912</v>
      </c>
      <c r="C1147" s="120"/>
      <c r="D1147" s="120"/>
      <c r="E1147" s="121"/>
      <c r="F1147" s="121"/>
      <c r="G1147" s="121"/>
      <c r="H1147" s="122"/>
      <c r="I1147" s="123"/>
      <c r="J1147" s="123"/>
      <c r="K1147" s="124" t="s">
        <v>3661</v>
      </c>
      <c r="L1147" s="125">
        <v>0</v>
      </c>
      <c r="M1147" s="125"/>
    </row>
    <row r="1148" spans="1:13" ht="15" customHeight="1" thickBot="1">
      <c r="A1148" s="112" t="s">
        <v>5598</v>
      </c>
      <c r="B1148" s="113">
        <v>16914</v>
      </c>
      <c r="C1148" s="113"/>
      <c r="D1148" s="113"/>
      <c r="E1148" s="114"/>
      <c r="F1148" s="114"/>
      <c r="G1148" s="114"/>
      <c r="H1148" s="115"/>
      <c r="I1148" s="116"/>
      <c r="J1148" s="116"/>
      <c r="K1148" s="117" t="s">
        <v>3661</v>
      </c>
      <c r="L1148" s="118">
        <v>0</v>
      </c>
      <c r="M1148" s="118"/>
    </row>
    <row r="1149" spans="1:13" ht="15" customHeight="1">
      <c r="A1149" s="104" t="s">
        <v>5598</v>
      </c>
      <c r="B1149" s="105">
        <v>16915</v>
      </c>
      <c r="C1149" s="105" t="s">
        <v>5583</v>
      </c>
      <c r="D1149" s="105">
        <v>2</v>
      </c>
      <c r="E1149" s="106"/>
      <c r="F1149" s="106"/>
      <c r="G1149" s="106"/>
      <c r="H1149" s="107"/>
      <c r="I1149" s="108"/>
      <c r="J1149" s="108"/>
      <c r="K1149" s="109" t="s">
        <v>3661</v>
      </c>
      <c r="L1149" s="110">
        <v>0</v>
      </c>
      <c r="M1149" s="110"/>
    </row>
    <row r="1150" spans="1:13" ht="15" customHeight="1" thickBot="1">
      <c r="A1150" s="126"/>
      <c r="B1150" s="127"/>
      <c r="C1150" s="127" t="s">
        <v>5599</v>
      </c>
      <c r="D1150" s="127">
        <v>1</v>
      </c>
      <c r="E1150" s="128"/>
      <c r="F1150" s="128"/>
      <c r="G1150" s="128"/>
      <c r="H1150" s="129"/>
      <c r="I1150" s="130"/>
      <c r="J1150" s="130"/>
      <c r="K1150" s="131"/>
      <c r="L1150" s="132"/>
      <c r="M1150" s="132"/>
    </row>
    <row r="1151" spans="1:13" ht="15" customHeight="1" thickBot="1">
      <c r="A1151" s="112" t="s">
        <v>5598</v>
      </c>
      <c r="B1151" s="113">
        <v>16916</v>
      </c>
      <c r="C1151" s="113"/>
      <c r="D1151" s="113"/>
      <c r="E1151" s="114"/>
      <c r="F1151" s="114"/>
      <c r="G1151" s="114"/>
      <c r="H1151" s="115"/>
      <c r="I1151" s="116"/>
      <c r="J1151" s="116"/>
      <c r="K1151" s="117" t="s">
        <v>3661</v>
      </c>
      <c r="L1151" s="118">
        <v>0</v>
      </c>
      <c r="M1151" s="118"/>
    </row>
    <row r="1152" spans="1:13" ht="15" customHeight="1">
      <c r="A1152" s="104" t="s">
        <v>5598</v>
      </c>
      <c r="B1152" s="105">
        <v>16910</v>
      </c>
      <c r="C1152" s="105" t="s">
        <v>5600</v>
      </c>
      <c r="D1152" s="105">
        <v>2</v>
      </c>
      <c r="E1152" s="106"/>
      <c r="F1152" s="106"/>
      <c r="G1152" s="106"/>
      <c r="H1152" s="107"/>
      <c r="I1152" s="108" t="s">
        <v>4246</v>
      </c>
      <c r="J1152" s="108" t="s">
        <v>4211</v>
      </c>
      <c r="K1152" s="109" t="s">
        <v>3661</v>
      </c>
      <c r="L1152" s="110">
        <v>0</v>
      </c>
      <c r="M1152" s="110" t="s">
        <v>5482</v>
      </c>
    </row>
    <row r="1153" spans="1:13" ht="15" customHeight="1" thickBot="1">
      <c r="A1153" s="80"/>
      <c r="B1153" s="81"/>
      <c r="C1153" s="81" t="s">
        <v>5601</v>
      </c>
      <c r="D1153" s="81">
        <v>2</v>
      </c>
      <c r="E1153" s="82"/>
      <c r="F1153" s="82"/>
      <c r="G1153" s="82"/>
      <c r="H1153" s="83"/>
      <c r="I1153" s="84"/>
      <c r="J1153" s="84"/>
      <c r="K1153" s="102"/>
      <c r="L1153" s="103"/>
      <c r="M1153" s="103"/>
    </row>
    <row r="1154" spans="1:13" ht="15" customHeight="1">
      <c r="A1154" s="95" t="s">
        <v>5598</v>
      </c>
      <c r="B1154" s="96">
        <v>16911</v>
      </c>
      <c r="C1154" s="96" t="s">
        <v>5602</v>
      </c>
      <c r="D1154" s="96">
        <v>1</v>
      </c>
      <c r="E1154" s="97"/>
      <c r="F1154" s="97"/>
      <c r="G1154" s="97"/>
      <c r="H1154" s="98"/>
      <c r="I1154" s="99" t="s">
        <v>4246</v>
      </c>
      <c r="J1154" s="99" t="s">
        <v>4211</v>
      </c>
      <c r="K1154" s="100" t="s">
        <v>1753</v>
      </c>
      <c r="L1154" s="101">
        <v>665.62408447265625</v>
      </c>
      <c r="M1154" s="101" t="s">
        <v>5482</v>
      </c>
    </row>
    <row r="1155" spans="1:13" ht="15" customHeight="1">
      <c r="A1155" s="112"/>
      <c r="B1155" s="113"/>
      <c r="C1155" s="113" t="s">
        <v>5603</v>
      </c>
      <c r="D1155" s="113">
        <v>1</v>
      </c>
      <c r="E1155" s="114"/>
      <c r="F1155" s="114"/>
      <c r="G1155" s="114"/>
      <c r="H1155" s="115"/>
      <c r="I1155" s="116"/>
      <c r="J1155" s="116"/>
      <c r="K1155" s="117"/>
      <c r="L1155" s="118"/>
      <c r="M1155" s="118"/>
    </row>
    <row r="1156" spans="1:13" ht="15" customHeight="1" thickBot="1">
      <c r="A1156" s="80"/>
      <c r="B1156" s="81"/>
      <c r="C1156" s="81" t="s">
        <v>5604</v>
      </c>
      <c r="D1156" s="81">
        <v>1</v>
      </c>
      <c r="E1156" s="82"/>
      <c r="F1156" s="82"/>
      <c r="G1156" s="82"/>
      <c r="H1156" s="83"/>
      <c r="I1156" s="84"/>
      <c r="J1156" s="84"/>
      <c r="K1156" s="102"/>
      <c r="L1156" s="103"/>
      <c r="M1156" s="103"/>
    </row>
    <row r="1157" spans="1:13" ht="15" customHeight="1">
      <c r="A1157" s="104" t="s">
        <v>5598</v>
      </c>
      <c r="B1157" s="105">
        <v>16912</v>
      </c>
      <c r="C1157" s="105" t="s">
        <v>5600</v>
      </c>
      <c r="D1157" s="105">
        <v>2</v>
      </c>
      <c r="E1157" s="106"/>
      <c r="F1157" s="106"/>
      <c r="G1157" s="106"/>
      <c r="H1157" s="107"/>
      <c r="I1157" s="108" t="s">
        <v>4246</v>
      </c>
      <c r="J1157" s="108" t="s">
        <v>4211</v>
      </c>
      <c r="K1157" s="109" t="s">
        <v>3661</v>
      </c>
      <c r="L1157" s="110">
        <v>0</v>
      </c>
      <c r="M1157" s="110" t="s">
        <v>5395</v>
      </c>
    </row>
    <row r="1158" spans="1:13" ht="15" customHeight="1" thickBot="1">
      <c r="A1158" s="126"/>
      <c r="B1158" s="127"/>
      <c r="C1158" s="127" t="s">
        <v>5601</v>
      </c>
      <c r="D1158" s="127">
        <v>2</v>
      </c>
      <c r="E1158" s="128"/>
      <c r="F1158" s="128"/>
      <c r="G1158" s="128"/>
      <c r="H1158" s="129"/>
      <c r="I1158" s="130"/>
      <c r="J1158" s="130"/>
      <c r="K1158" s="131"/>
      <c r="L1158" s="132"/>
      <c r="M1158" s="132"/>
    </row>
    <row r="1159" spans="1:13" ht="15" customHeight="1" thickBot="1">
      <c r="A1159" s="112" t="s">
        <v>5605</v>
      </c>
      <c r="B1159" s="113">
        <v>16913</v>
      </c>
      <c r="C1159" s="113"/>
      <c r="D1159" s="113"/>
      <c r="E1159" s="114"/>
      <c r="F1159" s="114"/>
      <c r="G1159" s="114"/>
      <c r="H1159" s="115"/>
      <c r="I1159" s="116"/>
      <c r="J1159" s="116"/>
      <c r="K1159" s="117" t="s">
        <v>3661</v>
      </c>
      <c r="L1159" s="118">
        <v>0</v>
      </c>
      <c r="M1159" s="118"/>
    </row>
    <row r="1160" spans="1:13" ht="15" customHeight="1" thickBot="1">
      <c r="A1160" s="104" t="s">
        <v>5605</v>
      </c>
      <c r="B1160" s="105">
        <v>16914</v>
      </c>
      <c r="C1160" s="105" t="s">
        <v>5606</v>
      </c>
      <c r="D1160" s="105">
        <v>1</v>
      </c>
      <c r="E1160" s="106"/>
      <c r="F1160" s="106"/>
      <c r="G1160" s="106"/>
      <c r="H1160" s="107"/>
      <c r="I1160" s="108"/>
      <c r="J1160" s="108" t="s">
        <v>4227</v>
      </c>
      <c r="K1160" s="109" t="s">
        <v>3676</v>
      </c>
      <c r="L1160" s="110">
        <v>0</v>
      </c>
      <c r="M1160" s="110" t="s">
        <v>5482</v>
      </c>
    </row>
    <row r="1161" spans="1:13" ht="15" customHeight="1" thickBot="1">
      <c r="A1161" s="104" t="s">
        <v>5609</v>
      </c>
      <c r="B1161" s="105">
        <v>16915</v>
      </c>
      <c r="C1161" s="105" t="s">
        <v>5607</v>
      </c>
      <c r="D1161" s="105">
        <v>228</v>
      </c>
      <c r="E1161" s="106"/>
      <c r="F1161" s="106"/>
      <c r="G1161" s="106"/>
      <c r="H1161" s="107"/>
      <c r="I1161" s="108" t="s">
        <v>5608</v>
      </c>
      <c r="J1161" s="108" t="s">
        <v>5530</v>
      </c>
      <c r="K1161" s="109" t="s">
        <v>3692</v>
      </c>
      <c r="L1161" s="110">
        <v>0</v>
      </c>
      <c r="M1161" s="110" t="s">
        <v>5482</v>
      </c>
    </row>
    <row r="1162" spans="1:13" ht="15" customHeight="1">
      <c r="A1162" s="104" t="s">
        <v>5609</v>
      </c>
      <c r="B1162" s="105">
        <v>16916</v>
      </c>
      <c r="C1162" s="105" t="s">
        <v>5610</v>
      </c>
      <c r="D1162" s="105">
        <v>1</v>
      </c>
      <c r="E1162" s="106"/>
      <c r="F1162" s="106"/>
      <c r="G1162" s="106"/>
      <c r="H1162" s="107"/>
      <c r="I1162" s="108" t="s">
        <v>5612</v>
      </c>
      <c r="J1162" s="108" t="s">
        <v>5547</v>
      </c>
      <c r="K1162" s="109" t="s">
        <v>5283</v>
      </c>
      <c r="L1162" s="110">
        <v>496100</v>
      </c>
      <c r="M1162" s="110" t="s">
        <v>5613</v>
      </c>
    </row>
    <row r="1163" spans="1:13" ht="15" customHeight="1" thickBot="1">
      <c r="A1163" s="80"/>
      <c r="B1163" s="81"/>
      <c r="C1163" s="81" t="s">
        <v>5611</v>
      </c>
      <c r="D1163" s="81">
        <v>1</v>
      </c>
      <c r="E1163" s="82"/>
      <c r="F1163" s="82"/>
      <c r="G1163" s="82"/>
      <c r="H1163" s="83"/>
      <c r="I1163" s="84"/>
      <c r="J1163" s="84"/>
      <c r="K1163" s="102"/>
      <c r="L1163" s="103"/>
      <c r="M1163" s="103"/>
    </row>
    <row r="1164" spans="1:13" ht="15" customHeight="1">
      <c r="A1164" s="95" t="s">
        <v>5609</v>
      </c>
      <c r="B1164" s="96">
        <v>16917</v>
      </c>
      <c r="C1164" s="96" t="s">
        <v>5617</v>
      </c>
      <c r="D1164" s="96">
        <v>1</v>
      </c>
      <c r="E1164" s="97"/>
      <c r="F1164" s="97"/>
      <c r="G1164" s="97"/>
      <c r="H1164" s="98"/>
      <c r="I1164" s="99" t="s">
        <v>4264</v>
      </c>
      <c r="J1164" s="99" t="s">
        <v>5547</v>
      </c>
      <c r="K1164" s="100" t="s">
        <v>1642</v>
      </c>
      <c r="L1164" s="101">
        <v>4378400</v>
      </c>
      <c r="M1164" s="101" t="s">
        <v>5614</v>
      </c>
    </row>
    <row r="1165" spans="1:13" ht="15" customHeight="1">
      <c r="A1165" s="112"/>
      <c r="B1165" s="113"/>
      <c r="C1165" s="113" t="s">
        <v>5616</v>
      </c>
      <c r="D1165" s="113">
        <v>1</v>
      </c>
      <c r="E1165" s="114"/>
      <c r="F1165" s="114"/>
      <c r="G1165" s="114"/>
      <c r="H1165" s="115"/>
      <c r="I1165" s="116"/>
      <c r="J1165" s="116"/>
      <c r="K1165" s="117"/>
      <c r="L1165" s="118"/>
      <c r="M1165" s="118"/>
    </row>
    <row r="1166" spans="1:13" ht="15" customHeight="1" thickBot="1">
      <c r="A1166" s="80"/>
      <c r="B1166" s="81"/>
      <c r="C1166" s="81" t="s">
        <v>5615</v>
      </c>
      <c r="D1166" s="81">
        <v>1</v>
      </c>
      <c r="E1166" s="82"/>
      <c r="F1166" s="82"/>
      <c r="G1166" s="82"/>
      <c r="H1166" s="83"/>
      <c r="I1166" s="84"/>
      <c r="J1166" s="84"/>
      <c r="K1166" s="102"/>
      <c r="L1166" s="103"/>
      <c r="M1166" s="103"/>
    </row>
    <row r="1167" spans="1:13" ht="15" customHeight="1" thickBot="1">
      <c r="A1167" s="104" t="s">
        <v>5609</v>
      </c>
      <c r="B1167" s="105">
        <v>16918</v>
      </c>
      <c r="C1167" s="105" t="s">
        <v>5618</v>
      </c>
      <c r="D1167" s="105">
        <v>1200</v>
      </c>
      <c r="E1167" s="106"/>
      <c r="F1167" s="106"/>
      <c r="G1167" s="106"/>
      <c r="H1167" s="107"/>
      <c r="I1167" s="108" t="s">
        <v>4264</v>
      </c>
      <c r="J1167" s="108" t="s">
        <v>5547</v>
      </c>
      <c r="K1167" s="109" t="s">
        <v>1793</v>
      </c>
      <c r="L1167" s="110">
        <v>3993000</v>
      </c>
      <c r="M1167" s="110" t="s">
        <v>5619</v>
      </c>
    </row>
    <row r="1168" spans="1:13" ht="15" customHeight="1">
      <c r="A1168" s="95" t="s">
        <v>5609</v>
      </c>
      <c r="B1168" s="96">
        <v>16919</v>
      </c>
      <c r="C1168" s="96" t="s">
        <v>5620</v>
      </c>
      <c r="D1168" s="96">
        <v>2</v>
      </c>
      <c r="E1168" s="97"/>
      <c r="F1168" s="97"/>
      <c r="G1168" s="97"/>
      <c r="H1168" s="98"/>
      <c r="I1168" s="99" t="s">
        <v>4264</v>
      </c>
      <c r="J1168" s="99" t="s">
        <v>5547</v>
      </c>
      <c r="K1168" s="100" t="s">
        <v>1642</v>
      </c>
      <c r="L1168" s="101">
        <v>2189200</v>
      </c>
      <c r="M1168" s="101" t="s">
        <v>5614</v>
      </c>
    </row>
    <row r="1169" spans="1:13" ht="15" customHeight="1">
      <c r="A1169" s="112"/>
      <c r="B1169" s="113"/>
      <c r="C1169" s="113" t="s">
        <v>5621</v>
      </c>
      <c r="D1169" s="113">
        <v>2</v>
      </c>
      <c r="E1169" s="114"/>
      <c r="F1169" s="114"/>
      <c r="G1169" s="114"/>
      <c r="H1169" s="115"/>
      <c r="I1169" s="116"/>
      <c r="J1169" s="116"/>
      <c r="K1169" s="117"/>
      <c r="L1169" s="118"/>
      <c r="M1169" s="118"/>
    </row>
    <row r="1170" spans="1:13" ht="15" customHeight="1" thickBot="1">
      <c r="A1170" s="80"/>
      <c r="B1170" s="81"/>
      <c r="C1170" s="81" t="s">
        <v>5622</v>
      </c>
      <c r="D1170" s="81">
        <v>2</v>
      </c>
      <c r="E1170" s="82"/>
      <c r="F1170" s="82"/>
      <c r="G1170" s="82"/>
      <c r="H1170" s="83"/>
      <c r="I1170" s="84"/>
      <c r="J1170" s="84"/>
      <c r="K1170" s="102"/>
      <c r="L1170" s="103"/>
      <c r="M1170" s="103"/>
    </row>
    <row r="1171" spans="1:13" ht="15" customHeight="1" thickBot="1">
      <c r="A1171" s="104" t="s">
        <v>5624</v>
      </c>
      <c r="B1171" s="105">
        <v>16920</v>
      </c>
      <c r="C1171" s="105" t="s">
        <v>5623</v>
      </c>
      <c r="D1171" s="105">
        <v>6</v>
      </c>
      <c r="E1171" s="106"/>
      <c r="F1171" s="106"/>
      <c r="G1171" s="106"/>
      <c r="H1171" s="107"/>
      <c r="I1171" s="108" t="s">
        <v>4643</v>
      </c>
      <c r="J1171" s="108" t="s">
        <v>4239</v>
      </c>
      <c r="K1171" s="109" t="s">
        <v>3910</v>
      </c>
      <c r="L1171" s="110">
        <v>0</v>
      </c>
      <c r="M1171" s="110" t="s">
        <v>5482</v>
      </c>
    </row>
    <row r="1172" spans="1:13" ht="15" customHeight="1" thickBot="1">
      <c r="A1172" s="104">
        <v>45388</v>
      </c>
      <c r="B1172" s="105">
        <v>16921</v>
      </c>
      <c r="C1172" s="105" t="s">
        <v>5625</v>
      </c>
      <c r="D1172" s="105">
        <v>2</v>
      </c>
      <c r="E1172" s="106"/>
      <c r="F1172" s="106"/>
      <c r="G1172" s="106"/>
      <c r="H1172" s="107"/>
      <c r="I1172" s="108" t="s">
        <v>4643</v>
      </c>
      <c r="J1172" s="108" t="s">
        <v>4239</v>
      </c>
      <c r="K1172" s="109" t="s">
        <v>2296</v>
      </c>
      <c r="L1172" s="110">
        <v>752.135986328125</v>
      </c>
      <c r="M1172" s="110" t="s">
        <v>5626</v>
      </c>
    </row>
    <row r="1173" spans="1:13" ht="15" customHeight="1" thickBot="1">
      <c r="A1173" s="104">
        <v>45388</v>
      </c>
      <c r="B1173" s="105">
        <v>16922</v>
      </c>
      <c r="C1173" s="105" t="s">
        <v>5630</v>
      </c>
      <c r="D1173" s="105">
        <v>1</v>
      </c>
      <c r="E1173" s="106"/>
      <c r="F1173" s="106"/>
      <c r="G1173" s="106"/>
      <c r="H1173" s="107"/>
      <c r="I1173" s="108" t="s">
        <v>5632</v>
      </c>
      <c r="J1173" s="108" t="s">
        <v>5631</v>
      </c>
      <c r="K1173" s="109" t="s">
        <v>5629</v>
      </c>
      <c r="L1173" s="110">
        <v>35712.93359375</v>
      </c>
      <c r="M1173" s="110" t="s">
        <v>5410</v>
      </c>
    </row>
    <row r="1174" spans="1:13" ht="15" customHeight="1" thickBot="1">
      <c r="A1174" s="104">
        <v>45388</v>
      </c>
      <c r="B1174" s="105">
        <v>16923</v>
      </c>
      <c r="C1174" s="105" t="s">
        <v>5633</v>
      </c>
      <c r="D1174" s="105">
        <v>1</v>
      </c>
      <c r="E1174" s="106"/>
      <c r="F1174" s="106"/>
      <c r="G1174" s="106"/>
      <c r="H1174" s="107"/>
      <c r="I1174" s="108" t="s">
        <v>5634</v>
      </c>
      <c r="J1174" s="108" t="s">
        <v>4234</v>
      </c>
      <c r="K1174" s="109" t="s">
        <v>3661</v>
      </c>
      <c r="L1174" s="110">
        <v>0</v>
      </c>
      <c r="M1174" s="110" t="s">
        <v>5482</v>
      </c>
    </row>
    <row r="1175" spans="1:13" ht="15" customHeight="1">
      <c r="A1175" s="104">
        <v>45418</v>
      </c>
      <c r="B1175" s="105">
        <v>16924</v>
      </c>
      <c r="C1175" s="105" t="s">
        <v>5635</v>
      </c>
      <c r="D1175" s="105">
        <v>1</v>
      </c>
      <c r="E1175" s="106"/>
      <c r="F1175" s="106"/>
      <c r="G1175" s="106"/>
      <c r="H1175" s="107"/>
      <c r="I1175" s="108" t="s">
        <v>4643</v>
      </c>
      <c r="J1175" s="108" t="s">
        <v>4239</v>
      </c>
      <c r="K1175" s="109" t="s">
        <v>3295</v>
      </c>
      <c r="L1175" s="110">
        <v>1781120</v>
      </c>
      <c r="M1175" s="110" t="s">
        <v>5482</v>
      </c>
    </row>
    <row r="1176" spans="1:13" ht="15" customHeight="1" thickBot="1">
      <c r="A1176" s="80"/>
      <c r="B1176" s="81"/>
      <c r="C1176" s="81" t="s">
        <v>4783</v>
      </c>
      <c r="D1176" s="81">
        <v>1</v>
      </c>
      <c r="E1176" s="82"/>
      <c r="F1176" s="82"/>
      <c r="G1176" s="82"/>
      <c r="H1176" s="83"/>
      <c r="I1176" s="84"/>
      <c r="J1176" s="84"/>
      <c r="K1176" s="102"/>
      <c r="L1176" s="103"/>
      <c r="M1176" s="103"/>
    </row>
    <row r="1177" spans="1:13" ht="15" customHeight="1" thickBot="1">
      <c r="A1177" s="104">
        <v>45418</v>
      </c>
      <c r="B1177" s="105">
        <v>16925</v>
      </c>
      <c r="C1177" s="105" t="s">
        <v>5636</v>
      </c>
      <c r="D1177" s="105">
        <v>1</v>
      </c>
      <c r="E1177" s="106"/>
      <c r="F1177" s="106"/>
      <c r="G1177" s="106"/>
      <c r="H1177" s="107"/>
      <c r="I1177" s="108" t="s">
        <v>5638</v>
      </c>
      <c r="J1177" s="108" t="s">
        <v>5547</v>
      </c>
      <c r="K1177" s="109" t="s">
        <v>485</v>
      </c>
      <c r="L1177" s="110">
        <v>1345762</v>
      </c>
      <c r="M1177" s="110" t="s">
        <v>5637</v>
      </c>
    </row>
    <row r="1178" spans="1:13" ht="15" customHeight="1" thickBot="1">
      <c r="A1178" s="104">
        <v>45418</v>
      </c>
      <c r="B1178" s="105">
        <v>16926</v>
      </c>
      <c r="C1178" s="105" t="s">
        <v>5636</v>
      </c>
      <c r="D1178" s="105">
        <v>1</v>
      </c>
      <c r="E1178" s="106"/>
      <c r="F1178" s="106"/>
      <c r="G1178" s="106"/>
      <c r="H1178" s="107"/>
      <c r="I1178" s="108" t="s">
        <v>5639</v>
      </c>
      <c r="J1178" s="108" t="s">
        <v>5547</v>
      </c>
      <c r="K1178" s="109" t="s">
        <v>485</v>
      </c>
      <c r="L1178" s="110">
        <v>1365225.5</v>
      </c>
      <c r="M1178" s="110" t="s">
        <v>5640</v>
      </c>
    </row>
    <row r="1179" spans="1:13" ht="15" customHeight="1" thickBot="1">
      <c r="A1179" s="104">
        <v>45449</v>
      </c>
      <c r="B1179" s="105">
        <v>16927</v>
      </c>
      <c r="C1179" s="105" t="s">
        <v>5047</v>
      </c>
      <c r="D1179" s="105">
        <v>1</v>
      </c>
      <c r="E1179" s="106"/>
      <c r="F1179" s="106"/>
      <c r="G1179" s="106"/>
      <c r="H1179" s="107"/>
      <c r="I1179" s="108" t="s">
        <v>4756</v>
      </c>
      <c r="J1179" s="108" t="s">
        <v>4227</v>
      </c>
      <c r="K1179" s="109" t="s">
        <v>2776</v>
      </c>
      <c r="L1179" s="110">
        <v>4210.7998046875</v>
      </c>
      <c r="M1179" s="110" t="s">
        <v>5482</v>
      </c>
    </row>
    <row r="1180" spans="1:13" ht="15" customHeight="1" thickBot="1">
      <c r="A1180" s="104">
        <v>45479</v>
      </c>
      <c r="B1180" s="105">
        <v>16928</v>
      </c>
      <c r="C1180" s="105" t="s">
        <v>5641</v>
      </c>
      <c r="D1180" s="105">
        <v>1</v>
      </c>
      <c r="E1180" s="106"/>
      <c r="F1180" s="106"/>
      <c r="G1180" s="106"/>
      <c r="H1180" s="107"/>
      <c r="I1180" s="108" t="s">
        <v>4264</v>
      </c>
      <c r="J1180" s="108" t="s">
        <v>5547</v>
      </c>
      <c r="K1180" s="109" t="s">
        <v>2158</v>
      </c>
      <c r="L1180" s="110">
        <v>355.41329956054688</v>
      </c>
      <c r="M1180" s="110" t="s">
        <v>5642</v>
      </c>
    </row>
    <row r="1181" spans="1:13" ht="15" customHeight="1">
      <c r="A1181" s="104">
        <v>45479</v>
      </c>
      <c r="B1181" s="105">
        <v>16929</v>
      </c>
      <c r="C1181" s="105" t="s">
        <v>5646</v>
      </c>
      <c r="D1181" s="105">
        <v>1</v>
      </c>
      <c r="E1181" s="106"/>
      <c r="F1181" s="106"/>
      <c r="G1181" s="106"/>
      <c r="H1181" s="107"/>
      <c r="I1181" s="108" t="s">
        <v>4756</v>
      </c>
      <c r="J1181" s="108" t="s">
        <v>4227</v>
      </c>
      <c r="K1181" s="109" t="s">
        <v>5643</v>
      </c>
      <c r="L1181" s="110">
        <v>284237.96875</v>
      </c>
      <c r="M1181" s="110" t="s">
        <v>5648</v>
      </c>
    </row>
    <row r="1182" spans="1:13" ht="15" customHeight="1" thickBot="1">
      <c r="A1182" s="80"/>
      <c r="B1182" s="81"/>
      <c r="C1182" s="81" t="s">
        <v>5647</v>
      </c>
      <c r="D1182" s="81">
        <v>1</v>
      </c>
      <c r="E1182" s="82"/>
      <c r="F1182" s="82"/>
      <c r="G1182" s="82"/>
      <c r="H1182" s="83"/>
      <c r="I1182" s="84"/>
      <c r="J1182" s="84"/>
      <c r="K1182" s="102"/>
      <c r="L1182" s="103"/>
      <c r="M1182" s="103"/>
    </row>
    <row r="1183" spans="1:13" ht="15" customHeight="1">
      <c r="A1183" s="104">
        <v>45571</v>
      </c>
      <c r="B1183" s="105">
        <v>16930</v>
      </c>
      <c r="C1183" s="105" t="s">
        <v>5649</v>
      </c>
      <c r="D1183" s="105">
        <v>59.5</v>
      </c>
      <c r="E1183" s="106"/>
      <c r="F1183" s="106"/>
      <c r="G1183" s="106"/>
      <c r="H1183" s="107"/>
      <c r="I1183" s="108" t="s">
        <v>4756</v>
      </c>
      <c r="J1183" s="108" t="s">
        <v>4227</v>
      </c>
      <c r="K1183" s="109" t="s">
        <v>5643</v>
      </c>
      <c r="L1183" s="110">
        <v>11706760</v>
      </c>
      <c r="M1183" s="110" t="s">
        <v>5651</v>
      </c>
    </row>
    <row r="1184" spans="1:13" ht="15" customHeight="1" thickBot="1">
      <c r="A1184" s="80"/>
      <c r="B1184" s="81"/>
      <c r="C1184" s="81" t="s">
        <v>5650</v>
      </c>
      <c r="D1184" s="81">
        <v>20.5</v>
      </c>
      <c r="E1184" s="82"/>
      <c r="F1184" s="82"/>
      <c r="G1184" s="82"/>
      <c r="H1184" s="83"/>
      <c r="I1184" s="84"/>
      <c r="J1184" s="84"/>
      <c r="K1184" s="102"/>
      <c r="L1184" s="103"/>
      <c r="M1184" s="103"/>
    </row>
    <row r="1185" spans="1:13" ht="15" customHeight="1" thickBot="1">
      <c r="A1185" s="104">
        <v>45571</v>
      </c>
      <c r="B1185" s="105">
        <v>16931</v>
      </c>
      <c r="C1185" s="105" t="s">
        <v>5652</v>
      </c>
      <c r="D1185" s="105">
        <v>2</v>
      </c>
      <c r="E1185" s="106"/>
      <c r="F1185" s="106"/>
      <c r="G1185" s="106"/>
      <c r="H1185" s="107"/>
      <c r="I1185" s="108" t="s">
        <v>4264</v>
      </c>
      <c r="J1185" s="108" t="s">
        <v>5547</v>
      </c>
      <c r="K1185" s="109" t="s">
        <v>4172</v>
      </c>
      <c r="L1185" s="110">
        <v>77430.0078125</v>
      </c>
      <c r="M1185" s="110" t="s">
        <v>5482</v>
      </c>
    </row>
    <row r="1186" spans="1:13" ht="15" customHeight="1" thickBot="1">
      <c r="A1186" s="104">
        <v>45602</v>
      </c>
      <c r="B1186" s="105">
        <v>16932</v>
      </c>
      <c r="C1186" s="105" t="s">
        <v>5653</v>
      </c>
      <c r="D1186" s="105">
        <v>2</v>
      </c>
      <c r="E1186" s="106"/>
      <c r="F1186" s="106"/>
      <c r="G1186" s="106"/>
      <c r="H1186" s="107"/>
      <c r="I1186" s="108" t="s">
        <v>4264</v>
      </c>
      <c r="J1186" s="108" t="s">
        <v>5547</v>
      </c>
      <c r="K1186" s="109" t="s">
        <v>3698</v>
      </c>
      <c r="L1186" s="110">
        <v>307074</v>
      </c>
      <c r="M1186" s="110" t="s">
        <v>5482</v>
      </c>
    </row>
    <row r="1187" spans="1:13" ht="15" customHeight="1">
      <c r="A1187" s="95" t="s">
        <v>5659</v>
      </c>
      <c r="B1187" s="96">
        <v>16933</v>
      </c>
      <c r="C1187" s="96" t="s">
        <v>5657</v>
      </c>
      <c r="D1187" s="96">
        <v>1</v>
      </c>
      <c r="E1187" s="97"/>
      <c r="F1187" s="97"/>
      <c r="G1187" s="97"/>
      <c r="H1187" s="98"/>
      <c r="I1187" s="99" t="s">
        <v>5654</v>
      </c>
      <c r="J1187" s="99" t="s">
        <v>5530</v>
      </c>
      <c r="K1187" s="100" t="s">
        <v>3692</v>
      </c>
      <c r="L1187" s="101">
        <v>874257.5</v>
      </c>
      <c r="M1187" s="101" t="s">
        <v>5655</v>
      </c>
    </row>
    <row r="1188" spans="1:13" ht="15" customHeight="1">
      <c r="A1188" s="112"/>
      <c r="B1188" s="113"/>
      <c r="C1188" s="113" t="s">
        <v>5658</v>
      </c>
      <c r="D1188" s="113">
        <v>1</v>
      </c>
      <c r="E1188" s="114"/>
      <c r="F1188" s="114"/>
      <c r="G1188" s="114"/>
      <c r="H1188" s="115"/>
      <c r="I1188" s="116"/>
      <c r="J1188" s="116"/>
      <c r="K1188" s="117"/>
      <c r="L1188" s="118"/>
      <c r="M1188" s="118"/>
    </row>
    <row r="1189" spans="1:13" ht="15" customHeight="1" thickBot="1">
      <c r="A1189" s="80"/>
      <c r="B1189" s="81"/>
      <c r="C1189" s="81" t="s">
        <v>5656</v>
      </c>
      <c r="D1189" s="81">
        <v>1</v>
      </c>
      <c r="E1189" s="82"/>
      <c r="F1189" s="82"/>
      <c r="G1189" s="82"/>
      <c r="H1189" s="83"/>
      <c r="I1189" s="84"/>
      <c r="J1189" s="84"/>
      <c r="K1189" s="102"/>
      <c r="L1189" s="103"/>
      <c r="M1189" s="103"/>
    </row>
    <row r="1190" spans="1:13" ht="15" customHeight="1">
      <c r="A1190" s="95" t="s">
        <v>5664</v>
      </c>
      <c r="B1190" s="96">
        <v>16934</v>
      </c>
      <c r="C1190" s="96" t="s">
        <v>5661</v>
      </c>
      <c r="D1190" s="96">
        <v>103.68000030517578</v>
      </c>
      <c r="E1190" s="97"/>
      <c r="F1190" s="97"/>
      <c r="G1190" s="97"/>
      <c r="H1190" s="98"/>
      <c r="I1190" s="99" t="s">
        <v>5654</v>
      </c>
      <c r="J1190" s="99" t="s">
        <v>5530</v>
      </c>
      <c r="K1190" s="100" t="s">
        <v>3692</v>
      </c>
      <c r="L1190" s="101">
        <v>874257.5</v>
      </c>
      <c r="M1190" s="101" t="s">
        <v>5660</v>
      </c>
    </row>
    <row r="1191" spans="1:13" ht="15" customHeight="1">
      <c r="A1191" s="112"/>
      <c r="B1191" s="113"/>
      <c r="C1191" s="113" t="s">
        <v>5662</v>
      </c>
      <c r="D1191" s="113">
        <v>380</v>
      </c>
      <c r="E1191" s="114"/>
      <c r="F1191" s="114"/>
      <c r="G1191" s="114"/>
      <c r="H1191" s="115"/>
      <c r="I1191" s="116"/>
      <c r="J1191" s="116"/>
      <c r="K1191" s="117"/>
      <c r="L1191" s="118"/>
      <c r="M1191" s="118"/>
    </row>
    <row r="1192" spans="1:13" ht="15" customHeight="1" thickBot="1">
      <c r="A1192" s="80"/>
      <c r="B1192" s="81"/>
      <c r="C1192" s="81" t="s">
        <v>5663</v>
      </c>
      <c r="D1192" s="81">
        <v>5.3000001907348633</v>
      </c>
      <c r="E1192" s="82"/>
      <c r="F1192" s="82"/>
      <c r="G1192" s="82"/>
      <c r="H1192" s="83"/>
      <c r="I1192" s="84"/>
      <c r="J1192" s="84"/>
      <c r="K1192" s="102"/>
      <c r="L1192" s="103"/>
      <c r="M1192" s="103"/>
    </row>
    <row r="1193" spans="1:13" ht="15" customHeight="1" thickBot="1">
      <c r="A1193" s="104" t="s">
        <v>5664</v>
      </c>
      <c r="B1193" s="105">
        <v>16935</v>
      </c>
      <c r="C1193" s="105" t="s">
        <v>5665</v>
      </c>
      <c r="D1193" s="105">
        <v>6</v>
      </c>
      <c r="E1193" s="106"/>
      <c r="F1193" s="106"/>
      <c r="G1193" s="106"/>
      <c r="H1193" s="107"/>
      <c r="I1193" s="108" t="s">
        <v>4643</v>
      </c>
      <c r="J1193" s="108" t="s">
        <v>4239</v>
      </c>
      <c r="K1193" s="109" t="s">
        <v>3295</v>
      </c>
      <c r="L1193" s="110">
        <v>0</v>
      </c>
      <c r="M1193" s="110" t="s">
        <v>5482</v>
      </c>
    </row>
    <row r="1194" spans="1:13" ht="15" customHeight="1" thickBot="1">
      <c r="A1194" s="104" t="s">
        <v>5664</v>
      </c>
      <c r="B1194" s="105">
        <v>16936</v>
      </c>
      <c r="C1194" s="105" t="s">
        <v>5666</v>
      </c>
      <c r="D1194" s="105">
        <v>19</v>
      </c>
      <c r="E1194" s="106"/>
      <c r="F1194" s="106"/>
      <c r="G1194" s="106"/>
      <c r="H1194" s="107"/>
      <c r="I1194" s="108" t="s">
        <v>4643</v>
      </c>
      <c r="J1194" s="108" t="s">
        <v>4239</v>
      </c>
      <c r="K1194" s="109" t="s">
        <v>3295</v>
      </c>
      <c r="L1194" s="110">
        <v>2942720</v>
      </c>
      <c r="M1194" s="110" t="s">
        <v>5482</v>
      </c>
    </row>
    <row r="1195" spans="1:13" ht="15" customHeight="1" thickBot="1">
      <c r="A1195" s="104" t="s">
        <v>5664</v>
      </c>
      <c r="B1195" s="105">
        <v>16937</v>
      </c>
      <c r="C1195" s="105" t="s">
        <v>5667</v>
      </c>
      <c r="D1195" s="105">
        <v>6</v>
      </c>
      <c r="E1195" s="106"/>
      <c r="F1195" s="106"/>
      <c r="G1195" s="106"/>
      <c r="H1195" s="107"/>
      <c r="I1195" s="108" t="s">
        <v>4264</v>
      </c>
      <c r="J1195" s="108" t="s">
        <v>5547</v>
      </c>
      <c r="K1195" s="109" t="s">
        <v>2424</v>
      </c>
      <c r="L1195" s="110">
        <v>0</v>
      </c>
      <c r="M1195" s="110" t="s">
        <v>5482</v>
      </c>
    </row>
    <row r="1196" spans="1:13" ht="15" customHeight="1" thickBot="1">
      <c r="A1196" s="104" t="s">
        <v>5669</v>
      </c>
      <c r="B1196" s="105">
        <v>16938</v>
      </c>
      <c r="C1196" s="105" t="s">
        <v>5668</v>
      </c>
      <c r="D1196" s="105">
        <v>1</v>
      </c>
      <c r="E1196" s="106"/>
      <c r="F1196" s="106"/>
      <c r="G1196" s="106"/>
      <c r="H1196" s="107"/>
      <c r="I1196" s="108" t="s">
        <v>5566</v>
      </c>
      <c r="J1196" s="108" t="s">
        <v>4690</v>
      </c>
      <c r="K1196" s="109" t="s">
        <v>485</v>
      </c>
      <c r="L1196" s="110">
        <v>1080997.875</v>
      </c>
      <c r="M1196" s="110" t="s">
        <v>5482</v>
      </c>
    </row>
    <row r="1197" spans="1:13" ht="15" customHeight="1" thickBot="1">
      <c r="A1197" s="104" t="s">
        <v>5669</v>
      </c>
      <c r="B1197" s="105">
        <v>16939</v>
      </c>
      <c r="C1197" s="105" t="s">
        <v>5670</v>
      </c>
      <c r="D1197" s="105">
        <v>3</v>
      </c>
      <c r="E1197" s="106"/>
      <c r="F1197" s="106"/>
      <c r="G1197" s="106"/>
      <c r="H1197" s="107"/>
      <c r="I1197" s="108" t="s">
        <v>4283</v>
      </c>
      <c r="J1197" s="108" t="s">
        <v>4234</v>
      </c>
      <c r="K1197" s="109" t="s">
        <v>3662</v>
      </c>
      <c r="L1197" s="110">
        <v>0</v>
      </c>
      <c r="M1197" s="110" t="s">
        <v>5482</v>
      </c>
    </row>
    <row r="1198" spans="1:13" ht="15" customHeight="1" thickBot="1">
      <c r="A1198" s="104" t="s">
        <v>5669</v>
      </c>
      <c r="B1198" s="105">
        <v>16940</v>
      </c>
      <c r="C1198" s="105" t="s">
        <v>5671</v>
      </c>
      <c r="D1198" s="105">
        <v>4</v>
      </c>
      <c r="E1198" s="106"/>
      <c r="F1198" s="106"/>
      <c r="G1198" s="106"/>
      <c r="H1198" s="107"/>
      <c r="I1198" s="108"/>
      <c r="J1198" s="108" t="s">
        <v>5672</v>
      </c>
      <c r="K1198" s="109" t="s">
        <v>655</v>
      </c>
      <c r="L1198" s="110">
        <v>0</v>
      </c>
      <c r="M1198" s="110" t="s">
        <v>5482</v>
      </c>
    </row>
    <row r="1199" spans="1:13" ht="15" customHeight="1" thickBot="1">
      <c r="A1199" s="104" t="s">
        <v>5674</v>
      </c>
      <c r="B1199" s="105">
        <v>16941</v>
      </c>
      <c r="C1199" s="105" t="s">
        <v>5673</v>
      </c>
      <c r="D1199" s="105">
        <v>2.5</v>
      </c>
      <c r="E1199" s="106"/>
      <c r="F1199" s="106"/>
      <c r="G1199" s="106"/>
      <c r="H1199" s="107"/>
      <c r="I1199" s="108" t="s">
        <v>4643</v>
      </c>
      <c r="J1199" s="108" t="s">
        <v>4239</v>
      </c>
      <c r="K1199" s="109" t="s">
        <v>3295</v>
      </c>
      <c r="L1199" s="110">
        <v>0</v>
      </c>
      <c r="M1199" s="110" t="s">
        <v>5482</v>
      </c>
    </row>
    <row r="1200" spans="1:13" ht="15" customHeight="1" thickBot="1">
      <c r="A1200" s="104" t="s">
        <v>5674</v>
      </c>
      <c r="B1200" s="105">
        <v>16942</v>
      </c>
      <c r="C1200" s="105" t="s">
        <v>5675</v>
      </c>
      <c r="D1200" s="105">
        <v>2.5</v>
      </c>
      <c r="E1200" s="106"/>
      <c r="F1200" s="106"/>
      <c r="G1200" s="106"/>
      <c r="H1200" s="107"/>
      <c r="I1200" s="108" t="s">
        <v>4643</v>
      </c>
      <c r="J1200" s="108" t="s">
        <v>4239</v>
      </c>
      <c r="K1200" s="109" t="s">
        <v>3295</v>
      </c>
      <c r="L1200" s="110">
        <v>0</v>
      </c>
      <c r="M1200" s="110" t="s">
        <v>5482</v>
      </c>
    </row>
    <row r="1201" spans="1:13" ht="15" customHeight="1" thickBot="1">
      <c r="A1201" s="104" t="s">
        <v>5677</v>
      </c>
      <c r="B1201" s="105">
        <v>16943</v>
      </c>
      <c r="C1201" s="105" t="s">
        <v>5676</v>
      </c>
      <c r="D1201" s="105">
        <v>1</v>
      </c>
      <c r="E1201" s="106"/>
      <c r="F1201" s="106"/>
      <c r="G1201" s="106"/>
      <c r="H1201" s="107"/>
      <c r="I1201" s="108" t="s">
        <v>4246</v>
      </c>
      <c r="J1201" s="108" t="s">
        <v>4234</v>
      </c>
      <c r="K1201" s="109" t="s">
        <v>75</v>
      </c>
      <c r="L1201" s="110">
        <v>0</v>
      </c>
      <c r="M1201" s="110" t="s">
        <v>5482</v>
      </c>
    </row>
    <row r="1202" spans="1:13" ht="15" customHeight="1" thickBot="1">
      <c r="A1202" s="104" t="s">
        <v>5677</v>
      </c>
      <c r="B1202" s="105">
        <v>16944</v>
      </c>
      <c r="C1202" s="105" t="s">
        <v>5678</v>
      </c>
      <c r="D1202" s="105">
        <v>1</v>
      </c>
      <c r="E1202" s="106"/>
      <c r="F1202" s="106"/>
      <c r="G1202" s="106"/>
      <c r="H1202" s="107"/>
      <c r="I1202" s="108" t="s">
        <v>4246</v>
      </c>
      <c r="J1202" s="108" t="s">
        <v>4234</v>
      </c>
      <c r="K1202" s="109" t="s">
        <v>75</v>
      </c>
      <c r="L1202" s="110">
        <v>0</v>
      </c>
      <c r="M1202" s="110" t="s">
        <v>5482</v>
      </c>
    </row>
    <row r="1203" spans="1:13" ht="15" customHeight="1" thickBot="1">
      <c r="A1203" s="104" t="s">
        <v>5677</v>
      </c>
      <c r="B1203" s="105">
        <v>16945</v>
      </c>
      <c r="C1203" s="105" t="s">
        <v>5679</v>
      </c>
      <c r="D1203" s="105">
        <v>10000</v>
      </c>
      <c r="E1203" s="106"/>
      <c r="F1203" s="106"/>
      <c r="G1203" s="106"/>
      <c r="H1203" s="107"/>
      <c r="I1203" s="108" t="s">
        <v>4264</v>
      </c>
      <c r="J1203" s="108" t="s">
        <v>5551</v>
      </c>
      <c r="K1203" s="109" t="s">
        <v>3825</v>
      </c>
      <c r="L1203" s="110">
        <v>0</v>
      </c>
      <c r="M1203" s="110" t="s">
        <v>5482</v>
      </c>
    </row>
    <row r="1204" spans="1:13" ht="15" customHeight="1" thickBot="1">
      <c r="A1204" s="104" t="s">
        <v>5677</v>
      </c>
      <c r="B1204" s="105">
        <v>16946</v>
      </c>
      <c r="C1204" s="105" t="s">
        <v>5680</v>
      </c>
      <c r="D1204" s="105">
        <v>1</v>
      </c>
      <c r="E1204" s="106"/>
      <c r="F1204" s="106"/>
      <c r="G1204" s="106"/>
      <c r="H1204" s="107"/>
      <c r="I1204" s="108" t="s">
        <v>4264</v>
      </c>
      <c r="J1204" s="108" t="s">
        <v>5681</v>
      </c>
      <c r="K1204" s="109" t="s">
        <v>502</v>
      </c>
      <c r="L1204" s="110">
        <v>0</v>
      </c>
      <c r="M1204" s="110" t="s">
        <v>5682</v>
      </c>
    </row>
    <row r="1205" spans="1:13" ht="15" customHeight="1">
      <c r="A1205" s="95" t="s">
        <v>5687</v>
      </c>
      <c r="B1205" s="96">
        <v>16947</v>
      </c>
      <c r="C1205" s="96" t="s">
        <v>5683</v>
      </c>
      <c r="D1205" s="96">
        <v>1</v>
      </c>
      <c r="E1205" s="97"/>
      <c r="F1205" s="97"/>
      <c r="G1205" s="97"/>
      <c r="H1205" s="98"/>
      <c r="I1205" s="99" t="s">
        <v>5686</v>
      </c>
      <c r="J1205" s="99" t="s">
        <v>4234</v>
      </c>
      <c r="K1205" s="100" t="s">
        <v>3653</v>
      </c>
      <c r="L1205" s="101">
        <v>203129.453125</v>
      </c>
      <c r="M1205" s="101" t="s">
        <v>5482</v>
      </c>
    </row>
    <row r="1206" spans="1:13" ht="15" customHeight="1">
      <c r="A1206" s="85"/>
      <c r="B1206" s="86"/>
      <c r="C1206" s="86" t="s">
        <v>5684</v>
      </c>
      <c r="D1206" s="86">
        <v>1</v>
      </c>
      <c r="E1206" s="87"/>
      <c r="F1206" s="87"/>
      <c r="G1206" s="87"/>
      <c r="H1206" s="88"/>
      <c r="I1206" s="89"/>
      <c r="J1206" s="89"/>
      <c r="K1206" s="90"/>
      <c r="L1206" s="91"/>
      <c r="M1206" s="91"/>
    </row>
    <row r="1207" spans="1:13" ht="15" customHeight="1">
      <c r="A1207" s="80"/>
      <c r="B1207" s="81"/>
      <c r="C1207" s="81" t="s">
        <v>4883</v>
      </c>
      <c r="D1207" s="81">
        <v>1</v>
      </c>
      <c r="E1207" s="82"/>
      <c r="F1207" s="82"/>
      <c r="G1207" s="82"/>
      <c r="H1207" s="83"/>
      <c r="I1207" s="84"/>
      <c r="J1207" s="84"/>
      <c r="K1207" s="102"/>
      <c r="L1207" s="103"/>
      <c r="M1207" s="103"/>
    </row>
    <row r="1208" spans="1:13" ht="15" customHeight="1" thickBot="1">
      <c r="A1208" s="80"/>
      <c r="B1208" s="81"/>
      <c r="C1208" s="81" t="s">
        <v>5685</v>
      </c>
      <c r="D1208" s="81">
        <v>1</v>
      </c>
      <c r="E1208" s="82"/>
      <c r="F1208" s="82"/>
      <c r="G1208" s="82"/>
      <c r="H1208" s="83"/>
      <c r="I1208" s="84"/>
      <c r="J1208" s="84"/>
      <c r="K1208" s="102"/>
      <c r="L1208" s="103"/>
      <c r="M1208" s="103"/>
    </row>
    <row r="1209" spans="1:13" ht="15" customHeight="1" thickBot="1">
      <c r="A1209" s="104">
        <v>45298</v>
      </c>
      <c r="B1209" s="105">
        <v>16948</v>
      </c>
      <c r="C1209" s="105" t="s">
        <v>5688</v>
      </c>
      <c r="D1209" s="105">
        <v>1</v>
      </c>
      <c r="E1209" s="106"/>
      <c r="F1209" s="106"/>
      <c r="G1209" s="106"/>
      <c r="H1209" s="107"/>
      <c r="I1209" s="108" t="s">
        <v>5689</v>
      </c>
      <c r="J1209" s="108" t="s">
        <v>5551</v>
      </c>
      <c r="K1209" s="109" t="s">
        <v>2424</v>
      </c>
      <c r="L1209" s="110">
        <v>0</v>
      </c>
      <c r="M1209" s="110" t="s">
        <v>5482</v>
      </c>
    </row>
    <row r="1210" spans="1:13" ht="15" customHeight="1" thickBot="1">
      <c r="A1210" s="104">
        <v>45389</v>
      </c>
      <c r="B1210" s="105">
        <v>16949</v>
      </c>
      <c r="C1210" s="105" t="s">
        <v>5693</v>
      </c>
      <c r="D1210" s="105">
        <v>2800</v>
      </c>
      <c r="E1210" s="106"/>
      <c r="F1210" s="106"/>
      <c r="G1210" s="106"/>
      <c r="H1210" s="107"/>
      <c r="I1210" s="108" t="s">
        <v>5694</v>
      </c>
      <c r="J1210" s="108" t="s">
        <v>4227</v>
      </c>
      <c r="K1210" s="109" t="s">
        <v>5690</v>
      </c>
      <c r="L1210" s="110">
        <v>0</v>
      </c>
      <c r="M1210" s="110" t="s">
        <v>5695</v>
      </c>
    </row>
    <row r="1211" spans="1:13" ht="15" customHeight="1">
      <c r="A1211" s="95">
        <v>45389</v>
      </c>
      <c r="B1211" s="96">
        <v>16950</v>
      </c>
      <c r="C1211" s="96" t="s">
        <v>5696</v>
      </c>
      <c r="D1211" s="96">
        <v>193</v>
      </c>
      <c r="E1211" s="97"/>
      <c r="F1211" s="97"/>
      <c r="G1211" s="97"/>
      <c r="H1211" s="98"/>
      <c r="I1211" s="99" t="s">
        <v>4756</v>
      </c>
      <c r="J1211" s="99" t="s">
        <v>4227</v>
      </c>
      <c r="K1211" s="100" t="s">
        <v>5643</v>
      </c>
      <c r="L1211" s="101">
        <v>58894704</v>
      </c>
      <c r="M1211" s="101" t="s">
        <v>5700</v>
      </c>
    </row>
    <row r="1212" spans="1:13" ht="15" customHeight="1">
      <c r="A1212" s="85"/>
      <c r="B1212" s="86"/>
      <c r="C1212" s="86" t="s">
        <v>5697</v>
      </c>
      <c r="D1212" s="86">
        <v>33.5</v>
      </c>
      <c r="E1212" s="87"/>
      <c r="F1212" s="87"/>
      <c r="G1212" s="87"/>
      <c r="H1212" s="88"/>
      <c r="I1212" s="89"/>
      <c r="J1212" s="89"/>
      <c r="K1212" s="90"/>
      <c r="L1212" s="91"/>
      <c r="M1212" s="91"/>
    </row>
    <row r="1213" spans="1:13" ht="15" customHeight="1">
      <c r="A1213" s="80"/>
      <c r="B1213" s="81"/>
      <c r="C1213" s="81" t="s">
        <v>5698</v>
      </c>
      <c r="D1213" s="81">
        <v>60</v>
      </c>
      <c r="E1213" s="82"/>
      <c r="F1213" s="82"/>
      <c r="G1213" s="82"/>
      <c r="H1213" s="83"/>
      <c r="I1213" s="84"/>
      <c r="J1213" s="84"/>
      <c r="K1213" s="102"/>
      <c r="L1213" s="103"/>
      <c r="M1213" s="103"/>
    </row>
    <row r="1214" spans="1:13" ht="15" customHeight="1" thickBot="1">
      <c r="A1214" s="80"/>
      <c r="B1214" s="81"/>
      <c r="C1214" s="81" t="s">
        <v>5699</v>
      </c>
      <c r="D1214" s="81">
        <v>97</v>
      </c>
      <c r="E1214" s="82"/>
      <c r="F1214" s="82"/>
      <c r="G1214" s="82"/>
      <c r="H1214" s="83"/>
      <c r="I1214" s="84"/>
      <c r="J1214" s="84"/>
      <c r="K1214" s="102"/>
      <c r="L1214" s="103"/>
      <c r="M1214" s="103"/>
    </row>
    <row r="1215" spans="1:13" ht="15" customHeight="1" thickBot="1">
      <c r="A1215" s="104">
        <v>45419</v>
      </c>
      <c r="B1215" s="105">
        <v>16951</v>
      </c>
      <c r="C1215" s="105" t="s">
        <v>5703</v>
      </c>
      <c r="D1215" s="105">
        <v>1</v>
      </c>
      <c r="E1215" s="106"/>
      <c r="F1215" s="106"/>
      <c r="G1215" s="106"/>
      <c r="H1215" s="107"/>
      <c r="I1215" s="108" t="s">
        <v>5704</v>
      </c>
      <c r="J1215" s="108" t="s">
        <v>4239</v>
      </c>
      <c r="K1215" s="109" t="s">
        <v>5701</v>
      </c>
      <c r="L1215" s="110">
        <v>0</v>
      </c>
      <c r="M1215" s="110" t="s">
        <v>5482</v>
      </c>
    </row>
    <row r="1216" spans="1:13" ht="15" customHeight="1" thickBot="1">
      <c r="A1216" s="104">
        <v>45419</v>
      </c>
      <c r="B1216" s="105">
        <v>16952</v>
      </c>
      <c r="C1216" s="105" t="s">
        <v>5709</v>
      </c>
      <c r="D1216" s="105">
        <v>30</v>
      </c>
      <c r="E1216" s="106"/>
      <c r="F1216" s="106"/>
      <c r="G1216" s="106"/>
      <c r="H1216" s="107"/>
      <c r="I1216" s="108" t="s">
        <v>4264</v>
      </c>
      <c r="J1216" s="108" t="s">
        <v>5530</v>
      </c>
      <c r="K1216" s="109" t="s">
        <v>5705</v>
      </c>
      <c r="L1216" s="110">
        <v>0</v>
      </c>
      <c r="M1216" s="110" t="s">
        <v>5710</v>
      </c>
    </row>
    <row r="1217" spans="1:13" ht="15" customHeight="1" thickBot="1">
      <c r="A1217" s="104">
        <v>45419</v>
      </c>
      <c r="B1217" s="105">
        <v>16953</v>
      </c>
      <c r="C1217" s="105" t="s">
        <v>5709</v>
      </c>
      <c r="D1217" s="105">
        <v>30</v>
      </c>
      <c r="E1217" s="106"/>
      <c r="F1217" s="106"/>
      <c r="G1217" s="106"/>
      <c r="H1217" s="107"/>
      <c r="I1217" s="108" t="s">
        <v>4264</v>
      </c>
      <c r="J1217" s="108" t="s">
        <v>5530</v>
      </c>
      <c r="K1217" s="109" t="s">
        <v>3848</v>
      </c>
      <c r="L1217" s="110">
        <v>0</v>
      </c>
      <c r="M1217" s="110" t="s">
        <v>5710</v>
      </c>
    </row>
    <row r="1218" spans="1:13" ht="15" customHeight="1" thickBot="1">
      <c r="A1218" s="104">
        <v>45511</v>
      </c>
      <c r="B1218" s="105">
        <v>16954</v>
      </c>
      <c r="C1218" s="105" t="s">
        <v>5715</v>
      </c>
      <c r="D1218" s="105">
        <v>600</v>
      </c>
      <c r="E1218" s="106"/>
      <c r="F1218" s="106"/>
      <c r="G1218" s="106"/>
      <c r="H1218" s="107"/>
      <c r="I1218" s="108" t="s">
        <v>5716</v>
      </c>
      <c r="J1218" s="108" t="s">
        <v>4227</v>
      </c>
      <c r="K1218" s="109" t="s">
        <v>5711</v>
      </c>
      <c r="L1218" s="110">
        <v>0</v>
      </c>
      <c r="M1218" s="110" t="s">
        <v>5695</v>
      </c>
    </row>
    <row r="1219" spans="1:13" ht="15" customHeight="1">
      <c r="A1219" s="104">
        <v>45511</v>
      </c>
      <c r="B1219" s="105">
        <v>16955</v>
      </c>
      <c r="C1219" s="105" t="s">
        <v>5717</v>
      </c>
      <c r="D1219" s="105">
        <v>1</v>
      </c>
      <c r="E1219" s="106"/>
      <c r="F1219" s="106"/>
      <c r="G1219" s="106"/>
      <c r="H1219" s="107"/>
      <c r="I1219" s="108" t="s">
        <v>5719</v>
      </c>
      <c r="J1219" s="108" t="s">
        <v>4234</v>
      </c>
      <c r="K1219" s="109" t="s">
        <v>5586</v>
      </c>
      <c r="L1219" s="110">
        <v>114950</v>
      </c>
      <c r="M1219" s="110" t="s">
        <v>5482</v>
      </c>
    </row>
    <row r="1220" spans="1:13" ht="15" customHeight="1" thickBot="1">
      <c r="A1220" s="80"/>
      <c r="B1220" s="81"/>
      <c r="C1220" s="81" t="s">
        <v>5718</v>
      </c>
      <c r="D1220" s="81">
        <v>1</v>
      </c>
      <c r="E1220" s="82"/>
      <c r="F1220" s="82"/>
      <c r="G1220" s="82"/>
      <c r="H1220" s="83"/>
      <c r="I1220" s="84"/>
      <c r="J1220" s="84"/>
      <c r="K1220" s="102"/>
      <c r="L1220" s="103"/>
      <c r="M1220" s="103"/>
    </row>
    <row r="1221" spans="1:13" ht="15" customHeight="1" thickBot="1">
      <c r="A1221" s="104">
        <v>45511</v>
      </c>
      <c r="B1221" s="105">
        <v>16956</v>
      </c>
      <c r="C1221" s="105" t="s">
        <v>5720</v>
      </c>
      <c r="D1221" s="105">
        <v>30</v>
      </c>
      <c r="E1221" s="106"/>
      <c r="F1221" s="106"/>
      <c r="G1221" s="106"/>
      <c r="H1221" s="107"/>
      <c r="I1221" s="108" t="s">
        <v>4264</v>
      </c>
      <c r="J1221" s="108" t="s">
        <v>5530</v>
      </c>
      <c r="K1221" s="109" t="s">
        <v>3848</v>
      </c>
      <c r="L1221" s="110">
        <v>5878360</v>
      </c>
      <c r="M1221" s="110" t="s">
        <v>5721</v>
      </c>
    </row>
    <row r="1222" spans="1:13" ht="15" customHeight="1" thickBot="1">
      <c r="A1222" s="104">
        <v>45603</v>
      </c>
      <c r="B1222" s="105">
        <v>16957</v>
      </c>
      <c r="C1222" s="105" t="s">
        <v>5722</v>
      </c>
      <c r="D1222" s="105">
        <v>10000</v>
      </c>
      <c r="E1222" s="106"/>
      <c r="F1222" s="106"/>
      <c r="G1222" s="106"/>
      <c r="H1222" s="107"/>
      <c r="I1222" s="108" t="s">
        <v>4264</v>
      </c>
      <c r="J1222" s="108" t="s">
        <v>5723</v>
      </c>
      <c r="K1222" s="109" t="s">
        <v>3825</v>
      </c>
      <c r="L1222" s="110">
        <v>0</v>
      </c>
      <c r="M1222" s="110" t="s">
        <v>5626</v>
      </c>
    </row>
    <row r="1223" spans="1:13" ht="15" customHeight="1" thickBot="1">
      <c r="A1223" s="104" t="s">
        <v>5726</v>
      </c>
      <c r="B1223" s="105">
        <v>16958</v>
      </c>
      <c r="C1223" s="105" t="s">
        <v>5724</v>
      </c>
      <c r="D1223" s="105">
        <v>1</v>
      </c>
      <c r="E1223" s="106"/>
      <c r="F1223" s="106"/>
      <c r="G1223" s="106"/>
      <c r="H1223" s="107"/>
      <c r="I1223" s="108" t="s">
        <v>4264</v>
      </c>
      <c r="J1223" s="108" t="s">
        <v>5551</v>
      </c>
      <c r="K1223" s="109" t="s">
        <v>3769</v>
      </c>
      <c r="L1223" s="110">
        <v>785600</v>
      </c>
      <c r="M1223" s="110" t="s">
        <v>5725</v>
      </c>
    </row>
    <row r="1224" spans="1:13" ht="15" customHeight="1" thickBot="1">
      <c r="A1224" s="104" t="s">
        <v>5729</v>
      </c>
      <c r="B1224" s="105">
        <v>16959</v>
      </c>
      <c r="C1224" s="105" t="s">
        <v>5727</v>
      </c>
      <c r="D1224" s="105">
        <v>1</v>
      </c>
      <c r="E1224" s="106"/>
      <c r="F1224" s="106"/>
      <c r="G1224" s="106"/>
      <c r="H1224" s="107"/>
      <c r="I1224" s="108" t="s">
        <v>5728</v>
      </c>
      <c r="J1224" s="108" t="s">
        <v>4239</v>
      </c>
      <c r="K1224" s="109" t="s">
        <v>4374</v>
      </c>
      <c r="L1224" s="110">
        <v>0</v>
      </c>
      <c r="M1224" s="110" t="s">
        <v>5482</v>
      </c>
    </row>
    <row r="1225" spans="1:13" ht="15" customHeight="1" thickBot="1">
      <c r="A1225" s="104" t="s">
        <v>5732</v>
      </c>
      <c r="B1225" s="105">
        <v>16960</v>
      </c>
      <c r="C1225" s="105" t="s">
        <v>5730</v>
      </c>
      <c r="D1225" s="105">
        <v>1</v>
      </c>
      <c r="E1225" s="106"/>
      <c r="F1225" s="106"/>
      <c r="G1225" s="106"/>
      <c r="H1225" s="107"/>
      <c r="I1225" s="108" t="s">
        <v>5731</v>
      </c>
      <c r="J1225" s="108" t="s">
        <v>4239</v>
      </c>
      <c r="K1225" s="109" t="s">
        <v>3661</v>
      </c>
      <c r="L1225" s="110">
        <v>6611.4013671875</v>
      </c>
      <c r="M1225" s="110" t="s">
        <v>5482</v>
      </c>
    </row>
    <row r="1226" spans="1:13" ht="15" customHeight="1" thickBot="1">
      <c r="A1226" s="104" t="s">
        <v>5732</v>
      </c>
      <c r="B1226" s="105">
        <v>16961</v>
      </c>
      <c r="C1226" s="105" t="s">
        <v>5733</v>
      </c>
      <c r="D1226" s="105">
        <v>1</v>
      </c>
      <c r="E1226" s="106"/>
      <c r="F1226" s="106"/>
      <c r="G1226" s="106"/>
      <c r="H1226" s="107"/>
      <c r="I1226" s="108" t="s">
        <v>5734</v>
      </c>
      <c r="J1226" s="108" t="s">
        <v>4239</v>
      </c>
      <c r="K1226" s="109" t="s">
        <v>3661</v>
      </c>
      <c r="L1226" s="110">
        <v>22292.75</v>
      </c>
      <c r="M1226" s="110" t="s">
        <v>5482</v>
      </c>
    </row>
    <row r="1227" spans="1:13" ht="15" customHeight="1" thickBot="1">
      <c r="A1227" s="104" t="s">
        <v>5732</v>
      </c>
      <c r="B1227" s="105">
        <v>16962</v>
      </c>
      <c r="C1227" s="105" t="s">
        <v>5735</v>
      </c>
      <c r="D1227" s="105">
        <v>1</v>
      </c>
      <c r="E1227" s="106"/>
      <c r="F1227" s="106"/>
      <c r="G1227" s="106"/>
      <c r="H1227" s="107"/>
      <c r="I1227" s="108" t="s">
        <v>5731</v>
      </c>
      <c r="J1227" s="108" t="s">
        <v>4239</v>
      </c>
      <c r="K1227" s="109" t="s">
        <v>3661</v>
      </c>
      <c r="L1227" s="110">
        <v>6611.4013671875</v>
      </c>
      <c r="M1227" s="110" t="s">
        <v>5482</v>
      </c>
    </row>
    <row r="1228" spans="1:13" ht="15" customHeight="1">
      <c r="A1228" s="104" t="s">
        <v>5732</v>
      </c>
      <c r="B1228" s="105">
        <v>16963</v>
      </c>
      <c r="C1228" s="105" t="s">
        <v>5736</v>
      </c>
      <c r="D1228" s="105">
        <v>1</v>
      </c>
      <c r="E1228" s="106"/>
      <c r="F1228" s="106"/>
      <c r="G1228" s="106"/>
      <c r="H1228" s="107"/>
      <c r="I1228" s="108" t="s">
        <v>5731</v>
      </c>
      <c r="J1228" s="108" t="s">
        <v>4239</v>
      </c>
      <c r="K1228" s="109" t="s">
        <v>3661</v>
      </c>
      <c r="L1228" s="110">
        <v>0</v>
      </c>
      <c r="M1228" s="110" t="s">
        <v>5482</v>
      </c>
    </row>
    <row r="1229" spans="1:13" ht="15" customHeight="1" thickBot="1">
      <c r="A1229" s="80"/>
      <c r="B1229" s="81"/>
      <c r="C1229" s="81" t="s">
        <v>5737</v>
      </c>
      <c r="D1229" s="81">
        <v>1</v>
      </c>
      <c r="E1229" s="82"/>
      <c r="F1229" s="82"/>
      <c r="G1229" s="82"/>
      <c r="H1229" s="83"/>
      <c r="I1229" s="84"/>
      <c r="J1229" s="84"/>
      <c r="K1229" s="102"/>
      <c r="L1229" s="103"/>
      <c r="M1229" s="103"/>
    </row>
    <row r="1230" spans="1:13" ht="15" customHeight="1">
      <c r="A1230" s="95" t="s">
        <v>5745</v>
      </c>
      <c r="B1230" s="96">
        <v>16964</v>
      </c>
      <c r="C1230" s="96" t="s">
        <v>5738</v>
      </c>
      <c r="D1230" s="96">
        <v>1</v>
      </c>
      <c r="E1230" s="97"/>
      <c r="F1230" s="97"/>
      <c r="G1230" s="97"/>
      <c r="H1230" s="98"/>
      <c r="I1230" s="99" t="s">
        <v>5731</v>
      </c>
      <c r="J1230" s="99" t="s">
        <v>4239</v>
      </c>
      <c r="K1230" s="100" t="s">
        <v>1705</v>
      </c>
      <c r="L1230" s="101">
        <v>0</v>
      </c>
      <c r="M1230" s="101" t="s">
        <v>5482</v>
      </c>
    </row>
    <row r="1231" spans="1:13" ht="15" customHeight="1">
      <c r="A1231" s="85"/>
      <c r="B1231" s="86"/>
      <c r="C1231" s="86" t="s">
        <v>5739</v>
      </c>
      <c r="D1231" s="86">
        <v>4</v>
      </c>
      <c r="E1231" s="87"/>
      <c r="F1231" s="87"/>
      <c r="G1231" s="87"/>
      <c r="H1231" s="88"/>
      <c r="I1231" s="89"/>
      <c r="J1231" s="89"/>
      <c r="K1231" s="90"/>
      <c r="L1231" s="91"/>
      <c r="M1231" s="91"/>
    </row>
    <row r="1232" spans="1:13" ht="15" customHeight="1">
      <c r="A1232" s="73"/>
      <c r="B1232" s="2"/>
      <c r="C1232" s="2" t="s">
        <v>5740</v>
      </c>
      <c r="D1232" s="2">
        <v>1</v>
      </c>
      <c r="E1232" s="4"/>
      <c r="F1232" s="4"/>
      <c r="G1232" s="4"/>
      <c r="H1232" s="61"/>
      <c r="I1232" s="62"/>
      <c r="J1232" s="62"/>
      <c r="K1232" s="78"/>
      <c r="L1232" s="57"/>
      <c r="M1232" s="57"/>
    </row>
    <row r="1233" spans="1:13" ht="15" customHeight="1">
      <c r="A1233" s="73"/>
      <c r="B1233" s="2"/>
      <c r="C1233" s="2" t="s">
        <v>5741</v>
      </c>
      <c r="D1233" s="2">
        <v>1</v>
      </c>
      <c r="E1233" s="4"/>
      <c r="F1233" s="4"/>
      <c r="G1233" s="4"/>
      <c r="H1233" s="61"/>
      <c r="I1233" s="62"/>
      <c r="J1233" s="62"/>
      <c r="K1233" s="78"/>
      <c r="L1233" s="57"/>
      <c r="M1233" s="57"/>
    </row>
    <row r="1234" spans="1:13" ht="15" customHeight="1">
      <c r="A1234" s="73"/>
      <c r="B1234" s="2"/>
      <c r="C1234" s="2" t="s">
        <v>5742</v>
      </c>
      <c r="D1234" s="2">
        <v>1</v>
      </c>
      <c r="E1234" s="4"/>
      <c r="F1234" s="4"/>
      <c r="G1234" s="4"/>
      <c r="H1234" s="61"/>
      <c r="I1234" s="62"/>
      <c r="J1234" s="62"/>
      <c r="K1234" s="78"/>
      <c r="L1234" s="57"/>
      <c r="M1234" s="57"/>
    </row>
    <row r="1235" spans="1:13" ht="15" customHeight="1">
      <c r="A1235" s="80"/>
      <c r="B1235" s="81"/>
      <c r="C1235" s="81" t="s">
        <v>5743</v>
      </c>
      <c r="D1235" s="81">
        <v>25</v>
      </c>
      <c r="E1235" s="82"/>
      <c r="F1235" s="82"/>
      <c r="G1235" s="82"/>
      <c r="H1235" s="83"/>
      <c r="I1235" s="84"/>
      <c r="J1235" s="84"/>
      <c r="K1235" s="102"/>
      <c r="L1235" s="103"/>
      <c r="M1235" s="103"/>
    </row>
    <row r="1236" spans="1:13" ht="15" customHeight="1" thickBot="1">
      <c r="A1236" s="80"/>
      <c r="B1236" s="81"/>
      <c r="C1236" s="81" t="s">
        <v>5744</v>
      </c>
      <c r="D1236" s="81">
        <v>1</v>
      </c>
      <c r="E1236" s="82"/>
      <c r="F1236" s="82"/>
      <c r="G1236" s="82"/>
      <c r="H1236" s="83"/>
      <c r="I1236" s="84"/>
      <c r="J1236" s="84"/>
      <c r="K1236" s="102"/>
      <c r="L1236" s="103"/>
      <c r="M1236" s="103"/>
    </row>
    <row r="1237" spans="1:13" ht="15" customHeight="1">
      <c r="A1237" s="95" t="s">
        <v>5745</v>
      </c>
      <c r="B1237" s="96">
        <v>16965</v>
      </c>
      <c r="C1237" s="96" t="s">
        <v>5754</v>
      </c>
      <c r="D1237" s="96">
        <v>1</v>
      </c>
      <c r="E1237" s="97"/>
      <c r="F1237" s="97"/>
      <c r="G1237" s="97"/>
      <c r="H1237" s="98"/>
      <c r="I1237" s="99" t="s">
        <v>4412</v>
      </c>
      <c r="J1237" s="99" t="s">
        <v>4234</v>
      </c>
      <c r="K1237" s="100" t="s">
        <v>5746</v>
      </c>
      <c r="L1237" s="101">
        <v>219300.015625</v>
      </c>
      <c r="M1237" s="101" t="s">
        <v>5755</v>
      </c>
    </row>
    <row r="1238" spans="1:13" ht="15" customHeight="1">
      <c r="A1238" s="85"/>
      <c r="B1238" s="86"/>
      <c r="C1238" s="86" t="s">
        <v>5749</v>
      </c>
      <c r="D1238" s="86">
        <v>1</v>
      </c>
      <c r="E1238" s="87"/>
      <c r="F1238" s="87"/>
      <c r="G1238" s="87"/>
      <c r="H1238" s="88"/>
      <c r="I1238" s="89"/>
      <c r="J1238" s="89"/>
      <c r="K1238" s="90"/>
      <c r="L1238" s="91"/>
      <c r="M1238" s="91"/>
    </row>
    <row r="1239" spans="1:13" ht="15" customHeight="1">
      <c r="A1239" s="73"/>
      <c r="B1239" s="2"/>
      <c r="C1239" s="2" t="s">
        <v>5750</v>
      </c>
      <c r="D1239" s="2">
        <v>1</v>
      </c>
      <c r="E1239" s="4"/>
      <c r="F1239" s="4"/>
      <c r="G1239" s="4"/>
      <c r="H1239" s="61"/>
      <c r="I1239" s="62"/>
      <c r="J1239" s="62"/>
      <c r="K1239" s="78"/>
      <c r="L1239" s="57"/>
      <c r="M1239" s="57"/>
    </row>
    <row r="1240" spans="1:13" ht="15" customHeight="1">
      <c r="A1240" s="73"/>
      <c r="B1240" s="2"/>
      <c r="C1240" s="2" t="s">
        <v>5751</v>
      </c>
      <c r="D1240" s="2">
        <v>1</v>
      </c>
      <c r="E1240" s="4"/>
      <c r="F1240" s="4"/>
      <c r="G1240" s="4"/>
      <c r="H1240" s="61"/>
      <c r="I1240" s="62"/>
      <c r="J1240" s="62"/>
      <c r="K1240" s="78"/>
      <c r="L1240" s="57"/>
      <c r="M1240" s="57"/>
    </row>
    <row r="1241" spans="1:13" ht="15" customHeight="1">
      <c r="A1241" s="80"/>
      <c r="B1241" s="81"/>
      <c r="C1241" s="81" t="s">
        <v>5752</v>
      </c>
      <c r="D1241" s="81">
        <v>1</v>
      </c>
      <c r="E1241" s="82"/>
      <c r="F1241" s="82"/>
      <c r="G1241" s="82"/>
      <c r="H1241" s="83"/>
      <c r="I1241" s="84"/>
      <c r="J1241" s="84"/>
      <c r="K1241" s="102"/>
      <c r="L1241" s="103"/>
      <c r="M1241" s="103"/>
    </row>
    <row r="1242" spans="1:13" ht="15" customHeight="1" thickBot="1">
      <c r="A1242" s="80"/>
      <c r="B1242" s="81"/>
      <c r="C1242" s="81" t="s">
        <v>5753</v>
      </c>
      <c r="D1242" s="81">
        <v>1</v>
      </c>
      <c r="E1242" s="82"/>
      <c r="F1242" s="82"/>
      <c r="G1242" s="82"/>
      <c r="H1242" s="83"/>
      <c r="I1242" s="84"/>
      <c r="J1242" s="84"/>
      <c r="K1242" s="102"/>
      <c r="L1242" s="103"/>
      <c r="M1242" s="103"/>
    </row>
    <row r="1243" spans="1:13" ht="15" customHeight="1" thickBot="1">
      <c r="A1243" s="104" t="s">
        <v>5745</v>
      </c>
      <c r="B1243" s="105">
        <v>16966</v>
      </c>
      <c r="C1243" s="105" t="s">
        <v>5757</v>
      </c>
      <c r="D1243" s="105">
        <v>1</v>
      </c>
      <c r="E1243" s="106"/>
      <c r="F1243" s="106"/>
      <c r="G1243" s="106"/>
      <c r="H1243" s="107"/>
      <c r="I1243" s="108" t="s">
        <v>4696</v>
      </c>
      <c r="J1243" s="108" t="s">
        <v>4234</v>
      </c>
      <c r="K1243" s="109" t="s">
        <v>2021</v>
      </c>
      <c r="L1243" s="110">
        <v>0</v>
      </c>
      <c r="M1243" s="110" t="s">
        <v>5756</v>
      </c>
    </row>
    <row r="1244" spans="1:13" ht="15" customHeight="1">
      <c r="A1244" s="104" t="s">
        <v>5745</v>
      </c>
      <c r="B1244" s="105">
        <v>16967</v>
      </c>
      <c r="C1244" s="105" t="s">
        <v>5759</v>
      </c>
      <c r="D1244" s="105">
        <v>4000</v>
      </c>
      <c r="E1244" s="106"/>
      <c r="F1244" s="106"/>
      <c r="G1244" s="106"/>
      <c r="H1244" s="107"/>
      <c r="I1244" s="108" t="s">
        <v>4264</v>
      </c>
      <c r="J1244" s="108" t="s">
        <v>5551</v>
      </c>
      <c r="K1244" s="109" t="s">
        <v>3825</v>
      </c>
      <c r="L1244" s="110">
        <v>0</v>
      </c>
      <c r="M1244" s="110" t="s">
        <v>5758</v>
      </c>
    </row>
    <row r="1245" spans="1:13" ht="15" customHeight="1" thickBot="1">
      <c r="A1245" s="80"/>
      <c r="B1245" s="81"/>
      <c r="C1245" s="81" t="s">
        <v>5760</v>
      </c>
      <c r="D1245" s="81">
        <v>7000</v>
      </c>
      <c r="E1245" s="82"/>
      <c r="F1245" s="82"/>
      <c r="G1245" s="82"/>
      <c r="H1245" s="83"/>
      <c r="I1245" s="84"/>
      <c r="J1245" s="84"/>
      <c r="K1245" s="102"/>
      <c r="L1245" s="103"/>
      <c r="M1245" s="103"/>
    </row>
    <row r="1246" spans="1:13" ht="15" customHeight="1" thickBot="1">
      <c r="A1246" s="104" t="s">
        <v>5765</v>
      </c>
      <c r="B1246" s="105">
        <v>16968</v>
      </c>
      <c r="C1246" s="105" t="s">
        <v>5764</v>
      </c>
      <c r="D1246" s="105">
        <v>4</v>
      </c>
      <c r="E1246" s="106"/>
      <c r="F1246" s="106"/>
      <c r="G1246" s="106"/>
      <c r="H1246" s="107"/>
      <c r="I1246" s="108" t="s">
        <v>4264</v>
      </c>
      <c r="J1246" s="108" t="s">
        <v>5547</v>
      </c>
      <c r="K1246" s="109" t="s">
        <v>5761</v>
      </c>
      <c r="L1246" s="110">
        <v>0</v>
      </c>
      <c r="M1246" s="110" t="s">
        <v>5482</v>
      </c>
    </row>
    <row r="1247" spans="1:13" ht="15" customHeight="1">
      <c r="A1247" s="104" t="s">
        <v>5769</v>
      </c>
      <c r="B1247" s="105">
        <v>16969</v>
      </c>
      <c r="C1247" s="105" t="s">
        <v>5766</v>
      </c>
      <c r="D1247" s="105">
        <v>1</v>
      </c>
      <c r="E1247" s="106"/>
      <c r="F1247" s="106"/>
      <c r="G1247" s="106"/>
      <c r="H1247" s="107"/>
      <c r="I1247" s="108" t="s">
        <v>5768</v>
      </c>
      <c r="J1247" s="108" t="s">
        <v>4414</v>
      </c>
      <c r="K1247" s="109" t="s">
        <v>4979</v>
      </c>
      <c r="L1247" s="110">
        <v>117500</v>
      </c>
      <c r="M1247" s="110" t="s">
        <v>5482</v>
      </c>
    </row>
    <row r="1248" spans="1:13" ht="15" customHeight="1" thickBot="1">
      <c r="A1248" s="80"/>
      <c r="B1248" s="81"/>
      <c r="C1248" s="81" t="s">
        <v>5767</v>
      </c>
      <c r="D1248" s="81">
        <v>2</v>
      </c>
      <c r="E1248" s="82"/>
      <c r="F1248" s="82"/>
      <c r="G1248" s="82"/>
      <c r="H1248" s="83"/>
      <c r="I1248" s="84"/>
      <c r="J1248" s="84"/>
      <c r="K1248" s="102"/>
      <c r="L1248" s="103"/>
      <c r="M1248" s="103"/>
    </row>
    <row r="1249" spans="1:13" ht="15" customHeight="1" thickBot="1">
      <c r="A1249" s="104">
        <v>45481</v>
      </c>
      <c r="B1249" s="105">
        <v>16970</v>
      </c>
      <c r="C1249" s="105" t="s">
        <v>5770</v>
      </c>
      <c r="D1249" s="105">
        <v>1</v>
      </c>
      <c r="E1249" s="106"/>
      <c r="F1249" s="106"/>
      <c r="G1249" s="106"/>
      <c r="H1249" s="107"/>
      <c r="I1249" s="108" t="s">
        <v>4264</v>
      </c>
      <c r="J1249" s="108" t="s">
        <v>5547</v>
      </c>
      <c r="K1249" s="109" t="s">
        <v>3661</v>
      </c>
      <c r="L1249" s="110">
        <v>0</v>
      </c>
      <c r="M1249" s="110" t="s">
        <v>5482</v>
      </c>
    </row>
    <row r="1250" spans="1:13" ht="15" customHeight="1" thickBot="1">
      <c r="A1250" s="104">
        <v>45481</v>
      </c>
      <c r="B1250" s="105">
        <v>16971</v>
      </c>
      <c r="C1250" s="105" t="s">
        <v>5771</v>
      </c>
      <c r="D1250" s="105">
        <v>2</v>
      </c>
      <c r="E1250" s="106"/>
      <c r="F1250" s="106"/>
      <c r="G1250" s="106"/>
      <c r="H1250" s="107"/>
      <c r="I1250" s="108" t="s">
        <v>4264</v>
      </c>
      <c r="J1250" s="108" t="s">
        <v>5772</v>
      </c>
      <c r="K1250" s="109" t="s">
        <v>3698</v>
      </c>
      <c r="L1250" s="110">
        <v>307074</v>
      </c>
      <c r="M1250" s="110" t="s">
        <v>5482</v>
      </c>
    </row>
    <row r="1251" spans="1:13" ht="15" customHeight="1">
      <c r="A1251" s="95">
        <v>45481</v>
      </c>
      <c r="B1251" s="96">
        <v>16972</v>
      </c>
      <c r="C1251" s="96" t="s">
        <v>5773</v>
      </c>
      <c r="D1251" s="96">
        <v>1</v>
      </c>
      <c r="E1251" s="97"/>
      <c r="F1251" s="97"/>
      <c r="G1251" s="97"/>
      <c r="H1251" s="98"/>
      <c r="I1251" s="99" t="s">
        <v>5731</v>
      </c>
      <c r="J1251" s="99" t="s">
        <v>5569</v>
      </c>
      <c r="K1251" s="100" t="s">
        <v>3653</v>
      </c>
      <c r="L1251" s="101">
        <v>79078.3515625</v>
      </c>
      <c r="M1251" s="101" t="s">
        <v>5774</v>
      </c>
    </row>
    <row r="1252" spans="1:13" ht="15" customHeight="1">
      <c r="A1252" s="85"/>
      <c r="B1252" s="86"/>
      <c r="C1252" s="86" t="s">
        <v>5775</v>
      </c>
      <c r="D1252" s="86">
        <v>1</v>
      </c>
      <c r="E1252" s="87"/>
      <c r="F1252" s="87"/>
      <c r="G1252" s="87"/>
      <c r="H1252" s="88"/>
      <c r="I1252" s="89"/>
      <c r="J1252" s="89"/>
      <c r="K1252" s="90"/>
      <c r="L1252" s="91"/>
      <c r="M1252" s="91"/>
    </row>
    <row r="1253" spans="1:13" ht="15" customHeight="1">
      <c r="A1253" s="80"/>
      <c r="B1253" s="81"/>
      <c r="C1253" s="81" t="s">
        <v>5776</v>
      </c>
      <c r="D1253" s="81">
        <v>1</v>
      </c>
      <c r="E1253" s="82"/>
      <c r="F1253" s="82"/>
      <c r="G1253" s="82"/>
      <c r="H1253" s="83"/>
      <c r="I1253" s="84"/>
      <c r="J1253" s="84"/>
      <c r="K1253" s="102"/>
      <c r="L1253" s="103"/>
      <c r="M1253" s="103"/>
    </row>
    <row r="1254" spans="1:13" ht="15" customHeight="1" thickBot="1">
      <c r="A1254" s="80"/>
      <c r="B1254" s="81"/>
      <c r="C1254" s="81" t="s">
        <v>5777</v>
      </c>
      <c r="D1254" s="81">
        <v>1</v>
      </c>
      <c r="E1254" s="82"/>
      <c r="F1254" s="82"/>
      <c r="G1254" s="82"/>
      <c r="H1254" s="83"/>
      <c r="I1254" s="84"/>
      <c r="J1254" s="84"/>
      <c r="K1254" s="102"/>
      <c r="L1254" s="103"/>
      <c r="M1254" s="103"/>
    </row>
    <row r="1255" spans="1:13" ht="15" customHeight="1" thickBot="1">
      <c r="A1255" s="104">
        <v>45512</v>
      </c>
      <c r="B1255" s="105">
        <v>16973</v>
      </c>
      <c r="C1255" s="105" t="s">
        <v>5778</v>
      </c>
      <c r="D1255" s="105">
        <v>1</v>
      </c>
      <c r="E1255" s="106"/>
      <c r="F1255" s="106"/>
      <c r="G1255" s="106"/>
      <c r="H1255" s="107"/>
      <c r="I1255" s="108" t="s">
        <v>5731</v>
      </c>
      <c r="J1255" s="108" t="s">
        <v>4239</v>
      </c>
      <c r="K1255" s="109" t="s">
        <v>3653</v>
      </c>
      <c r="L1255" s="110">
        <v>30208.775390625</v>
      </c>
      <c r="M1255" s="110" t="s">
        <v>5482</v>
      </c>
    </row>
    <row r="1256" spans="1:13" ht="15" customHeight="1">
      <c r="A1256" s="95">
        <v>45543</v>
      </c>
      <c r="B1256" s="96">
        <v>16974</v>
      </c>
      <c r="C1256" s="96" t="s">
        <v>5780</v>
      </c>
      <c r="D1256" s="96">
        <v>133.30000305175781</v>
      </c>
      <c r="E1256" s="97"/>
      <c r="F1256" s="97"/>
      <c r="G1256" s="97"/>
      <c r="H1256" s="98"/>
      <c r="I1256" s="99" t="s">
        <v>4264</v>
      </c>
      <c r="J1256" s="99" t="s">
        <v>4234</v>
      </c>
      <c r="K1256" s="100" t="s">
        <v>3052</v>
      </c>
      <c r="L1256" s="101">
        <v>9862637</v>
      </c>
      <c r="M1256" s="101" t="s">
        <v>5779</v>
      </c>
    </row>
    <row r="1257" spans="1:13" ht="15" customHeight="1">
      <c r="A1257" s="85"/>
      <c r="B1257" s="86"/>
      <c r="C1257" s="86" t="s">
        <v>5781</v>
      </c>
      <c r="D1257" s="86">
        <v>249.89999389648438</v>
      </c>
      <c r="E1257" s="87"/>
      <c r="F1257" s="87"/>
      <c r="G1257" s="87"/>
      <c r="H1257" s="88"/>
      <c r="I1257" s="89"/>
      <c r="J1257" s="89"/>
      <c r="K1257" s="90"/>
      <c r="L1257" s="91"/>
      <c r="M1257" s="91"/>
    </row>
    <row r="1258" spans="1:13" ht="15" customHeight="1">
      <c r="A1258" s="80"/>
      <c r="B1258" s="81"/>
      <c r="C1258" s="81" t="s">
        <v>4713</v>
      </c>
      <c r="D1258" s="81">
        <v>1</v>
      </c>
      <c r="E1258" s="82"/>
      <c r="F1258" s="82"/>
      <c r="G1258" s="82"/>
      <c r="H1258" s="83"/>
      <c r="I1258" s="84"/>
      <c r="J1258" s="84"/>
      <c r="K1258" s="102"/>
      <c r="L1258" s="103"/>
      <c r="M1258" s="103"/>
    </row>
    <row r="1259" spans="1:13" ht="15" customHeight="1" thickBot="1">
      <c r="A1259" s="80"/>
      <c r="B1259" s="81"/>
      <c r="C1259" s="81" t="s">
        <v>5782</v>
      </c>
      <c r="D1259" s="81">
        <v>1</v>
      </c>
      <c r="E1259" s="82"/>
      <c r="F1259" s="82"/>
      <c r="G1259" s="82"/>
      <c r="H1259" s="83"/>
      <c r="I1259" s="84"/>
      <c r="J1259" s="84"/>
      <c r="K1259" s="102"/>
      <c r="L1259" s="103"/>
      <c r="M1259" s="103"/>
    </row>
    <row r="1260" spans="1:13" ht="15" customHeight="1" thickBot="1">
      <c r="A1260" s="104">
        <v>45543</v>
      </c>
      <c r="B1260" s="105">
        <v>16975</v>
      </c>
      <c r="C1260" s="105" t="s">
        <v>5783</v>
      </c>
      <c r="D1260" s="105">
        <v>1</v>
      </c>
      <c r="E1260" s="106"/>
      <c r="F1260" s="106"/>
      <c r="G1260" s="106"/>
      <c r="H1260" s="107"/>
      <c r="I1260" s="108" t="s">
        <v>5555</v>
      </c>
      <c r="J1260" s="108" t="s">
        <v>5555</v>
      </c>
      <c r="K1260" s="109" t="s">
        <v>502</v>
      </c>
      <c r="L1260" s="110">
        <v>0</v>
      </c>
      <c r="M1260" s="110" t="s">
        <v>5482</v>
      </c>
    </row>
    <row r="1261" spans="1:13" ht="15" customHeight="1" thickBot="1">
      <c r="A1261" s="119">
        <v>45634</v>
      </c>
      <c r="B1261" s="120">
        <v>16976</v>
      </c>
      <c r="C1261" s="120" t="s">
        <v>5784</v>
      </c>
      <c r="D1261" s="120">
        <v>1</v>
      </c>
      <c r="E1261" s="121"/>
      <c r="F1261" s="121"/>
      <c r="G1261" s="121"/>
      <c r="H1261" s="122"/>
      <c r="I1261" s="123" t="s">
        <v>4246</v>
      </c>
      <c r="J1261" s="123" t="s">
        <v>4239</v>
      </c>
      <c r="K1261" s="124" t="s">
        <v>502</v>
      </c>
      <c r="L1261" s="125">
        <v>0</v>
      </c>
      <c r="M1261" s="125" t="s">
        <v>5482</v>
      </c>
    </row>
    <row r="1262" spans="1:13" ht="15" customHeight="1" thickBot="1">
      <c r="A1262" s="112">
        <v>45634</v>
      </c>
      <c r="B1262" s="113">
        <v>16977</v>
      </c>
      <c r="C1262" s="113"/>
      <c r="D1262" s="113"/>
      <c r="E1262" s="114"/>
      <c r="F1262" s="114"/>
      <c r="G1262" s="114"/>
      <c r="H1262" s="115"/>
      <c r="I1262" s="116"/>
      <c r="J1262" s="116"/>
      <c r="K1262" s="117" t="s">
        <v>502</v>
      </c>
      <c r="L1262" s="118">
        <v>0</v>
      </c>
      <c r="M1262" s="118"/>
    </row>
    <row r="1263" spans="1:13" ht="15" customHeight="1">
      <c r="A1263" s="95">
        <v>45634</v>
      </c>
      <c r="B1263" s="96">
        <v>16978</v>
      </c>
      <c r="C1263" s="96" t="s">
        <v>5785</v>
      </c>
      <c r="D1263" s="96">
        <v>59.520000457763672</v>
      </c>
      <c r="E1263" s="97"/>
      <c r="F1263" s="97"/>
      <c r="G1263" s="97"/>
      <c r="H1263" s="98"/>
      <c r="I1263" s="99" t="s">
        <v>4383</v>
      </c>
      <c r="J1263" s="99" t="s">
        <v>4383</v>
      </c>
      <c r="K1263" s="100" t="s">
        <v>3692</v>
      </c>
      <c r="L1263" s="101">
        <v>0</v>
      </c>
      <c r="M1263" s="101" t="s">
        <v>5482</v>
      </c>
    </row>
    <row r="1264" spans="1:13" ht="15" customHeight="1">
      <c r="A1264" s="85"/>
      <c r="B1264" s="86"/>
      <c r="C1264" s="86" t="s">
        <v>5786</v>
      </c>
      <c r="D1264" s="86">
        <v>113.25</v>
      </c>
      <c r="E1264" s="87"/>
      <c r="F1264" s="87"/>
      <c r="G1264" s="87"/>
      <c r="H1264" s="88"/>
      <c r="I1264" s="89"/>
      <c r="J1264" s="89"/>
      <c r="K1264" s="90"/>
      <c r="L1264" s="91"/>
      <c r="M1264" s="91"/>
    </row>
    <row r="1265" spans="1:13" ht="15" customHeight="1">
      <c r="A1265" s="80"/>
      <c r="B1265" s="81"/>
      <c r="C1265" s="81" t="s">
        <v>5787</v>
      </c>
      <c r="D1265" s="81">
        <v>2</v>
      </c>
      <c r="E1265" s="82"/>
      <c r="F1265" s="82"/>
      <c r="G1265" s="82"/>
      <c r="H1265" s="83"/>
      <c r="I1265" s="84"/>
      <c r="J1265" s="84"/>
      <c r="K1265" s="102"/>
      <c r="L1265" s="103"/>
      <c r="M1265" s="103"/>
    </row>
    <row r="1266" spans="1:13" ht="15" customHeight="1" thickBot="1">
      <c r="A1266" s="80"/>
      <c r="B1266" s="81"/>
      <c r="C1266" s="81" t="s">
        <v>5788</v>
      </c>
      <c r="D1266" s="81">
        <v>50.75</v>
      </c>
      <c r="E1266" s="82"/>
      <c r="F1266" s="82"/>
      <c r="G1266" s="82"/>
      <c r="H1266" s="83"/>
      <c r="I1266" s="84"/>
      <c r="J1266" s="84"/>
      <c r="K1266" s="102"/>
      <c r="L1266" s="103"/>
      <c r="M1266" s="103"/>
    </row>
    <row r="1267" spans="1:13" ht="15" customHeight="1">
      <c r="A1267" s="95">
        <v>45634</v>
      </c>
      <c r="B1267" s="96">
        <v>16979</v>
      </c>
      <c r="C1267" s="96" t="s">
        <v>5789</v>
      </c>
      <c r="D1267" s="96">
        <v>59.520000457763672</v>
      </c>
      <c r="E1267" s="97"/>
      <c r="F1267" s="97"/>
      <c r="G1267" s="97"/>
      <c r="H1267" s="98"/>
      <c r="I1267" s="99" t="s">
        <v>4227</v>
      </c>
      <c r="J1267" s="99" t="s">
        <v>4227</v>
      </c>
      <c r="K1267" s="100" t="s">
        <v>3692</v>
      </c>
      <c r="L1267" s="101">
        <v>518481.25</v>
      </c>
      <c r="M1267" s="101" t="s">
        <v>5793</v>
      </c>
    </row>
    <row r="1268" spans="1:13" ht="15" customHeight="1">
      <c r="A1268" s="85"/>
      <c r="B1268" s="86"/>
      <c r="C1268" s="86" t="s">
        <v>5790</v>
      </c>
      <c r="D1268" s="86">
        <v>113.25</v>
      </c>
      <c r="E1268" s="87"/>
      <c r="F1268" s="87"/>
      <c r="G1268" s="87"/>
      <c r="H1268" s="88"/>
      <c r="I1268" s="89"/>
      <c r="J1268" s="89"/>
      <c r="K1268" s="90"/>
      <c r="L1268" s="91"/>
      <c r="M1268" s="91"/>
    </row>
    <row r="1269" spans="1:13" ht="15" customHeight="1">
      <c r="A1269" s="80"/>
      <c r="B1269" s="81"/>
      <c r="C1269" s="81" t="s">
        <v>5791</v>
      </c>
      <c r="D1269" s="81">
        <v>2</v>
      </c>
      <c r="E1269" s="82"/>
      <c r="F1269" s="82"/>
      <c r="G1269" s="82"/>
      <c r="H1269" s="83"/>
      <c r="I1269" s="84"/>
      <c r="J1269" s="84"/>
      <c r="K1269" s="102"/>
      <c r="L1269" s="103"/>
      <c r="M1269" s="103"/>
    </row>
    <row r="1270" spans="1:13" ht="15" customHeight="1" thickBot="1">
      <c r="A1270" s="80"/>
      <c r="B1270" s="81"/>
      <c r="C1270" s="81" t="s">
        <v>5792</v>
      </c>
      <c r="D1270" s="81">
        <v>50.75</v>
      </c>
      <c r="E1270" s="82"/>
      <c r="F1270" s="82"/>
      <c r="G1270" s="82"/>
      <c r="H1270" s="83"/>
      <c r="I1270" s="84"/>
      <c r="J1270" s="84"/>
      <c r="K1270" s="102"/>
      <c r="L1270" s="103"/>
      <c r="M1270" s="103"/>
    </row>
    <row r="1271" spans="1:13" ht="15" customHeight="1" thickBot="1">
      <c r="A1271" s="104" t="s">
        <v>5796</v>
      </c>
      <c r="B1271" s="105">
        <v>16980</v>
      </c>
      <c r="C1271" s="105" t="s">
        <v>5794</v>
      </c>
      <c r="D1271" s="105">
        <v>1</v>
      </c>
      <c r="E1271" s="106"/>
      <c r="F1271" s="106"/>
      <c r="G1271" s="106"/>
      <c r="H1271" s="107"/>
      <c r="I1271" s="108" t="s">
        <v>5731</v>
      </c>
      <c r="J1271" s="108" t="s">
        <v>4239</v>
      </c>
      <c r="K1271" s="109" t="s">
        <v>3265</v>
      </c>
      <c r="L1271" s="110">
        <v>71068.140625</v>
      </c>
      <c r="M1271" s="110" t="s">
        <v>5795</v>
      </c>
    </row>
    <row r="1272" spans="1:13" ht="15" customHeight="1" thickBot="1">
      <c r="A1272" s="104" t="s">
        <v>5799</v>
      </c>
      <c r="B1272" s="105">
        <v>16981</v>
      </c>
      <c r="C1272" s="105" t="s">
        <v>5797</v>
      </c>
      <c r="D1272" s="105">
        <v>2</v>
      </c>
      <c r="E1272" s="106"/>
      <c r="F1272" s="106"/>
      <c r="G1272" s="106"/>
      <c r="H1272" s="107"/>
      <c r="I1272" s="108" t="s">
        <v>4264</v>
      </c>
      <c r="J1272" s="108" t="s">
        <v>5798</v>
      </c>
      <c r="K1272" s="109" t="s">
        <v>4508</v>
      </c>
      <c r="L1272" s="110">
        <v>0</v>
      </c>
      <c r="M1272" s="110" t="s">
        <v>5482</v>
      </c>
    </row>
    <row r="1273" spans="1:13" ht="15" customHeight="1" thickBot="1">
      <c r="A1273" s="104" t="s">
        <v>5799</v>
      </c>
      <c r="B1273" s="105">
        <v>16982</v>
      </c>
      <c r="C1273" s="105" t="s">
        <v>5797</v>
      </c>
      <c r="D1273" s="105">
        <v>2</v>
      </c>
      <c r="E1273" s="106"/>
      <c r="F1273" s="106"/>
      <c r="G1273" s="106"/>
      <c r="H1273" s="107"/>
      <c r="I1273" s="108" t="s">
        <v>4264</v>
      </c>
      <c r="J1273" s="108" t="s">
        <v>5800</v>
      </c>
      <c r="K1273" s="109" t="s">
        <v>4508</v>
      </c>
      <c r="L1273" s="110">
        <v>19599.9921875</v>
      </c>
      <c r="M1273" s="110" t="s">
        <v>5482</v>
      </c>
    </row>
    <row r="1274" spans="1:13" ht="15" customHeight="1" thickBot="1">
      <c r="A1274" s="104" t="s">
        <v>5799</v>
      </c>
      <c r="B1274" s="105">
        <v>16983</v>
      </c>
      <c r="C1274" s="105" t="s">
        <v>5801</v>
      </c>
      <c r="D1274" s="105">
        <v>3</v>
      </c>
      <c r="E1274" s="106"/>
      <c r="F1274" s="106"/>
      <c r="G1274" s="106"/>
      <c r="H1274" s="107"/>
      <c r="I1274" s="108" t="s">
        <v>4756</v>
      </c>
      <c r="J1274" s="108" t="s">
        <v>4227</v>
      </c>
      <c r="K1274" s="109" t="s">
        <v>3657</v>
      </c>
      <c r="L1274" s="110">
        <v>0</v>
      </c>
      <c r="M1274" s="110" t="s">
        <v>5802</v>
      </c>
    </row>
    <row r="1275" spans="1:13" ht="15" customHeight="1" thickBot="1">
      <c r="A1275" s="104" t="s">
        <v>5804</v>
      </c>
      <c r="B1275" s="105">
        <v>16984</v>
      </c>
      <c r="C1275" s="105" t="s">
        <v>5803</v>
      </c>
      <c r="D1275" s="105">
        <v>11</v>
      </c>
      <c r="E1275" s="106"/>
      <c r="F1275" s="106"/>
      <c r="G1275" s="106"/>
      <c r="H1275" s="107"/>
      <c r="I1275" s="108" t="s">
        <v>4643</v>
      </c>
      <c r="J1275" s="108" t="s">
        <v>4239</v>
      </c>
      <c r="K1275" s="109" t="s">
        <v>3692</v>
      </c>
      <c r="L1275" s="110">
        <v>0</v>
      </c>
      <c r="M1275" s="110" t="s">
        <v>5482</v>
      </c>
    </row>
    <row r="1276" spans="1:13" ht="15" customHeight="1" thickBot="1">
      <c r="A1276" s="104" t="s">
        <v>5807</v>
      </c>
      <c r="B1276" s="105">
        <v>16985</v>
      </c>
      <c r="C1276" s="105" t="s">
        <v>5805</v>
      </c>
      <c r="D1276" s="105">
        <v>5</v>
      </c>
      <c r="E1276" s="106"/>
      <c r="F1276" s="106"/>
      <c r="G1276" s="106"/>
      <c r="H1276" s="107"/>
      <c r="I1276" s="108" t="s">
        <v>5220</v>
      </c>
      <c r="J1276" s="108" t="s">
        <v>5530</v>
      </c>
      <c r="K1276" s="109" t="s">
        <v>298</v>
      </c>
      <c r="L1276" s="110">
        <v>325738.0625</v>
      </c>
      <c r="M1276" s="110" t="s">
        <v>5806</v>
      </c>
    </row>
    <row r="1277" spans="1:13" ht="15" customHeight="1" thickBot="1">
      <c r="A1277" s="104" t="s">
        <v>5809</v>
      </c>
      <c r="B1277" s="105">
        <v>16986</v>
      </c>
      <c r="C1277" s="105" t="s">
        <v>5808</v>
      </c>
      <c r="D1277" s="105">
        <v>1</v>
      </c>
      <c r="E1277" s="106"/>
      <c r="F1277" s="106"/>
      <c r="G1277" s="106"/>
      <c r="H1277" s="107"/>
      <c r="I1277" s="108" t="s">
        <v>4246</v>
      </c>
      <c r="J1277" s="108" t="s">
        <v>4239</v>
      </c>
      <c r="K1277" s="109" t="s">
        <v>75</v>
      </c>
      <c r="L1277" s="110">
        <v>0</v>
      </c>
      <c r="M1277" s="110" t="s">
        <v>5482</v>
      </c>
    </row>
    <row r="1278" spans="1:13" ht="15" customHeight="1" thickBot="1">
      <c r="A1278" s="104" t="s">
        <v>5809</v>
      </c>
      <c r="B1278" s="105">
        <v>16987</v>
      </c>
      <c r="C1278" s="105" t="s">
        <v>5810</v>
      </c>
      <c r="D1278" s="105">
        <v>1</v>
      </c>
      <c r="E1278" s="106"/>
      <c r="F1278" s="106"/>
      <c r="G1278" s="106"/>
      <c r="H1278" s="107"/>
      <c r="I1278" s="108" t="s">
        <v>5566</v>
      </c>
      <c r="J1278" s="108" t="s">
        <v>4414</v>
      </c>
      <c r="K1278" s="109" t="s">
        <v>4979</v>
      </c>
      <c r="L1278" s="110">
        <v>0</v>
      </c>
      <c r="M1278" s="110" t="s">
        <v>5811</v>
      </c>
    </row>
    <row r="1279" spans="1:13" ht="15" customHeight="1" thickBot="1">
      <c r="A1279" s="104">
        <v>45331</v>
      </c>
      <c r="B1279" s="105">
        <v>16988</v>
      </c>
      <c r="C1279" s="105" t="s">
        <v>5812</v>
      </c>
      <c r="D1279" s="105">
        <v>1</v>
      </c>
      <c r="E1279" s="106"/>
      <c r="F1279" s="106"/>
      <c r="G1279" s="106"/>
      <c r="H1279" s="107"/>
      <c r="I1279" s="108" t="s">
        <v>5813</v>
      </c>
      <c r="J1279" s="108" t="s">
        <v>5389</v>
      </c>
      <c r="K1279" s="109" t="s">
        <v>3661</v>
      </c>
      <c r="L1279" s="110">
        <v>87547.1328125</v>
      </c>
      <c r="M1279" s="110"/>
    </row>
    <row r="1280" spans="1:13" ht="15" customHeight="1" thickBot="1">
      <c r="A1280" s="104">
        <v>45331</v>
      </c>
      <c r="B1280" s="105">
        <v>16988</v>
      </c>
      <c r="C1280" s="105" t="s">
        <v>5812</v>
      </c>
      <c r="D1280" s="105">
        <v>1</v>
      </c>
      <c r="E1280" s="106"/>
      <c r="F1280" s="106"/>
      <c r="G1280" s="106"/>
      <c r="H1280" s="107"/>
      <c r="I1280" s="108" t="s">
        <v>5813</v>
      </c>
      <c r="J1280" s="108" t="s">
        <v>5389</v>
      </c>
      <c r="K1280" s="109" t="s">
        <v>3661</v>
      </c>
      <c r="L1280" s="110">
        <v>87547.1328125</v>
      </c>
      <c r="M1280" s="110"/>
    </row>
    <row r="1281" spans="1:13" ht="15" customHeight="1" thickBot="1">
      <c r="A1281" s="104">
        <v>45331</v>
      </c>
      <c r="B1281" s="105">
        <v>16988</v>
      </c>
      <c r="C1281" s="105" t="s">
        <v>5812</v>
      </c>
      <c r="D1281" s="105">
        <v>1</v>
      </c>
      <c r="E1281" s="106"/>
      <c r="F1281" s="106"/>
      <c r="G1281" s="106"/>
      <c r="H1281" s="107"/>
      <c r="I1281" s="108" t="s">
        <v>5813</v>
      </c>
      <c r="J1281" s="108" t="s">
        <v>5389</v>
      </c>
      <c r="K1281" s="109" t="s">
        <v>3661</v>
      </c>
      <c r="L1281" s="110">
        <v>87547.1328125</v>
      </c>
      <c r="M1281" s="110"/>
    </row>
    <row r="1282" spans="1:13" ht="15" customHeight="1" thickBot="1">
      <c r="A1282" s="104">
        <v>45331</v>
      </c>
      <c r="B1282" s="105">
        <v>16988</v>
      </c>
      <c r="C1282" s="105" t="s">
        <v>5812</v>
      </c>
      <c r="D1282" s="105">
        <v>1</v>
      </c>
      <c r="E1282" s="106"/>
      <c r="F1282" s="106"/>
      <c r="G1282" s="106"/>
      <c r="H1282" s="107"/>
      <c r="I1282" s="108" t="s">
        <v>5813</v>
      </c>
      <c r="J1282" s="108" t="s">
        <v>5389</v>
      </c>
      <c r="K1282" s="109" t="s">
        <v>3661</v>
      </c>
      <c r="L1282" s="110">
        <v>87547.1328125</v>
      </c>
      <c r="M1282" s="110"/>
    </row>
    <row r="1283" spans="1:13" ht="15" customHeight="1" thickBot="1">
      <c r="A1283" s="104">
        <v>45331</v>
      </c>
      <c r="B1283" s="105">
        <v>16989</v>
      </c>
      <c r="C1283" s="105" t="s">
        <v>5814</v>
      </c>
      <c r="D1283" s="105">
        <v>1</v>
      </c>
      <c r="E1283" s="106"/>
      <c r="F1283" s="106"/>
      <c r="G1283" s="106"/>
      <c r="H1283" s="107"/>
      <c r="I1283" s="108" t="s">
        <v>5521</v>
      </c>
      <c r="J1283" s="108" t="s">
        <v>4301</v>
      </c>
      <c r="K1283" s="109" t="s">
        <v>3661</v>
      </c>
      <c r="L1283" s="110">
        <v>2659.871337890625</v>
      </c>
      <c r="M1283" s="110"/>
    </row>
    <row r="1284" spans="1:13" ht="15" customHeight="1" thickBot="1">
      <c r="A1284" s="104">
        <v>45331</v>
      </c>
      <c r="B1284" s="105">
        <v>16990</v>
      </c>
      <c r="C1284" s="105" t="s">
        <v>5815</v>
      </c>
      <c r="D1284" s="105">
        <v>1</v>
      </c>
      <c r="E1284" s="106"/>
      <c r="F1284" s="106"/>
      <c r="G1284" s="106"/>
      <c r="H1284" s="107"/>
      <c r="I1284" s="108" t="s">
        <v>4264</v>
      </c>
      <c r="J1284" s="108" t="s">
        <v>4301</v>
      </c>
      <c r="K1284" s="109" t="s">
        <v>1253</v>
      </c>
      <c r="L1284" s="110">
        <v>822800</v>
      </c>
      <c r="M1284" s="110"/>
    </row>
    <row r="1285" spans="1:13" ht="15" customHeight="1" thickBot="1">
      <c r="A1285" s="104">
        <v>45360</v>
      </c>
      <c r="B1285" s="105">
        <v>16991</v>
      </c>
      <c r="C1285" s="105" t="s">
        <v>5816</v>
      </c>
      <c r="D1285" s="105">
        <v>10000</v>
      </c>
      <c r="E1285" s="106"/>
      <c r="F1285" s="106"/>
      <c r="G1285" s="106"/>
      <c r="H1285" s="107"/>
      <c r="I1285" s="108" t="s">
        <v>4264</v>
      </c>
      <c r="J1285" s="108" t="s">
        <v>4414</v>
      </c>
      <c r="K1285" s="109" t="s">
        <v>4127</v>
      </c>
      <c r="L1285" s="110">
        <v>0</v>
      </c>
      <c r="M1285" s="110" t="s">
        <v>5817</v>
      </c>
    </row>
    <row r="1286" spans="1:13" ht="15" customHeight="1">
      <c r="A1286" s="95">
        <v>45421</v>
      </c>
      <c r="B1286" s="96">
        <v>16992</v>
      </c>
      <c r="C1286" s="96" t="s">
        <v>5818</v>
      </c>
      <c r="D1286" s="96">
        <v>1</v>
      </c>
      <c r="E1286" s="97"/>
      <c r="F1286" s="97"/>
      <c r="G1286" s="97"/>
      <c r="H1286" s="98"/>
      <c r="I1286" s="99" t="s">
        <v>5821</v>
      </c>
      <c r="J1286" s="99" t="s">
        <v>4239</v>
      </c>
      <c r="K1286" s="100" t="s">
        <v>2975</v>
      </c>
      <c r="L1286" s="101">
        <v>0</v>
      </c>
      <c r="M1286" s="101" t="s">
        <v>5482</v>
      </c>
    </row>
    <row r="1287" spans="1:13" ht="15" customHeight="1">
      <c r="A1287" s="112"/>
      <c r="B1287" s="113"/>
      <c r="C1287" s="113" t="s">
        <v>5819</v>
      </c>
      <c r="D1287" s="113">
        <v>1</v>
      </c>
      <c r="E1287" s="114"/>
      <c r="F1287" s="114"/>
      <c r="G1287" s="114"/>
      <c r="H1287" s="115"/>
      <c r="I1287" s="116"/>
      <c r="J1287" s="116"/>
      <c r="K1287" s="117"/>
      <c r="L1287" s="118"/>
      <c r="M1287" s="118"/>
    </row>
    <row r="1288" spans="1:13" ht="15" customHeight="1" thickBot="1">
      <c r="A1288" s="80"/>
      <c r="B1288" s="81"/>
      <c r="C1288" s="81" t="s">
        <v>5820</v>
      </c>
      <c r="D1288" s="81">
        <v>1</v>
      </c>
      <c r="E1288" s="82"/>
      <c r="F1288" s="82"/>
      <c r="G1288" s="82"/>
      <c r="H1288" s="83"/>
      <c r="I1288" s="84"/>
      <c r="J1288" s="84"/>
      <c r="K1288" s="102"/>
      <c r="L1288" s="103"/>
      <c r="M1288" s="103"/>
    </row>
    <row r="1289" spans="1:13" ht="15" customHeight="1" thickBot="1">
      <c r="A1289" s="104">
        <v>45452</v>
      </c>
      <c r="B1289" s="105">
        <v>16993</v>
      </c>
      <c r="C1289" s="105" t="s">
        <v>5822</v>
      </c>
      <c r="D1289" s="105">
        <v>1</v>
      </c>
      <c r="E1289" s="106"/>
      <c r="F1289" s="106"/>
      <c r="G1289" s="106"/>
      <c r="H1289" s="107"/>
      <c r="I1289" s="108" t="s">
        <v>4246</v>
      </c>
      <c r="J1289" s="108" t="s">
        <v>4239</v>
      </c>
      <c r="K1289" s="109" t="s">
        <v>4194</v>
      </c>
      <c r="L1289" s="110">
        <v>617.0999755859375</v>
      </c>
      <c r="M1289" s="110" t="s">
        <v>5823</v>
      </c>
    </row>
    <row r="1290" spans="1:13" ht="15" customHeight="1" thickBot="1">
      <c r="A1290" s="104">
        <v>45605</v>
      </c>
      <c r="B1290" s="105">
        <v>16994</v>
      </c>
      <c r="C1290" s="105" t="s">
        <v>5825</v>
      </c>
      <c r="D1290" s="105">
        <v>10000</v>
      </c>
      <c r="E1290" s="106"/>
      <c r="F1290" s="106"/>
      <c r="G1290" s="106"/>
      <c r="H1290" s="107"/>
      <c r="I1290" s="108" t="s">
        <v>4264</v>
      </c>
      <c r="J1290" s="108" t="s">
        <v>4414</v>
      </c>
      <c r="K1290" s="109" t="s">
        <v>4127</v>
      </c>
      <c r="L1290" s="110">
        <v>0</v>
      </c>
      <c r="M1290" s="110" t="s">
        <v>5826</v>
      </c>
    </row>
    <row r="1291" spans="1:13" ht="15" customHeight="1" thickBot="1">
      <c r="A1291" s="104">
        <v>45605</v>
      </c>
      <c r="B1291" s="105">
        <v>16995</v>
      </c>
      <c r="C1291" s="105" t="s">
        <v>5824</v>
      </c>
      <c r="D1291" s="105">
        <v>10000</v>
      </c>
      <c r="E1291" s="106"/>
      <c r="F1291" s="106"/>
      <c r="G1291" s="106"/>
      <c r="H1291" s="107"/>
      <c r="I1291" s="108" t="s">
        <v>4264</v>
      </c>
      <c r="J1291" s="108" t="s">
        <v>4414</v>
      </c>
      <c r="K1291" s="109" t="s">
        <v>4127</v>
      </c>
      <c r="L1291" s="110">
        <v>0</v>
      </c>
      <c r="M1291" s="110" t="s">
        <v>5827</v>
      </c>
    </row>
    <row r="1292" spans="1:13" ht="15" customHeight="1" thickBot="1">
      <c r="A1292" s="104" t="s">
        <v>5829</v>
      </c>
      <c r="B1292" s="105">
        <v>16996</v>
      </c>
      <c r="C1292" s="105" t="s">
        <v>5828</v>
      </c>
      <c r="D1292" s="105">
        <v>17</v>
      </c>
      <c r="E1292" s="106"/>
      <c r="F1292" s="106"/>
      <c r="G1292" s="106"/>
      <c r="H1292" s="107"/>
      <c r="I1292" s="108" t="s">
        <v>4778</v>
      </c>
      <c r="J1292" s="108" t="s">
        <v>4227</v>
      </c>
      <c r="K1292" s="109" t="s">
        <v>3725</v>
      </c>
      <c r="L1292" s="110">
        <v>3584579.5</v>
      </c>
      <c r="M1292" s="110"/>
    </row>
    <row r="1293" spans="1:13" ht="15" customHeight="1">
      <c r="A1293" s="95" t="s">
        <v>5829</v>
      </c>
      <c r="B1293" s="96">
        <v>16997</v>
      </c>
      <c r="C1293" s="96" t="s">
        <v>5830</v>
      </c>
      <c r="D1293" s="96">
        <v>20</v>
      </c>
      <c r="E1293" s="97"/>
      <c r="F1293" s="97"/>
      <c r="G1293" s="97"/>
      <c r="H1293" s="98"/>
      <c r="I1293" s="99" t="s">
        <v>5833</v>
      </c>
      <c r="J1293" s="99" t="s">
        <v>4234</v>
      </c>
      <c r="K1293" s="100" t="s">
        <v>3725</v>
      </c>
      <c r="L1293" s="101">
        <v>1206612</v>
      </c>
      <c r="M1293" s="101"/>
    </row>
    <row r="1294" spans="1:13" ht="15" customHeight="1">
      <c r="A1294" s="112"/>
      <c r="B1294" s="113"/>
      <c r="C1294" s="113" t="s">
        <v>5831</v>
      </c>
      <c r="D1294" s="113">
        <v>10</v>
      </c>
      <c r="E1294" s="114"/>
      <c r="F1294" s="114"/>
      <c r="G1294" s="114"/>
      <c r="H1294" s="115"/>
      <c r="I1294" s="116"/>
      <c r="J1294" s="116"/>
      <c r="K1294" s="117"/>
      <c r="L1294" s="118"/>
      <c r="M1294" s="118"/>
    </row>
    <row r="1295" spans="1:13" ht="15" customHeight="1" thickBot="1">
      <c r="A1295" s="80"/>
      <c r="B1295" s="81"/>
      <c r="C1295" s="81" t="s">
        <v>5832</v>
      </c>
      <c r="D1295" s="81">
        <v>34</v>
      </c>
      <c r="E1295" s="82"/>
      <c r="F1295" s="82"/>
      <c r="G1295" s="82"/>
      <c r="H1295" s="83"/>
      <c r="I1295" s="84"/>
      <c r="J1295" s="84"/>
      <c r="K1295" s="102"/>
      <c r="L1295" s="103"/>
      <c r="M1295" s="103"/>
    </row>
    <row r="1296" spans="1:13" ht="15" customHeight="1" thickBot="1">
      <c r="A1296" s="104" t="s">
        <v>5835</v>
      </c>
      <c r="B1296" s="105">
        <v>16998</v>
      </c>
      <c r="C1296" s="105" t="s">
        <v>5834</v>
      </c>
      <c r="D1296" s="105">
        <v>1</v>
      </c>
      <c r="E1296" s="106"/>
      <c r="F1296" s="106"/>
      <c r="G1296" s="106"/>
      <c r="H1296" s="107"/>
      <c r="I1296" s="108" t="s">
        <v>4696</v>
      </c>
      <c r="J1296" s="108" t="s">
        <v>4309</v>
      </c>
      <c r="K1296" s="109" t="s">
        <v>75</v>
      </c>
      <c r="L1296" s="110">
        <v>0</v>
      </c>
      <c r="M1296" s="110" t="s">
        <v>5795</v>
      </c>
    </row>
    <row r="1297" spans="1:13" ht="15" customHeight="1">
      <c r="A1297" s="95" t="s">
        <v>5835</v>
      </c>
      <c r="B1297" s="96">
        <v>16999</v>
      </c>
      <c r="C1297" s="96" t="s">
        <v>5836</v>
      </c>
      <c r="D1297" s="96">
        <v>1</v>
      </c>
      <c r="E1297" s="97"/>
      <c r="F1297" s="97"/>
      <c r="G1297" s="97"/>
      <c r="H1297" s="98"/>
      <c r="I1297" s="99" t="s">
        <v>4246</v>
      </c>
      <c r="J1297" s="99" t="s">
        <v>4239</v>
      </c>
      <c r="K1297" s="100" t="s">
        <v>1753</v>
      </c>
      <c r="L1297" s="101">
        <v>567.5999755859375</v>
      </c>
      <c r="M1297" s="101" t="s">
        <v>5482</v>
      </c>
    </row>
    <row r="1298" spans="1:13" ht="15" customHeight="1">
      <c r="A1298" s="112"/>
      <c r="B1298" s="113"/>
      <c r="C1298" s="113" t="s">
        <v>5837</v>
      </c>
      <c r="D1298" s="113">
        <v>1</v>
      </c>
      <c r="E1298" s="114"/>
      <c r="F1298" s="114"/>
      <c r="G1298" s="114"/>
      <c r="H1298" s="115"/>
      <c r="I1298" s="116"/>
      <c r="J1298" s="116"/>
      <c r="K1298" s="117"/>
      <c r="L1298" s="118"/>
      <c r="M1298" s="118"/>
    </row>
    <row r="1299" spans="1:13" ht="15" customHeight="1" thickBot="1">
      <c r="A1299" s="80"/>
      <c r="B1299" s="81"/>
      <c r="C1299" s="81" t="s">
        <v>4713</v>
      </c>
      <c r="D1299" s="81">
        <v>1</v>
      </c>
      <c r="E1299" s="82"/>
      <c r="F1299" s="82"/>
      <c r="G1299" s="82"/>
      <c r="H1299" s="83"/>
      <c r="I1299" s="84"/>
      <c r="J1299" s="84"/>
      <c r="K1299" s="102"/>
      <c r="L1299" s="103"/>
      <c r="M1299" s="103"/>
    </row>
    <row r="1300" spans="1:13" ht="15" customHeight="1">
      <c r="A1300" s="95" t="s">
        <v>5849</v>
      </c>
      <c r="B1300" s="96">
        <v>17000</v>
      </c>
      <c r="C1300" s="96" t="s">
        <v>5843</v>
      </c>
      <c r="D1300" s="96">
        <v>1014</v>
      </c>
      <c r="E1300" s="97"/>
      <c r="F1300" s="97"/>
      <c r="G1300" s="97"/>
      <c r="H1300" s="98"/>
      <c r="I1300" s="99" t="s">
        <v>5847</v>
      </c>
      <c r="J1300" s="99" t="s">
        <v>4234</v>
      </c>
      <c r="K1300" s="100" t="s">
        <v>5838</v>
      </c>
      <c r="L1300" s="101">
        <v>26348692</v>
      </c>
      <c r="M1300" s="101" t="s">
        <v>5648</v>
      </c>
    </row>
    <row r="1301" spans="1:13" ht="15" customHeight="1">
      <c r="A1301" s="85"/>
      <c r="B1301" s="86"/>
      <c r="C1301" s="86" t="s">
        <v>5842</v>
      </c>
      <c r="D1301" s="86">
        <v>923</v>
      </c>
      <c r="E1301" s="87"/>
      <c r="F1301" s="87"/>
      <c r="G1301" s="87"/>
      <c r="H1301" s="88"/>
      <c r="I1301" s="89"/>
      <c r="J1301" s="89"/>
      <c r="K1301" s="90"/>
      <c r="L1301" s="91"/>
      <c r="M1301" s="91"/>
    </row>
    <row r="1302" spans="1:13" ht="15" customHeight="1">
      <c r="A1302" s="73"/>
      <c r="B1302" s="2"/>
      <c r="C1302" s="2" t="s">
        <v>5844</v>
      </c>
      <c r="D1302" s="2">
        <v>4057</v>
      </c>
      <c r="E1302" s="4"/>
      <c r="F1302" s="4"/>
      <c r="G1302" s="4"/>
      <c r="H1302" s="61"/>
      <c r="I1302" s="62"/>
      <c r="J1302" s="62"/>
      <c r="K1302" s="78"/>
      <c r="L1302" s="57"/>
      <c r="M1302" s="57"/>
    </row>
    <row r="1303" spans="1:13" ht="15" customHeight="1">
      <c r="A1303" s="73"/>
      <c r="B1303" s="2"/>
      <c r="C1303" s="2" t="s">
        <v>5845</v>
      </c>
      <c r="D1303" s="2">
        <v>904</v>
      </c>
      <c r="E1303" s="4"/>
      <c r="F1303" s="4"/>
      <c r="G1303" s="4"/>
      <c r="H1303" s="61"/>
      <c r="I1303" s="62"/>
      <c r="J1303" s="62"/>
      <c r="K1303" s="78"/>
      <c r="L1303" s="57"/>
      <c r="M1303" s="57"/>
    </row>
    <row r="1304" spans="1:13" ht="15" customHeight="1">
      <c r="A1304" s="73"/>
      <c r="B1304" s="2"/>
      <c r="C1304" s="2" t="s">
        <v>5846</v>
      </c>
      <c r="D1304" s="2">
        <v>277</v>
      </c>
      <c r="E1304" s="4"/>
      <c r="F1304" s="4"/>
      <c r="G1304" s="4"/>
      <c r="H1304" s="61"/>
      <c r="I1304" s="62"/>
      <c r="J1304" s="62"/>
      <c r="K1304" s="78"/>
      <c r="L1304" s="57"/>
      <c r="M1304" s="57"/>
    </row>
    <row r="1305" spans="1:13" ht="15" customHeight="1">
      <c r="A1305" s="80"/>
      <c r="B1305" s="81"/>
      <c r="C1305" s="81" t="s">
        <v>5848</v>
      </c>
      <c r="D1305" s="81">
        <v>1</v>
      </c>
      <c r="E1305" s="82"/>
      <c r="F1305" s="82"/>
      <c r="G1305" s="82"/>
      <c r="H1305" s="83"/>
      <c r="I1305" s="84"/>
      <c r="J1305" s="84"/>
      <c r="K1305" s="102"/>
      <c r="L1305" s="103"/>
      <c r="M1305" s="103"/>
    </row>
    <row r="1306" spans="1:13" ht="15" customHeight="1" thickBot="1">
      <c r="A1306" s="80"/>
      <c r="B1306" s="81"/>
      <c r="C1306" s="81" t="s">
        <v>5782</v>
      </c>
      <c r="D1306" s="81">
        <v>1</v>
      </c>
      <c r="E1306" s="82"/>
      <c r="F1306" s="82"/>
      <c r="G1306" s="82"/>
      <c r="H1306" s="83"/>
      <c r="I1306" s="84"/>
      <c r="J1306" s="84"/>
      <c r="K1306" s="102"/>
      <c r="L1306" s="103"/>
      <c r="M1306" s="103"/>
    </row>
    <row r="1307" spans="1:13" ht="15" customHeight="1" thickBot="1">
      <c r="A1307" s="104" t="s">
        <v>5856</v>
      </c>
      <c r="B1307" s="105">
        <v>17001</v>
      </c>
      <c r="C1307" s="105" t="s">
        <v>5854</v>
      </c>
      <c r="D1307" s="105">
        <v>3</v>
      </c>
      <c r="E1307" s="106"/>
      <c r="F1307" s="106"/>
      <c r="G1307" s="106"/>
      <c r="H1307" s="107"/>
      <c r="I1307" s="108" t="s">
        <v>5855</v>
      </c>
      <c r="J1307" s="108" t="s">
        <v>4239</v>
      </c>
      <c r="K1307" s="109" t="s">
        <v>3663</v>
      </c>
      <c r="L1307" s="110">
        <v>103064.5546875</v>
      </c>
      <c r="M1307" s="110" t="s">
        <v>5695</v>
      </c>
    </row>
    <row r="1308" spans="1:13" ht="15" customHeight="1" thickBot="1">
      <c r="A1308" s="104" t="s">
        <v>5856</v>
      </c>
      <c r="B1308" s="105">
        <v>17002</v>
      </c>
      <c r="C1308" s="105" t="s">
        <v>5857</v>
      </c>
      <c r="D1308" s="105">
        <v>1585.6700439453125</v>
      </c>
      <c r="E1308" s="106"/>
      <c r="F1308" s="106"/>
      <c r="G1308" s="106"/>
      <c r="H1308" s="107"/>
      <c r="I1308" s="108" t="s">
        <v>5858</v>
      </c>
      <c r="J1308" s="108" t="s">
        <v>4227</v>
      </c>
      <c r="K1308" s="109" t="s">
        <v>5850</v>
      </c>
      <c r="L1308" s="110">
        <v>4604785.5</v>
      </c>
      <c r="M1308" s="110"/>
    </row>
    <row r="1309" spans="1:13" ht="15" customHeight="1">
      <c r="A1309" s="95" t="s">
        <v>5856</v>
      </c>
      <c r="B1309" s="96">
        <v>17003</v>
      </c>
      <c r="C1309" s="96" t="s">
        <v>5859</v>
      </c>
      <c r="D1309" s="96">
        <v>1</v>
      </c>
      <c r="E1309" s="97"/>
      <c r="F1309" s="97"/>
      <c r="G1309" s="97"/>
      <c r="H1309" s="98"/>
      <c r="I1309" s="99" t="s">
        <v>4264</v>
      </c>
      <c r="J1309" s="99" t="s">
        <v>4414</v>
      </c>
      <c r="K1309" s="100" t="s">
        <v>4181</v>
      </c>
      <c r="L1309" s="101">
        <v>3064331</v>
      </c>
      <c r="M1309" s="101" t="s">
        <v>5864</v>
      </c>
    </row>
    <row r="1310" spans="1:13" ht="15" customHeight="1">
      <c r="A1310" s="85"/>
      <c r="B1310" s="86"/>
      <c r="C1310" s="86" t="s">
        <v>5860</v>
      </c>
      <c r="D1310" s="86">
        <v>1</v>
      </c>
      <c r="E1310" s="87"/>
      <c r="F1310" s="87"/>
      <c r="G1310" s="87"/>
      <c r="H1310" s="88"/>
      <c r="I1310" s="89"/>
      <c r="J1310" s="89"/>
      <c r="K1310" s="90"/>
      <c r="L1310" s="91"/>
      <c r="M1310" s="91"/>
    </row>
    <row r="1311" spans="1:13" ht="15" customHeight="1">
      <c r="A1311" s="73"/>
      <c r="B1311" s="2"/>
      <c r="C1311" s="2" t="s">
        <v>5861</v>
      </c>
      <c r="D1311" s="2">
        <v>1</v>
      </c>
      <c r="E1311" s="4"/>
      <c r="F1311" s="4"/>
      <c r="G1311" s="4"/>
      <c r="H1311" s="61"/>
      <c r="I1311" s="62"/>
      <c r="J1311" s="62"/>
      <c r="K1311" s="78"/>
      <c r="L1311" s="57"/>
      <c r="M1311" s="57"/>
    </row>
    <row r="1312" spans="1:13" ht="15" customHeight="1">
      <c r="A1312" s="80"/>
      <c r="B1312" s="81"/>
      <c r="C1312" s="81" t="s">
        <v>5862</v>
      </c>
      <c r="D1312" s="81">
        <v>6</v>
      </c>
      <c r="E1312" s="82"/>
      <c r="F1312" s="82"/>
      <c r="G1312" s="82"/>
      <c r="H1312" s="83"/>
      <c r="I1312" s="84"/>
      <c r="J1312" s="84"/>
      <c r="K1312" s="102"/>
      <c r="L1312" s="103"/>
      <c r="M1312" s="103"/>
    </row>
    <row r="1313" spans="1:13" ht="15" customHeight="1" thickBot="1">
      <c r="A1313" s="80"/>
      <c r="B1313" s="81"/>
      <c r="C1313" s="81" t="s">
        <v>5863</v>
      </c>
      <c r="D1313" s="81">
        <v>6</v>
      </c>
      <c r="E1313" s="82"/>
      <c r="F1313" s="82"/>
      <c r="G1313" s="82"/>
      <c r="H1313" s="83"/>
      <c r="I1313" s="84"/>
      <c r="J1313" s="84"/>
      <c r="K1313" s="102"/>
      <c r="L1313" s="103"/>
      <c r="M1313" s="103"/>
    </row>
    <row r="1314" spans="1:13" ht="15" customHeight="1">
      <c r="A1314" s="95" t="s">
        <v>5856</v>
      </c>
      <c r="B1314" s="96">
        <v>17004</v>
      </c>
      <c r="C1314" s="96" t="s">
        <v>5867</v>
      </c>
      <c r="D1314" s="96">
        <v>132</v>
      </c>
      <c r="E1314" s="97"/>
      <c r="F1314" s="97"/>
      <c r="G1314" s="97"/>
      <c r="H1314" s="98"/>
      <c r="I1314" s="99" t="s">
        <v>5865</v>
      </c>
      <c r="J1314" s="99" t="s">
        <v>4227</v>
      </c>
      <c r="K1314" s="100" t="s">
        <v>3659</v>
      </c>
      <c r="L1314" s="101">
        <v>6399412</v>
      </c>
      <c r="M1314" s="101" t="s">
        <v>5866</v>
      </c>
    </row>
    <row r="1315" spans="1:13" ht="15" customHeight="1">
      <c r="A1315" s="112"/>
      <c r="B1315" s="113"/>
      <c r="C1315" s="113" t="s">
        <v>5868</v>
      </c>
      <c r="D1315" s="113">
        <v>4.8000001907348633</v>
      </c>
      <c r="E1315" s="114"/>
      <c r="F1315" s="114"/>
      <c r="G1315" s="114"/>
      <c r="H1315" s="115"/>
      <c r="I1315" s="116"/>
      <c r="J1315" s="116"/>
      <c r="K1315" s="117"/>
      <c r="L1315" s="118"/>
      <c r="M1315" s="118"/>
    </row>
    <row r="1316" spans="1:13" ht="15" customHeight="1" thickBot="1">
      <c r="A1316" s="80"/>
      <c r="B1316" s="81"/>
      <c r="C1316" s="81" t="s">
        <v>4713</v>
      </c>
      <c r="D1316" s="81">
        <v>1</v>
      </c>
      <c r="E1316" s="82"/>
      <c r="F1316" s="82"/>
      <c r="G1316" s="82"/>
      <c r="H1316" s="83"/>
      <c r="I1316" s="84"/>
      <c r="J1316" s="84"/>
      <c r="K1316" s="102"/>
      <c r="L1316" s="103"/>
      <c r="M1316" s="103"/>
    </row>
    <row r="1317" spans="1:13" ht="15" customHeight="1" thickBot="1">
      <c r="A1317" s="104" t="s">
        <v>5874</v>
      </c>
      <c r="B1317" s="105">
        <v>17005</v>
      </c>
      <c r="C1317" s="105" t="s">
        <v>5872</v>
      </c>
      <c r="D1317" s="105">
        <v>1</v>
      </c>
      <c r="E1317" s="106"/>
      <c r="F1317" s="106"/>
      <c r="G1317" s="106"/>
      <c r="H1317" s="107"/>
      <c r="I1317" s="108" t="s">
        <v>5704</v>
      </c>
      <c r="J1317" s="108" t="s">
        <v>4234</v>
      </c>
      <c r="K1317" s="109" t="s">
        <v>5869</v>
      </c>
      <c r="L1317" s="110">
        <v>0</v>
      </c>
      <c r="M1317" s="110" t="s">
        <v>5873</v>
      </c>
    </row>
    <row r="1318" spans="1:13" ht="15" customHeight="1">
      <c r="A1318" s="95" t="s">
        <v>5874</v>
      </c>
      <c r="B1318" s="96">
        <v>17006</v>
      </c>
      <c r="C1318" s="96" t="s">
        <v>5875</v>
      </c>
      <c r="D1318" s="96">
        <v>22</v>
      </c>
      <c r="E1318" s="97"/>
      <c r="F1318" s="97"/>
      <c r="G1318" s="97"/>
      <c r="H1318" s="98"/>
      <c r="I1318" s="99" t="s">
        <v>5847</v>
      </c>
      <c r="J1318" s="99" t="s">
        <v>5530</v>
      </c>
      <c r="K1318" s="100" t="s">
        <v>3692</v>
      </c>
      <c r="L1318" s="101">
        <v>18203428</v>
      </c>
      <c r="M1318" s="101" t="s">
        <v>5883</v>
      </c>
    </row>
    <row r="1319" spans="1:13" ht="15" customHeight="1">
      <c r="A1319" s="85"/>
      <c r="B1319" s="86"/>
      <c r="C1319" s="86" t="s">
        <v>5876</v>
      </c>
      <c r="D1319" s="86">
        <v>138</v>
      </c>
      <c r="E1319" s="87"/>
      <c r="F1319" s="87"/>
      <c r="G1319" s="87"/>
      <c r="H1319" s="88"/>
      <c r="I1319" s="89"/>
      <c r="J1319" s="89"/>
      <c r="K1319" s="90"/>
      <c r="L1319" s="91"/>
      <c r="M1319" s="91"/>
    </row>
    <row r="1320" spans="1:13" ht="15" customHeight="1">
      <c r="A1320" s="73"/>
      <c r="B1320" s="2"/>
      <c r="C1320" s="2" t="s">
        <v>5877</v>
      </c>
      <c r="D1320" s="2">
        <v>106</v>
      </c>
      <c r="E1320" s="4"/>
      <c r="F1320" s="4"/>
      <c r="G1320" s="4"/>
      <c r="H1320" s="61"/>
      <c r="I1320" s="62"/>
      <c r="J1320" s="62"/>
      <c r="K1320" s="78"/>
      <c r="L1320" s="57"/>
      <c r="M1320" s="57"/>
    </row>
    <row r="1321" spans="1:13" ht="15" customHeight="1">
      <c r="A1321" s="73"/>
      <c r="B1321" s="2"/>
      <c r="C1321" s="2" t="s">
        <v>5878</v>
      </c>
      <c r="D1321" s="2">
        <v>8</v>
      </c>
      <c r="E1321" s="4"/>
      <c r="F1321" s="4"/>
      <c r="G1321" s="4"/>
      <c r="H1321" s="61"/>
      <c r="I1321" s="62"/>
      <c r="J1321" s="62"/>
      <c r="K1321" s="78"/>
      <c r="L1321" s="57"/>
      <c r="M1321" s="57"/>
    </row>
    <row r="1322" spans="1:13" ht="15" customHeight="1">
      <c r="A1322" s="73"/>
      <c r="B1322" s="2"/>
      <c r="C1322" s="2" t="s">
        <v>5879</v>
      </c>
      <c r="D1322" s="2">
        <v>3</v>
      </c>
      <c r="E1322" s="4"/>
      <c r="F1322" s="4"/>
      <c r="G1322" s="4"/>
      <c r="H1322" s="61"/>
      <c r="I1322" s="62"/>
      <c r="J1322" s="62"/>
      <c r="K1322" s="78"/>
      <c r="L1322" s="57"/>
      <c r="M1322" s="57"/>
    </row>
    <row r="1323" spans="1:13" ht="15" customHeight="1">
      <c r="A1323" s="73"/>
      <c r="B1323" s="2"/>
      <c r="C1323" s="2" t="s">
        <v>5880</v>
      </c>
      <c r="D1323" s="2">
        <v>32</v>
      </c>
      <c r="E1323" s="4"/>
      <c r="F1323" s="4"/>
      <c r="G1323" s="4"/>
      <c r="H1323" s="61"/>
      <c r="I1323" s="62"/>
      <c r="J1323" s="62"/>
      <c r="K1323" s="78"/>
      <c r="L1323" s="57"/>
      <c r="M1323" s="57"/>
    </row>
    <row r="1324" spans="1:13" ht="15" customHeight="1">
      <c r="A1324" s="80"/>
      <c r="B1324" s="81"/>
      <c r="C1324" s="81" t="s">
        <v>5881</v>
      </c>
      <c r="D1324" s="81">
        <v>7</v>
      </c>
      <c r="E1324" s="82"/>
      <c r="F1324" s="82"/>
      <c r="G1324" s="82"/>
      <c r="H1324" s="83"/>
      <c r="I1324" s="84"/>
      <c r="J1324" s="84"/>
      <c r="K1324" s="102"/>
      <c r="L1324" s="103"/>
      <c r="M1324" s="103"/>
    </row>
    <row r="1325" spans="1:13" ht="15" customHeight="1" thickBot="1">
      <c r="A1325" s="80"/>
      <c r="B1325" s="81"/>
      <c r="C1325" s="81" t="s">
        <v>5882</v>
      </c>
      <c r="D1325" s="81">
        <v>56</v>
      </c>
      <c r="E1325" s="82"/>
      <c r="F1325" s="82"/>
      <c r="G1325" s="82"/>
      <c r="H1325" s="83"/>
      <c r="I1325" s="84"/>
      <c r="J1325" s="84"/>
      <c r="K1325" s="102"/>
      <c r="L1325" s="103"/>
      <c r="M1325" s="103"/>
    </row>
    <row r="1326" spans="1:13" ht="15" customHeight="1">
      <c r="A1326" s="95" t="s">
        <v>5874</v>
      </c>
      <c r="B1326" s="96">
        <v>17007</v>
      </c>
      <c r="C1326" s="96" t="s">
        <v>5884</v>
      </c>
      <c r="D1326" s="96">
        <v>22</v>
      </c>
      <c r="E1326" s="97"/>
      <c r="F1326" s="97"/>
      <c r="G1326" s="97"/>
      <c r="H1326" s="98"/>
      <c r="I1326" s="99" t="s">
        <v>5847</v>
      </c>
      <c r="J1326" s="99" t="s">
        <v>5530</v>
      </c>
      <c r="K1326" s="100" t="s">
        <v>3692</v>
      </c>
      <c r="L1326" s="101">
        <v>18021394</v>
      </c>
      <c r="M1326" s="101" t="s">
        <v>5883</v>
      </c>
    </row>
    <row r="1327" spans="1:13" ht="15" customHeight="1">
      <c r="A1327" s="85"/>
      <c r="B1327" s="86"/>
      <c r="C1327" s="86" t="s">
        <v>5886</v>
      </c>
      <c r="D1327" s="86">
        <v>138</v>
      </c>
      <c r="E1327" s="87"/>
      <c r="F1327" s="87"/>
      <c r="G1327" s="87"/>
      <c r="H1327" s="88"/>
      <c r="I1327" s="89"/>
      <c r="J1327" s="89"/>
      <c r="K1327" s="90"/>
      <c r="L1327" s="91"/>
      <c r="M1327" s="91"/>
    </row>
    <row r="1328" spans="1:13" ht="15" customHeight="1">
      <c r="A1328" s="73"/>
      <c r="B1328" s="2"/>
      <c r="C1328" s="2" t="s">
        <v>5885</v>
      </c>
      <c r="D1328" s="2">
        <v>106</v>
      </c>
      <c r="E1328" s="4"/>
      <c r="F1328" s="4"/>
      <c r="G1328" s="4"/>
      <c r="H1328" s="61"/>
      <c r="I1328" s="62"/>
      <c r="J1328" s="62"/>
      <c r="K1328" s="78"/>
      <c r="L1328" s="57"/>
      <c r="M1328" s="57"/>
    </row>
    <row r="1329" spans="1:13" ht="15" customHeight="1">
      <c r="A1329" s="73"/>
      <c r="B1329" s="2"/>
      <c r="C1329" s="2" t="s">
        <v>5887</v>
      </c>
      <c r="D1329" s="2">
        <v>8</v>
      </c>
      <c r="E1329" s="4"/>
      <c r="F1329" s="4"/>
      <c r="G1329" s="4"/>
      <c r="H1329" s="61"/>
      <c r="I1329" s="62"/>
      <c r="J1329" s="62"/>
      <c r="K1329" s="78"/>
      <c r="L1329" s="57"/>
      <c r="M1329" s="57"/>
    </row>
    <row r="1330" spans="1:13" ht="15" customHeight="1">
      <c r="A1330" s="73"/>
      <c r="B1330" s="2"/>
      <c r="C1330" s="2" t="s">
        <v>5888</v>
      </c>
      <c r="D1330" s="2">
        <v>3</v>
      </c>
      <c r="E1330" s="4"/>
      <c r="F1330" s="4"/>
      <c r="G1330" s="4"/>
      <c r="H1330" s="61"/>
      <c r="I1330" s="62"/>
      <c r="J1330" s="62"/>
      <c r="K1330" s="78"/>
      <c r="L1330" s="57"/>
      <c r="M1330" s="57"/>
    </row>
    <row r="1331" spans="1:13" ht="15" customHeight="1">
      <c r="A1331" s="73"/>
      <c r="B1331" s="2"/>
      <c r="C1331" s="2" t="s">
        <v>5889</v>
      </c>
      <c r="D1331" s="2">
        <v>32</v>
      </c>
      <c r="E1331" s="4"/>
      <c r="F1331" s="4"/>
      <c r="G1331" s="4"/>
      <c r="H1331" s="61"/>
      <c r="I1331" s="62"/>
      <c r="J1331" s="62"/>
      <c r="K1331" s="78"/>
      <c r="L1331" s="57"/>
      <c r="M1331" s="57"/>
    </row>
    <row r="1332" spans="1:13" ht="15" customHeight="1">
      <c r="A1332" s="80"/>
      <c r="B1332" s="81"/>
      <c r="C1332" s="81" t="s">
        <v>5890</v>
      </c>
      <c r="D1332" s="81">
        <v>7</v>
      </c>
      <c r="E1332" s="82"/>
      <c r="F1332" s="82"/>
      <c r="G1332" s="82"/>
      <c r="H1332" s="83"/>
      <c r="I1332" s="84"/>
      <c r="J1332" s="84"/>
      <c r="K1332" s="102"/>
      <c r="L1332" s="103"/>
      <c r="M1332" s="103"/>
    </row>
    <row r="1333" spans="1:13" ht="15" customHeight="1" thickBot="1">
      <c r="A1333" s="80"/>
      <c r="B1333" s="81"/>
      <c r="C1333" s="81" t="s">
        <v>5891</v>
      </c>
      <c r="D1333" s="81">
        <v>56</v>
      </c>
      <c r="E1333" s="82"/>
      <c r="F1333" s="82"/>
      <c r="G1333" s="82"/>
      <c r="H1333" s="83"/>
      <c r="I1333" s="84"/>
      <c r="J1333" s="84"/>
      <c r="K1333" s="102"/>
      <c r="L1333" s="103"/>
      <c r="M1333" s="103"/>
    </row>
    <row r="1334" spans="1:13" ht="15" customHeight="1" thickBot="1">
      <c r="A1334" s="104" t="s">
        <v>5893</v>
      </c>
      <c r="B1334" s="105">
        <v>17008</v>
      </c>
      <c r="C1334" s="105" t="s">
        <v>4382</v>
      </c>
      <c r="D1334" s="105">
        <v>2741.760009765625</v>
      </c>
      <c r="E1334" s="106"/>
      <c r="F1334" s="106"/>
      <c r="G1334" s="106"/>
      <c r="H1334" s="107"/>
      <c r="I1334" s="108" t="s">
        <v>5892</v>
      </c>
      <c r="J1334" s="108" t="s">
        <v>4227</v>
      </c>
      <c r="K1334" s="109" t="s">
        <v>3971</v>
      </c>
      <c r="L1334" s="110">
        <v>11846597</v>
      </c>
      <c r="M1334" s="110"/>
    </row>
    <row r="1335" spans="1:13" ht="15" customHeight="1" thickBot="1">
      <c r="A1335" s="104" t="s">
        <v>5893</v>
      </c>
      <c r="B1335" s="105">
        <v>17009</v>
      </c>
      <c r="C1335" s="105" t="s">
        <v>5895</v>
      </c>
      <c r="D1335" s="105">
        <v>4000</v>
      </c>
      <c r="E1335" s="106"/>
      <c r="F1335" s="106"/>
      <c r="G1335" s="106"/>
      <c r="H1335" s="107"/>
      <c r="I1335" s="108" t="s">
        <v>4264</v>
      </c>
      <c r="J1335" s="108" t="s">
        <v>5551</v>
      </c>
      <c r="K1335" s="109" t="s">
        <v>3825</v>
      </c>
      <c r="L1335" s="110">
        <v>0</v>
      </c>
      <c r="M1335" s="110" t="s">
        <v>5894</v>
      </c>
    </row>
    <row r="1336" spans="1:13" ht="15" customHeight="1" thickBot="1">
      <c r="A1336" s="104" t="s">
        <v>5893</v>
      </c>
      <c r="B1336" s="105">
        <v>17010</v>
      </c>
      <c r="C1336" s="105" t="s">
        <v>5895</v>
      </c>
      <c r="D1336" s="105">
        <v>4000</v>
      </c>
      <c r="E1336" s="106"/>
      <c r="F1336" s="106"/>
      <c r="G1336" s="106"/>
      <c r="H1336" s="107"/>
      <c r="I1336" s="108" t="s">
        <v>4264</v>
      </c>
      <c r="J1336" s="108" t="s">
        <v>5551</v>
      </c>
      <c r="K1336" s="109" t="s">
        <v>3647</v>
      </c>
      <c r="L1336" s="110">
        <v>0</v>
      </c>
      <c r="M1336" s="110" t="s">
        <v>5894</v>
      </c>
    </row>
    <row r="1337" spans="1:13" ht="15" customHeight="1">
      <c r="A1337" s="104" t="s">
        <v>5899</v>
      </c>
      <c r="B1337" s="105">
        <v>17011</v>
      </c>
      <c r="C1337" s="105" t="s">
        <v>5897</v>
      </c>
      <c r="D1337" s="105">
        <v>2</v>
      </c>
      <c r="E1337" s="106"/>
      <c r="F1337" s="106"/>
      <c r="G1337" s="106"/>
      <c r="H1337" s="107"/>
      <c r="I1337" s="108" t="s">
        <v>5896</v>
      </c>
      <c r="J1337" s="108" t="s">
        <v>5551</v>
      </c>
      <c r="K1337" s="109" t="s">
        <v>655</v>
      </c>
      <c r="L1337" s="110">
        <v>0</v>
      </c>
      <c r="M1337" s="110" t="s">
        <v>5410</v>
      </c>
    </row>
    <row r="1338" spans="1:13" ht="15" customHeight="1" thickBot="1">
      <c r="A1338" s="80"/>
      <c r="B1338" s="81"/>
      <c r="C1338" s="81" t="s">
        <v>5898</v>
      </c>
      <c r="D1338" s="81">
        <v>6</v>
      </c>
      <c r="E1338" s="82"/>
      <c r="F1338" s="82"/>
      <c r="G1338" s="82"/>
      <c r="H1338" s="83"/>
      <c r="I1338" s="84"/>
      <c r="J1338" s="84"/>
      <c r="K1338" s="102"/>
      <c r="L1338" s="103"/>
      <c r="M1338" s="103"/>
    </row>
    <row r="1339" spans="1:13" ht="15" customHeight="1">
      <c r="A1339" s="104" t="s">
        <v>5899</v>
      </c>
      <c r="B1339" s="105">
        <v>17012</v>
      </c>
      <c r="C1339" s="105" t="s">
        <v>5901</v>
      </c>
      <c r="D1339" s="105">
        <v>1</v>
      </c>
      <c r="E1339" s="106"/>
      <c r="F1339" s="106"/>
      <c r="G1339" s="106"/>
      <c r="H1339" s="107"/>
      <c r="I1339" s="108" t="s">
        <v>5900</v>
      </c>
      <c r="J1339" s="108" t="s">
        <v>4239</v>
      </c>
      <c r="K1339" s="109" t="s">
        <v>3063</v>
      </c>
      <c r="L1339" s="110">
        <v>4900500</v>
      </c>
      <c r="M1339" s="110" t="s">
        <v>5902</v>
      </c>
    </row>
    <row r="1340" spans="1:13" ht="15" customHeight="1" thickBot="1">
      <c r="A1340" s="80"/>
      <c r="B1340" s="81"/>
      <c r="C1340" s="81" t="s">
        <v>5901</v>
      </c>
      <c r="D1340" s="81">
        <v>1</v>
      </c>
      <c r="E1340" s="82"/>
      <c r="F1340" s="82"/>
      <c r="G1340" s="82"/>
      <c r="H1340" s="83"/>
      <c r="I1340" s="84"/>
      <c r="J1340" s="84"/>
      <c r="K1340" s="102"/>
      <c r="L1340" s="103"/>
      <c r="M1340" s="103"/>
    </row>
    <row r="1341" spans="1:13" ht="15" customHeight="1">
      <c r="A1341" s="104" t="s">
        <v>5899</v>
      </c>
      <c r="B1341" s="105">
        <v>17013</v>
      </c>
      <c r="C1341" s="105" t="s">
        <v>5697</v>
      </c>
      <c r="D1341" s="105">
        <v>40.5</v>
      </c>
      <c r="E1341" s="106"/>
      <c r="F1341" s="106"/>
      <c r="G1341" s="106"/>
      <c r="H1341" s="107"/>
      <c r="I1341" s="108" t="s">
        <v>5904</v>
      </c>
      <c r="J1341" s="108" t="s">
        <v>4227</v>
      </c>
      <c r="K1341" s="109" t="s">
        <v>5643</v>
      </c>
      <c r="L1341" s="110">
        <v>19001292</v>
      </c>
      <c r="M1341" s="110" t="s">
        <v>5905</v>
      </c>
    </row>
    <row r="1342" spans="1:13" ht="15" customHeight="1" thickBot="1">
      <c r="A1342" s="80"/>
      <c r="B1342" s="81"/>
      <c r="C1342" s="81" t="s">
        <v>5903</v>
      </c>
      <c r="D1342" s="81">
        <v>73</v>
      </c>
      <c r="E1342" s="82"/>
      <c r="F1342" s="82"/>
      <c r="G1342" s="82"/>
      <c r="H1342" s="83"/>
      <c r="I1342" s="84"/>
      <c r="J1342" s="84"/>
      <c r="K1342" s="102"/>
      <c r="L1342" s="103"/>
      <c r="M1342" s="103"/>
    </row>
    <row r="1343" spans="1:13" ht="15" customHeight="1" thickBot="1">
      <c r="A1343" s="104" t="s">
        <v>5906</v>
      </c>
      <c r="B1343" s="105">
        <v>17014</v>
      </c>
      <c r="C1343" s="105" t="s">
        <v>5824</v>
      </c>
      <c r="D1343" s="105">
        <v>10000</v>
      </c>
      <c r="E1343" s="106"/>
      <c r="F1343" s="106"/>
      <c r="G1343" s="106"/>
      <c r="H1343" s="107"/>
      <c r="I1343" s="108" t="s">
        <v>4264</v>
      </c>
      <c r="J1343" s="108" t="s">
        <v>4414</v>
      </c>
      <c r="K1343" s="109" t="s">
        <v>4127</v>
      </c>
      <c r="L1343" s="110">
        <v>10500000</v>
      </c>
      <c r="M1343" s="110" t="s">
        <v>5516</v>
      </c>
    </row>
    <row r="1344" spans="1:13" ht="15" customHeight="1" thickBot="1">
      <c r="A1344" s="104" t="s">
        <v>5906</v>
      </c>
      <c r="B1344" s="105">
        <v>17015</v>
      </c>
      <c r="C1344" s="105" t="s">
        <v>5909</v>
      </c>
      <c r="D1344" s="105">
        <v>1</v>
      </c>
      <c r="E1344" s="106"/>
      <c r="F1344" s="106"/>
      <c r="G1344" s="106"/>
      <c r="H1344" s="107"/>
      <c r="I1344" s="108" t="s">
        <v>5910</v>
      </c>
      <c r="J1344" s="108" t="s">
        <v>5551</v>
      </c>
      <c r="K1344" s="109" t="s">
        <v>5907</v>
      </c>
      <c r="L1344" s="110">
        <v>8207.4296875</v>
      </c>
      <c r="M1344" s="110" t="s">
        <v>5911</v>
      </c>
    </row>
    <row r="1345" spans="1:13" ht="15" customHeight="1" thickBot="1">
      <c r="A1345" s="104" t="s">
        <v>5912</v>
      </c>
      <c r="B1345" s="105">
        <v>17016</v>
      </c>
      <c r="C1345" s="105" t="s">
        <v>5824</v>
      </c>
      <c r="D1345" s="105">
        <v>5000</v>
      </c>
      <c r="E1345" s="106"/>
      <c r="F1345" s="106"/>
      <c r="G1345" s="106"/>
      <c r="H1345" s="107"/>
      <c r="I1345" s="108" t="s">
        <v>5865</v>
      </c>
      <c r="J1345" s="108" t="s">
        <v>4414</v>
      </c>
      <c r="K1345" s="109" t="s">
        <v>4127</v>
      </c>
      <c r="L1345" s="110">
        <v>5250000</v>
      </c>
      <c r="M1345" s="110" t="s">
        <v>5516</v>
      </c>
    </row>
    <row r="1346" spans="1:13" ht="15" customHeight="1">
      <c r="A1346" s="104">
        <v>45301</v>
      </c>
      <c r="B1346" s="105">
        <v>17017</v>
      </c>
      <c r="C1346" s="105" t="s">
        <v>5915</v>
      </c>
      <c r="D1346" s="105">
        <v>1</v>
      </c>
      <c r="E1346" s="106"/>
      <c r="F1346" s="106"/>
      <c r="G1346" s="106"/>
      <c r="H1346" s="107"/>
      <c r="I1346" s="108" t="s">
        <v>5918</v>
      </c>
      <c r="J1346" s="108" t="s">
        <v>5530</v>
      </c>
      <c r="K1346" s="109" t="s">
        <v>5913</v>
      </c>
      <c r="L1346" s="110">
        <v>450000</v>
      </c>
      <c r="M1346" s="110" t="s">
        <v>5917</v>
      </c>
    </row>
    <row r="1347" spans="1:13" ht="15" customHeight="1" thickBot="1">
      <c r="A1347" s="80"/>
      <c r="B1347" s="81"/>
      <c r="C1347" s="81" t="s">
        <v>5916</v>
      </c>
      <c r="D1347" s="81">
        <v>1</v>
      </c>
      <c r="E1347" s="82"/>
      <c r="F1347" s="82"/>
      <c r="G1347" s="82"/>
      <c r="H1347" s="83"/>
      <c r="I1347" s="84"/>
      <c r="J1347" s="84"/>
      <c r="K1347" s="102"/>
      <c r="L1347" s="103"/>
      <c r="M1347" s="103"/>
    </row>
    <row r="1348" spans="1:13" ht="15" customHeight="1" thickBot="1">
      <c r="A1348" s="119" t="s">
        <v>5920</v>
      </c>
      <c r="B1348" s="120">
        <v>17018</v>
      </c>
      <c r="C1348" s="120" t="s">
        <v>5919</v>
      </c>
      <c r="D1348" s="120">
        <v>2.5</v>
      </c>
      <c r="E1348" s="121"/>
      <c r="F1348" s="121"/>
      <c r="G1348" s="121"/>
      <c r="H1348" s="122"/>
      <c r="I1348" s="123" t="s">
        <v>4643</v>
      </c>
      <c r="J1348" s="123" t="s">
        <v>4239</v>
      </c>
      <c r="K1348" s="124" t="s">
        <v>3295</v>
      </c>
      <c r="L1348" s="125">
        <v>0</v>
      </c>
      <c r="M1348" s="125" t="s">
        <v>5695</v>
      </c>
    </row>
    <row r="1349" spans="1:13" ht="15" customHeight="1" thickBot="1">
      <c r="A1349" s="112" t="s">
        <v>5920</v>
      </c>
      <c r="B1349" s="113">
        <v>17019</v>
      </c>
      <c r="C1349" s="113"/>
      <c r="D1349" s="113"/>
      <c r="E1349" s="114"/>
      <c r="F1349" s="114"/>
      <c r="G1349" s="114"/>
      <c r="H1349" s="115"/>
      <c r="I1349" s="116"/>
      <c r="J1349" s="116"/>
      <c r="K1349" s="117" t="s">
        <v>3295</v>
      </c>
      <c r="L1349" s="118">
        <v>0</v>
      </c>
      <c r="M1349" s="118"/>
    </row>
    <row r="1350" spans="1:13" ht="15" customHeight="1">
      <c r="A1350" s="104" t="s">
        <v>5925</v>
      </c>
      <c r="B1350" s="105">
        <v>17020</v>
      </c>
      <c r="C1350" s="105" t="s">
        <v>5921</v>
      </c>
      <c r="D1350" s="105">
        <v>1</v>
      </c>
      <c r="E1350" s="106"/>
      <c r="F1350" s="106"/>
      <c r="G1350" s="106"/>
      <c r="H1350" s="107"/>
      <c r="I1350" s="108" t="s">
        <v>5923</v>
      </c>
      <c r="J1350" s="108" t="s">
        <v>5800</v>
      </c>
      <c r="K1350" s="109" t="s">
        <v>1474</v>
      </c>
      <c r="L1350" s="110">
        <v>1512.537841796875</v>
      </c>
      <c r="M1350" s="110" t="s">
        <v>5924</v>
      </c>
    </row>
    <row r="1351" spans="1:13" ht="15" customHeight="1" thickBot="1">
      <c r="A1351" s="80"/>
      <c r="B1351" s="81"/>
      <c r="C1351" s="81" t="s">
        <v>5922</v>
      </c>
      <c r="D1351" s="81">
        <v>1</v>
      </c>
      <c r="E1351" s="82"/>
      <c r="F1351" s="82"/>
      <c r="G1351" s="82"/>
      <c r="H1351" s="83"/>
      <c r="I1351" s="84"/>
      <c r="J1351" s="84"/>
      <c r="K1351" s="102"/>
      <c r="L1351" s="103"/>
      <c r="M1351" s="103"/>
    </row>
    <row r="1352" spans="1:13" ht="15" customHeight="1">
      <c r="A1352" s="104" t="s">
        <v>5925</v>
      </c>
      <c r="B1352" s="105">
        <v>17021</v>
      </c>
      <c r="C1352" s="105" t="s">
        <v>5926</v>
      </c>
      <c r="D1352" s="105">
        <v>3</v>
      </c>
      <c r="E1352" s="106"/>
      <c r="F1352" s="106"/>
      <c r="G1352" s="106"/>
      <c r="H1352" s="107"/>
      <c r="I1352" s="108" t="s">
        <v>5923</v>
      </c>
      <c r="J1352" s="108" t="s">
        <v>5928</v>
      </c>
      <c r="K1352" s="109" t="s">
        <v>1474</v>
      </c>
      <c r="L1352" s="110">
        <v>372.48489379882813</v>
      </c>
      <c r="M1352" s="110" t="s">
        <v>5924</v>
      </c>
    </row>
    <row r="1353" spans="1:13" ht="15" customHeight="1" thickBot="1">
      <c r="A1353" s="80"/>
      <c r="B1353" s="81"/>
      <c r="C1353" s="81" t="s">
        <v>5927</v>
      </c>
      <c r="D1353" s="81">
        <v>1</v>
      </c>
      <c r="E1353" s="82"/>
      <c r="F1353" s="82"/>
      <c r="G1353" s="82"/>
      <c r="H1353" s="83"/>
      <c r="I1353" s="84"/>
      <c r="J1353" s="84"/>
      <c r="K1353" s="102"/>
      <c r="L1353" s="103"/>
      <c r="M1353" s="103"/>
    </row>
    <row r="1354" spans="1:13" ht="15" customHeight="1">
      <c r="A1354" s="95" t="s">
        <v>5935</v>
      </c>
      <c r="B1354" s="96">
        <v>17022</v>
      </c>
      <c r="C1354" s="96" t="s">
        <v>5929</v>
      </c>
      <c r="D1354" s="96">
        <v>12</v>
      </c>
      <c r="E1354" s="97"/>
      <c r="F1354" s="97"/>
      <c r="G1354" s="97"/>
      <c r="H1354" s="98"/>
      <c r="I1354" s="99" t="s">
        <v>4246</v>
      </c>
      <c r="J1354" s="99" t="s">
        <v>4211</v>
      </c>
      <c r="K1354" s="100" t="s">
        <v>2402</v>
      </c>
      <c r="L1354" s="101">
        <v>765631.375</v>
      </c>
      <c r="M1354" s="101" t="s">
        <v>5934</v>
      </c>
    </row>
    <row r="1355" spans="1:13" ht="15" customHeight="1">
      <c r="A1355" s="85"/>
      <c r="B1355" s="86"/>
      <c r="C1355" s="86" t="s">
        <v>5930</v>
      </c>
      <c r="D1355" s="86">
        <v>1</v>
      </c>
      <c r="E1355" s="87"/>
      <c r="F1355" s="87"/>
      <c r="G1355" s="87"/>
      <c r="H1355" s="88"/>
      <c r="I1355" s="89"/>
      <c r="J1355" s="89"/>
      <c r="K1355" s="90"/>
      <c r="L1355" s="91"/>
      <c r="M1355" s="91"/>
    </row>
    <row r="1356" spans="1:13" ht="15" customHeight="1">
      <c r="A1356" s="73"/>
      <c r="B1356" s="2"/>
      <c r="C1356" s="2" t="s">
        <v>5931</v>
      </c>
      <c r="D1356" s="2">
        <v>13</v>
      </c>
      <c r="E1356" s="4"/>
      <c r="F1356" s="4"/>
      <c r="G1356" s="4"/>
      <c r="H1356" s="61"/>
      <c r="I1356" s="62"/>
      <c r="J1356" s="62"/>
      <c r="K1356" s="78"/>
      <c r="L1356" s="57"/>
      <c r="M1356" s="57"/>
    </row>
    <row r="1357" spans="1:13" ht="15" customHeight="1">
      <c r="A1357" s="80"/>
      <c r="B1357" s="81"/>
      <c r="C1357" s="81" t="s">
        <v>5932</v>
      </c>
      <c r="D1357" s="81">
        <v>1</v>
      </c>
      <c r="E1357" s="82"/>
      <c r="F1357" s="82"/>
      <c r="G1357" s="82"/>
      <c r="H1357" s="83"/>
      <c r="I1357" s="84"/>
      <c r="J1357" s="84"/>
      <c r="K1357" s="102"/>
      <c r="L1357" s="103"/>
      <c r="M1357" s="103"/>
    </row>
    <row r="1358" spans="1:13" ht="15" customHeight="1" thickBot="1">
      <c r="A1358" s="80"/>
      <c r="B1358" s="81"/>
      <c r="C1358" s="81" t="s">
        <v>5933</v>
      </c>
      <c r="D1358" s="81">
        <v>13</v>
      </c>
      <c r="E1358" s="82"/>
      <c r="F1358" s="82"/>
      <c r="G1358" s="82"/>
      <c r="H1358" s="83"/>
      <c r="I1358" s="84"/>
      <c r="J1358" s="84"/>
      <c r="K1358" s="102"/>
      <c r="L1358" s="103"/>
      <c r="M1358" s="103"/>
    </row>
    <row r="1359" spans="1:13" ht="15" customHeight="1" thickBot="1">
      <c r="A1359" s="104" t="s">
        <v>5935</v>
      </c>
      <c r="B1359" s="105">
        <v>17023</v>
      </c>
      <c r="C1359" s="105" t="s">
        <v>5936</v>
      </c>
      <c r="D1359" s="105">
        <v>1</v>
      </c>
      <c r="E1359" s="106"/>
      <c r="F1359" s="106"/>
      <c r="G1359" s="106"/>
      <c r="H1359" s="107"/>
      <c r="I1359" s="108" t="s">
        <v>5938</v>
      </c>
      <c r="J1359" s="108" t="s">
        <v>5800</v>
      </c>
      <c r="K1359" s="109" t="s">
        <v>5283</v>
      </c>
      <c r="L1359" s="110">
        <v>629200</v>
      </c>
      <c r="M1359" s="110" t="s">
        <v>5937</v>
      </c>
    </row>
    <row r="1360" spans="1:13" ht="15" customHeight="1" thickBot="1">
      <c r="A1360" s="104" t="s">
        <v>5942</v>
      </c>
      <c r="B1360" s="105">
        <v>17024</v>
      </c>
      <c r="C1360" s="105" t="s">
        <v>5939</v>
      </c>
      <c r="D1360" s="105">
        <v>300</v>
      </c>
      <c r="E1360" s="106"/>
      <c r="F1360" s="106"/>
      <c r="G1360" s="106"/>
      <c r="H1360" s="107"/>
      <c r="I1360" s="108" t="s">
        <v>5940</v>
      </c>
      <c r="J1360" s="108" t="s">
        <v>4301</v>
      </c>
      <c r="K1360" s="109" t="s">
        <v>3907</v>
      </c>
      <c r="L1360" s="110">
        <v>147000.109375</v>
      </c>
      <c r="M1360" s="110" t="s">
        <v>5941</v>
      </c>
    </row>
    <row r="1361" spans="1:13" ht="15" customHeight="1" thickBot="1">
      <c r="A1361" s="104" t="s">
        <v>5942</v>
      </c>
      <c r="B1361" s="105">
        <v>17025</v>
      </c>
      <c r="C1361" s="105" t="s">
        <v>5939</v>
      </c>
      <c r="D1361" s="105">
        <v>300</v>
      </c>
      <c r="E1361" s="106"/>
      <c r="F1361" s="106"/>
      <c r="G1361" s="106"/>
      <c r="H1361" s="107"/>
      <c r="I1361" s="108" t="s">
        <v>5940</v>
      </c>
      <c r="J1361" s="108" t="s">
        <v>4301</v>
      </c>
      <c r="K1361" s="109" t="s">
        <v>3907</v>
      </c>
      <c r="L1361" s="110">
        <v>147000.484375</v>
      </c>
      <c r="M1361" s="110" t="s">
        <v>5924</v>
      </c>
    </row>
    <row r="1362" spans="1:13" ht="15" customHeight="1" thickBot="1">
      <c r="A1362" s="104" t="s">
        <v>5943</v>
      </c>
      <c r="B1362" s="105">
        <v>17026</v>
      </c>
      <c r="C1362" s="105" t="s">
        <v>5784</v>
      </c>
      <c r="D1362" s="105">
        <v>1</v>
      </c>
      <c r="E1362" s="106"/>
      <c r="F1362" s="106"/>
      <c r="G1362" s="106"/>
      <c r="H1362" s="107"/>
      <c r="I1362" s="108" t="s">
        <v>4246</v>
      </c>
      <c r="J1362" s="108" t="s">
        <v>4239</v>
      </c>
      <c r="K1362" s="109" t="s">
        <v>502</v>
      </c>
      <c r="L1362" s="110">
        <v>0</v>
      </c>
      <c r="M1362" s="110" t="s">
        <v>5482</v>
      </c>
    </row>
    <row r="1363" spans="1:13" ht="15" customHeight="1" thickBot="1">
      <c r="A1363" s="104" t="s">
        <v>5943</v>
      </c>
      <c r="B1363" s="105">
        <v>17027</v>
      </c>
      <c r="C1363" s="105" t="s">
        <v>5944</v>
      </c>
      <c r="D1363" s="105">
        <v>1</v>
      </c>
      <c r="E1363" s="106"/>
      <c r="F1363" s="106"/>
      <c r="G1363" s="106"/>
      <c r="H1363" s="107"/>
      <c r="I1363" s="108" t="s">
        <v>5731</v>
      </c>
      <c r="J1363" s="108" t="s">
        <v>4239</v>
      </c>
      <c r="K1363" s="109" t="s">
        <v>3265</v>
      </c>
      <c r="L1363" s="110">
        <v>5644.73486328125</v>
      </c>
      <c r="M1363" s="110" t="s">
        <v>5482</v>
      </c>
    </row>
    <row r="1364" spans="1:13" ht="15" customHeight="1" thickBot="1">
      <c r="A1364" s="104" t="s">
        <v>5947</v>
      </c>
      <c r="B1364" s="105">
        <v>17028</v>
      </c>
      <c r="C1364" s="105" t="s">
        <v>5945</v>
      </c>
      <c r="D1364" s="105">
        <v>176</v>
      </c>
      <c r="E1364" s="106"/>
      <c r="F1364" s="106"/>
      <c r="G1364" s="106"/>
      <c r="H1364" s="107"/>
      <c r="I1364" s="108" t="s">
        <v>5946</v>
      </c>
      <c r="J1364" s="108" t="s">
        <v>4383</v>
      </c>
      <c r="K1364" s="109" t="s">
        <v>5643</v>
      </c>
      <c r="L1364" s="110">
        <v>27073700</v>
      </c>
      <c r="M1364" s="110" t="s">
        <v>5545</v>
      </c>
    </row>
    <row r="1365" spans="1:13" ht="15" customHeight="1">
      <c r="A1365" s="104" t="s">
        <v>5947</v>
      </c>
      <c r="B1365" s="105">
        <v>17029</v>
      </c>
      <c r="C1365" s="105" t="s">
        <v>5948</v>
      </c>
      <c r="D1365" s="105">
        <v>1</v>
      </c>
      <c r="E1365" s="106"/>
      <c r="F1365" s="106"/>
      <c r="G1365" s="106"/>
      <c r="H1365" s="107"/>
      <c r="I1365" s="108" t="s">
        <v>5950</v>
      </c>
      <c r="J1365" s="108" t="s">
        <v>4301</v>
      </c>
      <c r="K1365" s="109" t="s">
        <v>4111</v>
      </c>
      <c r="L1365" s="110">
        <v>278542</v>
      </c>
      <c r="M1365" s="110" t="s">
        <v>5482</v>
      </c>
    </row>
    <row r="1366" spans="1:13" ht="15" customHeight="1" thickBot="1">
      <c r="A1366" s="80"/>
      <c r="B1366" s="81"/>
      <c r="C1366" s="81" t="s">
        <v>5949</v>
      </c>
      <c r="D1366" s="81">
        <v>1</v>
      </c>
      <c r="E1366" s="82"/>
      <c r="F1366" s="82"/>
      <c r="G1366" s="82"/>
      <c r="H1366" s="83"/>
      <c r="I1366" s="84"/>
      <c r="J1366" s="84"/>
      <c r="K1366" s="102"/>
      <c r="L1366" s="103"/>
      <c r="M1366" s="103"/>
    </row>
    <row r="1367" spans="1:13" ht="15" customHeight="1" thickBot="1">
      <c r="A1367" s="104" t="s">
        <v>5947</v>
      </c>
      <c r="B1367" s="105">
        <v>17030</v>
      </c>
      <c r="C1367" s="105" t="s">
        <v>5951</v>
      </c>
      <c r="D1367" s="105">
        <v>1</v>
      </c>
      <c r="E1367" s="106"/>
      <c r="F1367" s="106"/>
      <c r="G1367" s="106"/>
      <c r="H1367" s="107"/>
      <c r="I1367" s="108" t="s">
        <v>5952</v>
      </c>
      <c r="J1367" s="108" t="s">
        <v>4301</v>
      </c>
      <c r="K1367" s="109" t="s">
        <v>4111</v>
      </c>
      <c r="L1367" s="110">
        <v>155545.5</v>
      </c>
      <c r="M1367" s="110" t="s">
        <v>5482</v>
      </c>
    </row>
    <row r="1368" spans="1:13" ht="15" customHeight="1">
      <c r="A1368" s="95" t="s">
        <v>5947</v>
      </c>
      <c r="B1368" s="96">
        <v>17031</v>
      </c>
      <c r="C1368" s="96" t="s">
        <v>5953</v>
      </c>
      <c r="D1368" s="96">
        <v>1</v>
      </c>
      <c r="E1368" s="97"/>
      <c r="F1368" s="97"/>
      <c r="G1368" s="97"/>
      <c r="H1368" s="98"/>
      <c r="I1368" s="99" t="s">
        <v>5956</v>
      </c>
      <c r="J1368" s="99" t="s">
        <v>5800</v>
      </c>
      <c r="K1368" s="100" t="s">
        <v>5325</v>
      </c>
      <c r="L1368" s="101">
        <v>4592591.5</v>
      </c>
      <c r="M1368" s="101" t="s">
        <v>5957</v>
      </c>
    </row>
    <row r="1369" spans="1:13" ht="15" customHeight="1">
      <c r="A1369" s="85"/>
      <c r="B1369" s="86"/>
      <c r="C1369" s="86" t="s">
        <v>5953</v>
      </c>
      <c r="D1369" s="86">
        <v>1</v>
      </c>
      <c r="E1369" s="87"/>
      <c r="F1369" s="87"/>
      <c r="G1369" s="87"/>
      <c r="H1369" s="88"/>
      <c r="I1369" s="89"/>
      <c r="J1369" s="89"/>
      <c r="K1369" s="90"/>
      <c r="L1369" s="91"/>
      <c r="M1369" s="91"/>
    </row>
    <row r="1370" spans="1:13" ht="15" customHeight="1">
      <c r="A1370" s="80"/>
      <c r="B1370" s="81"/>
      <c r="C1370" s="81" t="s">
        <v>5954</v>
      </c>
      <c r="D1370" s="81">
        <v>1</v>
      </c>
      <c r="E1370" s="82"/>
      <c r="F1370" s="82"/>
      <c r="G1370" s="82"/>
      <c r="H1370" s="83"/>
      <c r="I1370" s="84"/>
      <c r="J1370" s="84"/>
      <c r="K1370" s="102"/>
      <c r="L1370" s="103"/>
      <c r="M1370" s="103"/>
    </row>
    <row r="1371" spans="1:13" ht="15" customHeight="1" thickBot="1">
      <c r="A1371" s="80"/>
      <c r="B1371" s="81"/>
      <c r="C1371" s="81" t="s">
        <v>5955</v>
      </c>
      <c r="D1371" s="81">
        <v>1</v>
      </c>
      <c r="E1371" s="82"/>
      <c r="F1371" s="82"/>
      <c r="G1371" s="82"/>
      <c r="H1371" s="83"/>
      <c r="I1371" s="84"/>
      <c r="J1371" s="84"/>
      <c r="K1371" s="102"/>
      <c r="L1371" s="103"/>
      <c r="M1371" s="103"/>
    </row>
    <row r="1372" spans="1:13" ht="15" customHeight="1">
      <c r="A1372" s="95" t="s">
        <v>5966</v>
      </c>
      <c r="B1372" s="96">
        <v>17032</v>
      </c>
      <c r="C1372" s="96" t="s">
        <v>5958</v>
      </c>
      <c r="D1372" s="96">
        <v>1</v>
      </c>
      <c r="E1372" s="97"/>
      <c r="F1372" s="97"/>
      <c r="G1372" s="97"/>
      <c r="H1372" s="98"/>
      <c r="I1372" s="99" t="s">
        <v>5965</v>
      </c>
      <c r="J1372" s="99" t="s">
        <v>4414</v>
      </c>
      <c r="K1372" s="100" t="s">
        <v>4979</v>
      </c>
      <c r="L1372" s="101">
        <v>403593.03125</v>
      </c>
      <c r="M1372" s="101" t="s">
        <v>5482</v>
      </c>
    </row>
    <row r="1373" spans="1:13" ht="15" customHeight="1">
      <c r="A1373" s="85"/>
      <c r="B1373" s="86"/>
      <c r="C1373" s="86" t="s">
        <v>5520</v>
      </c>
      <c r="D1373" s="86">
        <v>1</v>
      </c>
      <c r="E1373" s="87"/>
      <c r="F1373" s="87"/>
      <c r="G1373" s="87"/>
      <c r="H1373" s="88"/>
      <c r="I1373" s="89"/>
      <c r="J1373" s="89"/>
      <c r="K1373" s="90"/>
      <c r="L1373" s="91"/>
      <c r="M1373" s="91"/>
    </row>
    <row r="1374" spans="1:13" ht="15" customHeight="1">
      <c r="A1374" s="73"/>
      <c r="B1374" s="2"/>
      <c r="C1374" s="2" t="s">
        <v>5959</v>
      </c>
      <c r="D1374" s="2">
        <v>2</v>
      </c>
      <c r="E1374" s="4"/>
      <c r="F1374" s="4"/>
      <c r="G1374" s="4"/>
      <c r="H1374" s="61"/>
      <c r="I1374" s="62"/>
      <c r="J1374" s="62"/>
      <c r="K1374" s="78"/>
      <c r="L1374" s="57"/>
      <c r="M1374" s="57"/>
    </row>
    <row r="1375" spans="1:13" ht="15" customHeight="1">
      <c r="A1375" s="73"/>
      <c r="B1375" s="2"/>
      <c r="C1375" s="2" t="s">
        <v>5960</v>
      </c>
      <c r="D1375" s="2">
        <v>1</v>
      </c>
      <c r="E1375" s="4"/>
      <c r="F1375" s="4"/>
      <c r="G1375" s="4"/>
      <c r="H1375" s="61"/>
      <c r="I1375" s="62"/>
      <c r="J1375" s="62"/>
      <c r="K1375" s="78"/>
      <c r="L1375" s="57"/>
      <c r="M1375" s="57"/>
    </row>
    <row r="1376" spans="1:13" ht="15" customHeight="1">
      <c r="A1376" s="73"/>
      <c r="B1376" s="2"/>
      <c r="C1376" s="2" t="s">
        <v>5961</v>
      </c>
      <c r="D1376" s="2">
        <v>1</v>
      </c>
      <c r="E1376" s="4"/>
      <c r="F1376" s="4"/>
      <c r="G1376" s="4"/>
      <c r="H1376" s="61"/>
      <c r="I1376" s="62"/>
      <c r="J1376" s="62"/>
      <c r="K1376" s="78"/>
      <c r="L1376" s="57"/>
      <c r="M1376" s="57"/>
    </row>
    <row r="1377" spans="1:13" ht="15" customHeight="1">
      <c r="A1377" s="73"/>
      <c r="B1377" s="2"/>
      <c r="C1377" s="2" t="s">
        <v>5962</v>
      </c>
      <c r="D1377" s="2">
        <v>1</v>
      </c>
      <c r="E1377" s="4"/>
      <c r="F1377" s="4"/>
      <c r="G1377" s="4"/>
      <c r="H1377" s="61"/>
      <c r="I1377" s="62"/>
      <c r="J1377" s="62"/>
      <c r="K1377" s="78"/>
      <c r="L1377" s="57"/>
      <c r="M1377" s="57"/>
    </row>
    <row r="1378" spans="1:13" ht="15" customHeight="1">
      <c r="A1378" s="73"/>
      <c r="B1378" s="2"/>
      <c r="C1378" s="2" t="s">
        <v>5963</v>
      </c>
      <c r="D1378" s="2">
        <v>1</v>
      </c>
      <c r="E1378" s="4"/>
      <c r="F1378" s="4"/>
      <c r="G1378" s="4"/>
      <c r="H1378" s="61"/>
      <c r="I1378" s="62"/>
      <c r="J1378" s="62"/>
      <c r="K1378" s="78"/>
      <c r="L1378" s="57"/>
      <c r="M1378" s="57"/>
    </row>
    <row r="1379" spans="1:13" ht="15" customHeight="1">
      <c r="A1379" s="80"/>
      <c r="B1379" s="81"/>
      <c r="C1379" s="81" t="s">
        <v>5964</v>
      </c>
      <c r="D1379" s="81">
        <v>1</v>
      </c>
      <c r="E1379" s="82"/>
      <c r="F1379" s="82"/>
      <c r="G1379" s="82"/>
      <c r="H1379" s="83"/>
      <c r="I1379" s="84"/>
      <c r="J1379" s="84"/>
      <c r="K1379" s="102"/>
      <c r="L1379" s="103"/>
      <c r="M1379" s="103"/>
    </row>
    <row r="1380" spans="1:13" ht="15" customHeight="1" thickBot="1">
      <c r="A1380" s="80"/>
      <c r="B1380" s="81"/>
      <c r="C1380" s="81" t="s">
        <v>5933</v>
      </c>
      <c r="D1380" s="81">
        <v>3</v>
      </c>
      <c r="E1380" s="82"/>
      <c r="F1380" s="82"/>
      <c r="G1380" s="82"/>
      <c r="H1380" s="83"/>
      <c r="I1380" s="84"/>
      <c r="J1380" s="84"/>
      <c r="K1380" s="102"/>
      <c r="L1380" s="103"/>
      <c r="M1380" s="103"/>
    </row>
    <row r="1381" spans="1:13" ht="15" customHeight="1" thickBot="1">
      <c r="A1381" s="104" t="s">
        <v>5966</v>
      </c>
      <c r="B1381" s="105">
        <v>17033</v>
      </c>
      <c r="C1381" s="105" t="s">
        <v>5967</v>
      </c>
      <c r="D1381" s="105">
        <v>1</v>
      </c>
      <c r="E1381" s="106"/>
      <c r="F1381" s="106"/>
      <c r="G1381" s="106"/>
      <c r="H1381" s="107"/>
      <c r="I1381" s="108" t="s">
        <v>4246</v>
      </c>
      <c r="J1381" s="108" t="s">
        <v>4239</v>
      </c>
      <c r="K1381" s="109" t="s">
        <v>3661</v>
      </c>
      <c r="L1381" s="110">
        <v>0</v>
      </c>
      <c r="M1381" s="110" t="s">
        <v>5482</v>
      </c>
    </row>
    <row r="1382" spans="1:13" ht="15" customHeight="1" thickBot="1">
      <c r="A1382" s="104" t="s">
        <v>5966</v>
      </c>
      <c r="B1382" s="105">
        <v>17034</v>
      </c>
      <c r="C1382" s="105" t="s">
        <v>5968</v>
      </c>
      <c r="D1382" s="105">
        <v>3</v>
      </c>
      <c r="E1382" s="106"/>
      <c r="F1382" s="106"/>
      <c r="G1382" s="106"/>
      <c r="H1382" s="107"/>
      <c r="I1382" s="108" t="s">
        <v>5731</v>
      </c>
      <c r="J1382" s="108" t="s">
        <v>4239</v>
      </c>
      <c r="K1382" s="109" t="s">
        <v>3265</v>
      </c>
      <c r="L1382" s="110">
        <v>0</v>
      </c>
      <c r="M1382" s="110" t="s">
        <v>5482</v>
      </c>
    </row>
    <row r="1383" spans="1:13" ht="15" customHeight="1" thickBot="1">
      <c r="A1383" s="104" t="s">
        <v>5966</v>
      </c>
      <c r="B1383" s="105">
        <v>17035</v>
      </c>
      <c r="C1383" s="105"/>
      <c r="D1383" s="105"/>
      <c r="E1383" s="106"/>
      <c r="F1383" s="106"/>
      <c r="G1383" s="106"/>
      <c r="H1383" s="107"/>
      <c r="I1383" s="108"/>
      <c r="J1383" s="108"/>
      <c r="K1383" s="109" t="s">
        <v>3265</v>
      </c>
      <c r="L1383" s="110">
        <v>0</v>
      </c>
      <c r="M1383" s="110"/>
    </row>
    <row r="1384" spans="1:13" ht="15" customHeight="1" thickBot="1">
      <c r="A1384" s="119" t="s">
        <v>5969</v>
      </c>
      <c r="B1384" s="120">
        <v>17036</v>
      </c>
      <c r="C1384" s="120"/>
      <c r="D1384" s="120"/>
      <c r="E1384" s="121"/>
      <c r="F1384" s="121"/>
      <c r="G1384" s="121"/>
      <c r="H1384" s="122"/>
      <c r="I1384" s="123"/>
      <c r="J1384" s="123"/>
      <c r="K1384" s="124" t="s">
        <v>3265</v>
      </c>
      <c r="L1384" s="125">
        <v>0</v>
      </c>
      <c r="M1384" s="125"/>
    </row>
    <row r="1385" spans="1:13" ht="15" customHeight="1" thickBot="1">
      <c r="A1385" s="112" t="s">
        <v>5969</v>
      </c>
      <c r="B1385" s="113">
        <v>17037</v>
      </c>
      <c r="C1385" s="113"/>
      <c r="D1385" s="113"/>
      <c r="E1385" s="114"/>
      <c r="F1385" s="114"/>
      <c r="G1385" s="114"/>
      <c r="H1385" s="115"/>
      <c r="I1385" s="116"/>
      <c r="J1385" s="116"/>
      <c r="K1385" s="117" t="s">
        <v>3265</v>
      </c>
      <c r="L1385" s="118">
        <v>0</v>
      </c>
      <c r="M1385" s="118"/>
    </row>
    <row r="1386" spans="1:13" ht="15" customHeight="1" thickBot="1">
      <c r="A1386" s="104" t="s">
        <v>5969</v>
      </c>
      <c r="B1386" s="105">
        <v>13339</v>
      </c>
      <c r="C1386" s="105" t="s">
        <v>5583</v>
      </c>
      <c r="D1386" s="105">
        <v>4</v>
      </c>
      <c r="E1386" s="106"/>
      <c r="F1386" s="106"/>
      <c r="G1386" s="106"/>
      <c r="H1386" s="107"/>
      <c r="I1386" s="108"/>
      <c r="J1386" s="108"/>
      <c r="K1386" s="109" t="s">
        <v>3265</v>
      </c>
      <c r="L1386" s="110">
        <v>9.6800003051757813</v>
      </c>
      <c r="M1386" s="110"/>
    </row>
    <row r="1387" spans="1:13" ht="15" customHeight="1">
      <c r="A1387" s="104" t="s">
        <v>5974</v>
      </c>
      <c r="B1387" s="105">
        <v>13348</v>
      </c>
      <c r="C1387" s="105" t="s">
        <v>5970</v>
      </c>
      <c r="D1387" s="105">
        <v>10</v>
      </c>
      <c r="E1387" s="106"/>
      <c r="F1387" s="106"/>
      <c r="G1387" s="106"/>
      <c r="H1387" s="107"/>
      <c r="I1387" s="108" t="s">
        <v>5973</v>
      </c>
      <c r="J1387" s="108" t="s">
        <v>5972</v>
      </c>
      <c r="K1387" s="109" t="s">
        <v>3265</v>
      </c>
      <c r="L1387" s="110">
        <v>0</v>
      </c>
      <c r="M1387" s="110"/>
    </row>
    <row r="1388" spans="1:13" ht="15" customHeight="1" thickBot="1">
      <c r="A1388" s="80"/>
      <c r="B1388" s="81"/>
      <c r="C1388" s="81" t="s">
        <v>5971</v>
      </c>
      <c r="D1388" s="81">
        <v>4</v>
      </c>
      <c r="E1388" s="82"/>
      <c r="F1388" s="82"/>
      <c r="G1388" s="82"/>
      <c r="H1388" s="83"/>
      <c r="I1388" s="84"/>
      <c r="J1388" s="84"/>
      <c r="K1388" s="102"/>
      <c r="L1388" s="103"/>
      <c r="M1388" s="103"/>
    </row>
    <row r="1389" spans="1:13" ht="15" customHeight="1" thickBot="1">
      <c r="A1389" s="104" t="s">
        <v>5975</v>
      </c>
      <c r="B1389" s="105">
        <v>13348</v>
      </c>
      <c r="C1389" s="105"/>
      <c r="D1389" s="105"/>
      <c r="E1389" s="106"/>
      <c r="F1389" s="106"/>
      <c r="G1389" s="106"/>
      <c r="H1389" s="107"/>
      <c r="I1389" s="108"/>
      <c r="J1389" s="108"/>
      <c r="K1389" s="109" t="s">
        <v>3265</v>
      </c>
      <c r="L1389" s="110">
        <v>0</v>
      </c>
      <c r="M1389" s="110"/>
    </row>
    <row r="1390" spans="1:13" ht="15" customHeight="1" thickBot="1">
      <c r="A1390" s="119">
        <v>46054</v>
      </c>
      <c r="B1390" s="120">
        <v>13349</v>
      </c>
      <c r="C1390" s="120"/>
      <c r="D1390" s="120"/>
      <c r="E1390" s="121"/>
      <c r="F1390" s="121"/>
      <c r="G1390" s="121"/>
      <c r="H1390" s="122"/>
      <c r="I1390" s="123"/>
      <c r="J1390" s="123"/>
      <c r="K1390" s="124" t="s">
        <v>3265</v>
      </c>
      <c r="L1390" s="125">
        <v>0</v>
      </c>
      <c r="M1390" s="125"/>
    </row>
    <row r="1391" spans="1:13" ht="15" customHeight="1" thickBot="1">
      <c r="A1391" s="112">
        <v>46054</v>
      </c>
      <c r="B1391" s="113">
        <v>13349</v>
      </c>
      <c r="C1391" s="113"/>
      <c r="D1391" s="113"/>
      <c r="E1391" s="114"/>
      <c r="F1391" s="114"/>
      <c r="G1391" s="114"/>
      <c r="H1391" s="115"/>
      <c r="I1391" s="116"/>
      <c r="J1391" s="116"/>
      <c r="K1391" s="117" t="s">
        <v>3265</v>
      </c>
      <c r="L1391" s="118">
        <v>0</v>
      </c>
      <c r="M1391" s="118"/>
    </row>
    <row r="1392" spans="1:13" ht="15" customHeight="1" thickBot="1">
      <c r="A1392" s="104">
        <v>46054</v>
      </c>
      <c r="B1392" s="105">
        <v>13349</v>
      </c>
      <c r="C1392" s="105" t="s">
        <v>5583</v>
      </c>
      <c r="D1392" s="105">
        <v>1</v>
      </c>
      <c r="E1392" s="106"/>
      <c r="F1392" s="106"/>
      <c r="G1392" s="106"/>
      <c r="H1392" s="107"/>
      <c r="I1392" s="108"/>
      <c r="J1392" s="108"/>
      <c r="K1392" s="109" t="s">
        <v>3265</v>
      </c>
      <c r="L1392" s="110">
        <v>2.4200000762939453</v>
      </c>
      <c r="M1392" s="110"/>
    </row>
    <row r="1393" spans="1:13" ht="15" customHeight="1">
      <c r="A1393" s="95">
        <v>46027</v>
      </c>
      <c r="B1393" s="96">
        <v>13349</v>
      </c>
      <c r="C1393" s="96" t="s">
        <v>5976</v>
      </c>
      <c r="D1393" s="96">
        <v>2</v>
      </c>
      <c r="E1393" s="97"/>
      <c r="F1393" s="97"/>
      <c r="G1393" s="97"/>
      <c r="H1393" s="98"/>
      <c r="I1393" s="99"/>
      <c r="J1393" s="99"/>
      <c r="K1393" s="100" t="s">
        <v>3572</v>
      </c>
      <c r="L1393" s="101">
        <v>436000</v>
      </c>
      <c r="M1393" s="101"/>
    </row>
    <row r="1394" spans="1:13" ht="15" customHeight="1">
      <c r="A1394" s="73">
        <v>46027</v>
      </c>
      <c r="B1394" s="2">
        <v>13349</v>
      </c>
      <c r="C1394" s="2" t="s">
        <v>5977</v>
      </c>
      <c r="D1394" s="2">
        <v>2</v>
      </c>
      <c r="E1394" s="4"/>
      <c r="F1394" s="4"/>
      <c r="G1394" s="4"/>
      <c r="H1394" s="61"/>
      <c r="I1394" s="62"/>
      <c r="J1394" s="62"/>
      <c r="K1394" s="78"/>
      <c r="L1394" s="57"/>
      <c r="M1394" s="57"/>
    </row>
    <row r="1395" spans="1:13" ht="15" customHeight="1">
      <c r="A1395" s="73">
        <v>46027</v>
      </c>
      <c r="B1395" s="2">
        <v>13349</v>
      </c>
      <c r="C1395" s="2" t="s">
        <v>5987</v>
      </c>
      <c r="D1395" s="2">
        <v>1</v>
      </c>
      <c r="E1395" s="4"/>
      <c r="F1395" s="4"/>
      <c r="G1395" s="4"/>
      <c r="H1395" s="61"/>
      <c r="I1395" s="62"/>
      <c r="J1395" s="62"/>
      <c r="K1395" s="78"/>
      <c r="L1395" s="57"/>
      <c r="M1395" s="57"/>
    </row>
    <row r="1396" spans="1:13" ht="15" customHeight="1" thickBot="1">
      <c r="A1396" s="126">
        <v>46027</v>
      </c>
      <c r="B1396" s="127">
        <v>13349</v>
      </c>
      <c r="C1396" s="127" t="s">
        <v>5978</v>
      </c>
      <c r="D1396" s="127">
        <v>2</v>
      </c>
      <c r="E1396" s="128"/>
      <c r="F1396" s="128"/>
      <c r="G1396" s="128"/>
      <c r="H1396" s="129"/>
      <c r="I1396" s="130"/>
      <c r="J1396" s="130"/>
      <c r="K1396" s="131"/>
      <c r="L1396" s="132"/>
      <c r="M1396" s="132"/>
    </row>
    <row r="1397" spans="1:13" ht="15" customHeight="1">
      <c r="A1397" s="95">
        <v>46027</v>
      </c>
      <c r="B1397" s="96">
        <v>13349</v>
      </c>
      <c r="C1397" s="96" t="s">
        <v>5988</v>
      </c>
      <c r="D1397" s="96">
        <v>2</v>
      </c>
      <c r="E1397" s="97"/>
      <c r="F1397" s="97"/>
      <c r="G1397" s="97"/>
      <c r="H1397" s="98"/>
      <c r="I1397" s="99"/>
      <c r="J1397" s="99"/>
      <c r="K1397" s="100" t="s">
        <v>3572</v>
      </c>
      <c r="L1397" s="101">
        <v>436000</v>
      </c>
      <c r="M1397" s="101"/>
    </row>
    <row r="1398" spans="1:13" ht="15" customHeight="1">
      <c r="A1398" s="73">
        <v>46027</v>
      </c>
      <c r="B1398" s="2">
        <v>13349</v>
      </c>
      <c r="C1398" s="2" t="s">
        <v>5991</v>
      </c>
      <c r="D1398" s="2">
        <v>2</v>
      </c>
      <c r="E1398" s="4"/>
      <c r="F1398" s="4"/>
      <c r="G1398" s="4"/>
      <c r="H1398" s="61"/>
      <c r="I1398" s="62"/>
      <c r="J1398" s="62"/>
      <c r="K1398" s="78"/>
      <c r="L1398" s="57"/>
      <c r="M1398" s="57"/>
    </row>
    <row r="1399" spans="1:13" ht="15" customHeight="1">
      <c r="A1399" s="73">
        <v>46027</v>
      </c>
      <c r="B1399" s="2">
        <v>13349</v>
      </c>
      <c r="C1399" s="2" t="s">
        <v>5990</v>
      </c>
      <c r="D1399" s="2">
        <v>1</v>
      </c>
      <c r="E1399" s="4"/>
      <c r="F1399" s="4"/>
      <c r="G1399" s="4"/>
      <c r="H1399" s="61"/>
      <c r="I1399" s="62"/>
      <c r="J1399" s="62"/>
      <c r="K1399" s="78"/>
      <c r="L1399" s="57"/>
      <c r="M1399" s="57"/>
    </row>
    <row r="1400" spans="1:13" ht="15" customHeight="1" thickBot="1">
      <c r="A1400" s="126">
        <v>46027</v>
      </c>
      <c r="B1400" s="127">
        <v>13349</v>
      </c>
      <c r="C1400" s="127" t="s">
        <v>5989</v>
      </c>
      <c r="D1400" s="127">
        <v>2</v>
      </c>
      <c r="E1400" s="128"/>
      <c r="F1400" s="128"/>
      <c r="G1400" s="128"/>
      <c r="H1400" s="129"/>
      <c r="I1400" s="130"/>
      <c r="J1400" s="130"/>
      <c r="K1400" s="131"/>
      <c r="L1400" s="132"/>
      <c r="M1400" s="132"/>
    </row>
    <row r="1401" spans="1:13" ht="15" customHeight="1">
      <c r="A1401" s="85"/>
      <c r="B1401" s="86"/>
      <c r="C1401" s="86"/>
      <c r="D1401" s="86"/>
      <c r="E1401" s="87"/>
      <c r="F1401" s="87"/>
      <c r="G1401" s="87"/>
      <c r="H1401" s="88"/>
      <c r="I1401" s="89"/>
      <c r="J1401" s="89"/>
      <c r="K1401" s="90"/>
      <c r="L1401" s="91"/>
      <c r="M1401" s="91"/>
    </row>
    <row r="1402" spans="1:13" ht="15" customHeight="1">
      <c r="A1402" s="73"/>
      <c r="B1402" s="2"/>
      <c r="C1402" s="2"/>
      <c r="D1402" s="2"/>
      <c r="E1402" s="4"/>
      <c r="F1402" s="4"/>
      <c r="G1402" s="4"/>
      <c r="H1402" s="61"/>
      <c r="I1402" s="62"/>
      <c r="J1402" s="62"/>
      <c r="K1402" s="78"/>
      <c r="L1402" s="57"/>
      <c r="M1402" s="57"/>
    </row>
    <row r="1403" spans="1:13" ht="15" customHeight="1">
      <c r="A1403" s="73"/>
      <c r="B1403" s="2"/>
      <c r="C1403" s="2"/>
      <c r="D1403" s="2"/>
      <c r="E1403" s="4"/>
      <c r="F1403" s="4"/>
      <c r="G1403" s="4"/>
      <c r="H1403" s="61"/>
      <c r="I1403" s="62"/>
      <c r="J1403" s="62"/>
      <c r="K1403" s="78"/>
      <c r="L1403" s="57"/>
      <c r="M1403" s="57"/>
    </row>
    <row r="1404" spans="1:13" ht="15" customHeight="1">
      <c r="A1404" s="73"/>
      <c r="B1404" s="2"/>
      <c r="C1404" s="2"/>
      <c r="D1404" s="2"/>
      <c r="E1404" s="4"/>
      <c r="F1404" s="4"/>
      <c r="G1404" s="4"/>
      <c r="H1404" s="61"/>
      <c r="I1404" s="62"/>
      <c r="J1404" s="62"/>
      <c r="K1404" s="78"/>
      <c r="L1404" s="57"/>
      <c r="M1404" s="57"/>
    </row>
    <row r="1405" spans="1:13" ht="15" customHeight="1">
      <c r="A1405" s="73"/>
      <c r="B1405" s="2"/>
      <c r="C1405" s="2"/>
      <c r="D1405" s="2"/>
      <c r="E1405" s="4"/>
      <c r="F1405" s="4"/>
      <c r="G1405" s="4"/>
      <c r="H1405" s="61"/>
      <c r="I1405" s="62"/>
      <c r="J1405" s="62"/>
      <c r="K1405" s="78"/>
      <c r="L1405" s="57"/>
      <c r="M1405" s="57"/>
    </row>
    <row r="1406" spans="1:13" ht="15" customHeight="1">
      <c r="A1406" s="73"/>
      <c r="B1406" s="2"/>
      <c r="C1406" s="2"/>
      <c r="D1406" s="2"/>
      <c r="E1406" s="4"/>
      <c r="F1406" s="4"/>
      <c r="G1406" s="4"/>
      <c r="H1406" s="61"/>
      <c r="I1406" s="62"/>
      <c r="J1406" s="62"/>
      <c r="K1406" s="78"/>
      <c r="L1406" s="57"/>
      <c r="M1406" s="57"/>
    </row>
    <row r="1407" spans="1:13" ht="15" customHeight="1">
      <c r="A1407" s="73"/>
      <c r="B1407" s="2"/>
      <c r="C1407" s="2"/>
      <c r="D1407" s="2"/>
      <c r="E1407" s="4"/>
      <c r="F1407" s="4"/>
      <c r="G1407" s="4"/>
      <c r="H1407" s="61"/>
      <c r="I1407" s="62"/>
      <c r="J1407" s="62"/>
      <c r="K1407" s="78"/>
      <c r="L1407" s="57"/>
      <c r="M1407" s="57"/>
    </row>
    <row r="1408" spans="1:13" ht="15" customHeight="1">
      <c r="A1408" s="73"/>
      <c r="B1408" s="2"/>
      <c r="C1408" s="2"/>
      <c r="D1408" s="2"/>
      <c r="E1408" s="4"/>
      <c r="F1408" s="4"/>
      <c r="G1408" s="4"/>
      <c r="H1408" s="61"/>
      <c r="I1408" s="62"/>
      <c r="J1408" s="62"/>
      <c r="K1408" s="78"/>
      <c r="L1408" s="57"/>
      <c r="M1408" s="57"/>
    </row>
    <row r="1409" spans="1:13" ht="15" customHeight="1">
      <c r="A1409" s="73"/>
      <c r="B1409" s="2"/>
      <c r="C1409" s="2"/>
      <c r="D1409" s="2"/>
      <c r="E1409" s="4"/>
      <c r="F1409" s="4"/>
      <c r="G1409" s="4"/>
      <c r="H1409" s="61"/>
      <c r="I1409" s="62"/>
      <c r="J1409" s="62"/>
      <c r="K1409" s="78"/>
      <c r="L1409" s="57"/>
      <c r="M1409" s="57"/>
    </row>
    <row r="1410" spans="1:13" ht="15" customHeight="1">
      <c r="A1410" s="73"/>
      <c r="B1410" s="2"/>
      <c r="C1410" s="2"/>
      <c r="D1410" s="2"/>
      <c r="E1410" s="4"/>
      <c r="F1410" s="4"/>
      <c r="G1410" s="4"/>
      <c r="H1410" s="61"/>
      <c r="I1410" s="62"/>
      <c r="J1410" s="62"/>
      <c r="K1410" s="78"/>
      <c r="L1410" s="57"/>
      <c r="M1410" s="57"/>
    </row>
    <row r="1411" spans="1:13" ht="15" customHeight="1">
      <c r="A1411" s="73"/>
      <c r="B1411" s="2"/>
      <c r="C1411" s="2"/>
      <c r="D1411" s="2"/>
      <c r="E1411" s="4"/>
      <c r="F1411" s="4"/>
      <c r="G1411" s="4"/>
      <c r="H1411" s="61"/>
      <c r="I1411" s="62"/>
      <c r="J1411" s="62"/>
      <c r="K1411" s="78"/>
      <c r="L1411" s="57"/>
      <c r="M1411" s="57"/>
    </row>
    <row r="1412" spans="1:13" ht="15" customHeight="1">
      <c r="A1412" s="73"/>
      <c r="B1412" s="2"/>
      <c r="C1412" s="2"/>
      <c r="D1412" s="2"/>
      <c r="E1412" s="4"/>
      <c r="F1412" s="4"/>
      <c r="G1412" s="4"/>
      <c r="H1412" s="61"/>
      <c r="I1412" s="62"/>
      <c r="J1412" s="62"/>
      <c r="K1412" s="78"/>
      <c r="L1412" s="57"/>
      <c r="M1412" s="57"/>
    </row>
    <row r="1413" spans="1:13" ht="15" customHeight="1">
      <c r="A1413" s="73"/>
      <c r="B1413" s="2"/>
      <c r="C1413" s="2"/>
      <c r="D1413" s="2"/>
      <c r="E1413" s="4"/>
      <c r="F1413" s="4"/>
      <c r="G1413" s="4"/>
      <c r="H1413" s="61"/>
      <c r="I1413" s="62"/>
      <c r="J1413" s="62"/>
      <c r="K1413" s="78"/>
      <c r="L1413" s="57"/>
      <c r="M1413" s="57"/>
    </row>
    <row r="1414" spans="1:13" ht="15" customHeight="1">
      <c r="A1414" s="73"/>
      <c r="B1414" s="2"/>
      <c r="C1414" s="2"/>
      <c r="D1414" s="2"/>
      <c r="E1414" s="4"/>
      <c r="F1414" s="4"/>
      <c r="G1414" s="4"/>
      <c r="H1414" s="61"/>
      <c r="I1414" s="62"/>
      <c r="J1414" s="62"/>
      <c r="K1414" s="78"/>
      <c r="L1414" s="57"/>
      <c r="M1414" s="57"/>
    </row>
    <row r="1415" spans="1:13" ht="15" customHeight="1">
      <c r="A1415" s="73"/>
      <c r="B1415" s="2"/>
      <c r="C1415" s="2"/>
      <c r="D1415" s="2"/>
      <c r="E1415" s="4"/>
      <c r="F1415" s="4"/>
      <c r="G1415" s="4"/>
      <c r="H1415" s="61"/>
      <c r="I1415" s="62"/>
      <c r="J1415" s="62"/>
      <c r="K1415" s="78"/>
      <c r="L1415" s="57"/>
      <c r="M1415" s="57"/>
    </row>
    <row r="1416" spans="1:13" ht="15" customHeight="1">
      <c r="A1416" s="73"/>
      <c r="B1416" s="2"/>
      <c r="C1416" s="2"/>
      <c r="D1416" s="2"/>
      <c r="E1416" s="4"/>
      <c r="F1416" s="4"/>
      <c r="G1416" s="4"/>
      <c r="H1416" s="61"/>
      <c r="I1416" s="62"/>
      <c r="J1416" s="62"/>
      <c r="K1416" s="78"/>
      <c r="L1416" s="57"/>
      <c r="M1416" s="57"/>
    </row>
    <row r="1417" spans="1:13" ht="15" customHeight="1">
      <c r="A1417" s="73"/>
      <c r="B1417" s="2"/>
      <c r="C1417" s="2"/>
      <c r="D1417" s="2"/>
      <c r="E1417" s="4"/>
      <c r="F1417" s="4"/>
      <c r="G1417" s="4"/>
      <c r="H1417" s="61"/>
      <c r="I1417" s="62"/>
      <c r="J1417" s="62"/>
      <c r="K1417" s="78"/>
      <c r="L1417" s="57"/>
      <c r="M1417" s="57"/>
    </row>
    <row r="1418" spans="1:13" ht="15" customHeight="1">
      <c r="A1418" s="73"/>
      <c r="B1418" s="2"/>
      <c r="C1418" s="2"/>
      <c r="D1418" s="2"/>
      <c r="E1418" s="4"/>
      <c r="F1418" s="4"/>
      <c r="G1418" s="4"/>
      <c r="H1418" s="61"/>
      <c r="I1418" s="62"/>
      <c r="J1418" s="62"/>
      <c r="K1418" s="78"/>
      <c r="L1418" s="57"/>
      <c r="M1418" s="57"/>
    </row>
    <row r="1419" spans="1:13" ht="15" customHeight="1">
      <c r="A1419" s="73"/>
      <c r="B1419" s="2"/>
      <c r="C1419" s="2"/>
      <c r="D1419" s="2"/>
      <c r="E1419" s="4"/>
      <c r="F1419" s="4"/>
      <c r="G1419" s="4"/>
      <c r="H1419" s="61"/>
      <c r="I1419" s="62"/>
      <c r="J1419" s="62"/>
      <c r="K1419" s="78"/>
      <c r="L1419" s="57"/>
      <c r="M1419" s="57"/>
    </row>
    <row r="1420" spans="1:13" ht="15" customHeight="1">
      <c r="A1420" s="73"/>
      <c r="B1420" s="2"/>
      <c r="C1420" s="2"/>
      <c r="D1420" s="2"/>
      <c r="E1420" s="4"/>
      <c r="F1420" s="4"/>
      <c r="G1420" s="4"/>
      <c r="H1420" s="61"/>
      <c r="I1420" s="62"/>
      <c r="J1420" s="62"/>
      <c r="K1420" s="78"/>
      <c r="L1420" s="57"/>
      <c r="M1420" s="57"/>
    </row>
    <row r="1421" spans="1:13" ht="15" customHeight="1">
      <c r="A1421" s="73"/>
      <c r="B1421" s="2"/>
      <c r="C1421" s="2"/>
      <c r="D1421" s="2"/>
      <c r="E1421" s="4"/>
      <c r="F1421" s="4"/>
      <c r="G1421" s="4"/>
      <c r="H1421" s="61"/>
      <c r="I1421" s="62"/>
      <c r="J1421" s="62"/>
      <c r="K1421" s="78"/>
      <c r="L1421" s="57"/>
      <c r="M1421" s="57"/>
    </row>
    <row r="1422" spans="1:13" ht="15" customHeight="1">
      <c r="A1422" s="73"/>
      <c r="B1422" s="2"/>
      <c r="C1422" s="2"/>
      <c r="D1422" s="2"/>
      <c r="E1422" s="4"/>
      <c r="F1422" s="4"/>
      <c r="G1422" s="4"/>
      <c r="H1422" s="61"/>
      <c r="I1422" s="62"/>
      <c r="J1422" s="62"/>
      <c r="K1422" s="78"/>
      <c r="L1422" s="57"/>
      <c r="M1422" s="57"/>
    </row>
    <row r="1423" spans="1:13" ht="15" customHeight="1">
      <c r="A1423" s="73"/>
      <c r="B1423" s="2"/>
      <c r="C1423" s="2"/>
      <c r="D1423" s="2"/>
      <c r="E1423" s="4"/>
      <c r="F1423" s="4"/>
      <c r="G1423" s="4"/>
      <c r="H1423" s="61"/>
      <c r="I1423" s="62"/>
      <c r="J1423" s="62"/>
      <c r="K1423" s="78"/>
      <c r="L1423" s="57"/>
      <c r="M1423" s="57"/>
    </row>
    <row r="1424" spans="1:13" ht="15" customHeight="1">
      <c r="A1424" s="73"/>
      <c r="B1424" s="2"/>
      <c r="C1424" s="2"/>
      <c r="D1424" s="2"/>
      <c r="E1424" s="4"/>
      <c r="F1424" s="4"/>
      <c r="G1424" s="4"/>
      <c r="H1424" s="61"/>
      <c r="I1424" s="62"/>
      <c r="J1424" s="62"/>
      <c r="K1424" s="78"/>
      <c r="L1424" s="57"/>
      <c r="M1424" s="57"/>
    </row>
    <row r="1425" spans="1:13" ht="15" customHeight="1">
      <c r="A1425" s="73"/>
      <c r="B1425" s="2"/>
      <c r="C1425" s="2"/>
      <c r="D1425" s="2"/>
      <c r="E1425" s="4"/>
      <c r="F1425" s="4"/>
      <c r="G1425" s="4"/>
      <c r="H1425" s="61"/>
      <c r="I1425" s="62"/>
      <c r="J1425" s="62"/>
      <c r="K1425" s="78"/>
      <c r="L1425" s="57"/>
      <c r="M1425" s="57"/>
    </row>
    <row r="1426" spans="1:13" ht="15" customHeight="1">
      <c r="A1426" s="73"/>
      <c r="B1426" s="2"/>
      <c r="C1426" s="2"/>
      <c r="D1426" s="2"/>
      <c r="E1426" s="4"/>
      <c r="F1426" s="4"/>
      <c r="G1426" s="4"/>
      <c r="H1426" s="61"/>
      <c r="I1426" s="62"/>
      <c r="J1426" s="62"/>
      <c r="K1426" s="78"/>
      <c r="L1426" s="57"/>
      <c r="M1426" s="57"/>
    </row>
    <row r="1427" spans="1:13" ht="15" customHeight="1">
      <c r="A1427" s="73"/>
      <c r="B1427" s="2"/>
      <c r="C1427" s="2"/>
      <c r="D1427" s="2"/>
      <c r="E1427" s="4"/>
      <c r="F1427" s="4"/>
      <c r="G1427" s="4"/>
      <c r="H1427" s="61"/>
      <c r="I1427" s="62"/>
      <c r="J1427" s="62"/>
      <c r="K1427" s="78"/>
      <c r="L1427" s="57"/>
      <c r="M1427" s="57"/>
    </row>
    <row r="1428" spans="1:13" ht="15" customHeight="1">
      <c r="A1428" s="73"/>
      <c r="B1428" s="2"/>
      <c r="C1428" s="2"/>
      <c r="D1428" s="2"/>
      <c r="E1428" s="4"/>
      <c r="F1428" s="4"/>
      <c r="G1428" s="4"/>
      <c r="H1428" s="61"/>
      <c r="I1428" s="62"/>
      <c r="J1428" s="62"/>
      <c r="K1428" s="78"/>
      <c r="L1428" s="57"/>
      <c r="M1428" s="57"/>
    </row>
    <row r="1429" spans="1:13" ht="15" customHeight="1">
      <c r="A1429" s="73"/>
      <c r="B1429" s="2"/>
      <c r="C1429" s="2"/>
      <c r="D1429" s="2"/>
      <c r="E1429" s="4"/>
      <c r="F1429" s="4"/>
      <c r="G1429" s="4"/>
      <c r="H1429" s="61"/>
      <c r="I1429" s="62"/>
      <c r="J1429" s="62"/>
      <c r="K1429" s="78"/>
      <c r="L1429" s="57"/>
      <c r="M1429" s="57"/>
    </row>
    <row r="1430" spans="1:13" ht="15" customHeight="1">
      <c r="A1430" s="73"/>
      <c r="B1430" s="2"/>
      <c r="C1430" s="2"/>
      <c r="D1430" s="2"/>
      <c r="E1430" s="4"/>
      <c r="F1430" s="4"/>
      <c r="G1430" s="4"/>
      <c r="H1430" s="61"/>
      <c r="I1430" s="62"/>
      <c r="J1430" s="62"/>
      <c r="K1430" s="78"/>
      <c r="L1430" s="57"/>
      <c r="M1430" s="57"/>
    </row>
    <row r="1431" spans="1:13" ht="15" customHeight="1">
      <c r="A1431" s="73"/>
      <c r="B1431" s="2"/>
      <c r="C1431" s="2"/>
      <c r="D1431" s="2"/>
      <c r="E1431" s="4"/>
      <c r="F1431" s="4"/>
      <c r="G1431" s="4"/>
      <c r="H1431" s="61"/>
      <c r="I1431" s="62"/>
      <c r="J1431" s="62"/>
      <c r="K1431" s="78"/>
      <c r="L1431" s="57"/>
      <c r="M1431" s="57"/>
    </row>
    <row r="1432" spans="1:13" ht="15" customHeight="1">
      <c r="A1432" s="73"/>
      <c r="B1432" s="2"/>
      <c r="C1432" s="2"/>
      <c r="D1432" s="2"/>
      <c r="E1432" s="4"/>
      <c r="F1432" s="4"/>
      <c r="G1432" s="4"/>
      <c r="H1432" s="61"/>
      <c r="I1432" s="62"/>
      <c r="J1432" s="62"/>
      <c r="K1432" s="78"/>
      <c r="L1432" s="57"/>
      <c r="M1432" s="57"/>
    </row>
    <row r="1433" spans="1:13" ht="15" customHeight="1">
      <c r="A1433" s="73"/>
      <c r="B1433" s="2"/>
      <c r="C1433" s="2"/>
      <c r="D1433" s="2"/>
      <c r="E1433" s="4"/>
      <c r="F1433" s="4"/>
      <c r="G1433" s="4"/>
      <c r="H1433" s="61"/>
      <c r="I1433" s="62"/>
      <c r="J1433" s="62"/>
      <c r="K1433" s="78"/>
      <c r="L1433" s="57"/>
      <c r="M1433" s="57"/>
    </row>
    <row r="1434" spans="1:13" ht="15" customHeight="1">
      <c r="A1434" s="73"/>
      <c r="B1434" s="2"/>
      <c r="C1434" s="2"/>
      <c r="D1434" s="2"/>
      <c r="E1434" s="4"/>
      <c r="F1434" s="4"/>
      <c r="G1434" s="4"/>
      <c r="H1434" s="61"/>
      <c r="I1434" s="62"/>
      <c r="J1434" s="62"/>
      <c r="K1434" s="78"/>
      <c r="L1434" s="57"/>
      <c r="M1434" s="57"/>
    </row>
    <row r="1435" spans="1:13" ht="15" customHeight="1">
      <c r="A1435" s="73"/>
      <c r="B1435" s="2"/>
      <c r="C1435" s="2"/>
      <c r="D1435" s="2"/>
      <c r="E1435" s="4"/>
      <c r="F1435" s="4"/>
      <c r="G1435" s="4"/>
      <c r="H1435" s="61"/>
      <c r="I1435" s="62"/>
      <c r="J1435" s="62"/>
      <c r="K1435" s="78"/>
      <c r="L1435" s="57"/>
      <c r="M1435" s="57"/>
    </row>
    <row r="1436" spans="1:13" ht="15" customHeight="1">
      <c r="A1436" s="73"/>
      <c r="B1436" s="2"/>
      <c r="C1436" s="2"/>
      <c r="D1436" s="2"/>
      <c r="E1436" s="4"/>
      <c r="F1436" s="4"/>
      <c r="G1436" s="4"/>
      <c r="H1436" s="61"/>
      <c r="I1436" s="62"/>
      <c r="J1436" s="62"/>
      <c r="K1436" s="78"/>
      <c r="L1436" s="57"/>
      <c r="M1436" s="57"/>
    </row>
    <row r="1437" spans="1:13" ht="15" customHeight="1">
      <c r="A1437" s="73"/>
      <c r="B1437" s="2"/>
      <c r="C1437" s="2"/>
      <c r="D1437" s="2"/>
      <c r="E1437" s="4"/>
      <c r="F1437" s="4"/>
      <c r="G1437" s="4"/>
      <c r="H1437" s="61"/>
      <c r="I1437" s="62"/>
      <c r="J1437" s="62"/>
      <c r="K1437" s="78"/>
      <c r="L1437" s="57"/>
      <c r="M1437" s="57"/>
    </row>
    <row r="1438" spans="1:13" ht="15" customHeight="1">
      <c r="A1438" s="73"/>
      <c r="B1438" s="2"/>
      <c r="C1438" s="2"/>
      <c r="D1438" s="2"/>
      <c r="E1438" s="4"/>
      <c r="F1438" s="4"/>
      <c r="G1438" s="4"/>
      <c r="H1438" s="61"/>
      <c r="I1438" s="62"/>
      <c r="J1438" s="62"/>
      <c r="K1438" s="78"/>
      <c r="L1438" s="57"/>
      <c r="M1438" s="57"/>
    </row>
    <row r="1439" spans="1:13" ht="15" customHeight="1">
      <c r="A1439" s="73"/>
      <c r="B1439" s="2"/>
      <c r="C1439" s="2"/>
      <c r="D1439" s="2"/>
      <c r="E1439" s="4"/>
      <c r="F1439" s="4"/>
      <c r="G1439" s="4"/>
      <c r="H1439" s="61"/>
      <c r="I1439" s="62"/>
      <c r="J1439" s="62"/>
      <c r="K1439" s="78"/>
      <c r="L1439" s="57"/>
      <c r="M1439" s="57"/>
    </row>
    <row r="1440" spans="1:13" ht="15" customHeight="1">
      <c r="A1440" s="73"/>
      <c r="B1440" s="2"/>
      <c r="C1440" s="2"/>
      <c r="D1440" s="2"/>
      <c r="E1440" s="4"/>
      <c r="F1440" s="4"/>
      <c r="G1440" s="4"/>
      <c r="H1440" s="61"/>
      <c r="I1440" s="62"/>
      <c r="J1440" s="62"/>
      <c r="K1440" s="78"/>
      <c r="L1440" s="57"/>
      <c r="M1440" s="57"/>
    </row>
    <row r="1441" spans="1:13" ht="15" customHeight="1">
      <c r="A1441" s="73"/>
      <c r="B1441" s="2"/>
      <c r="C1441" s="2"/>
      <c r="D1441" s="2"/>
      <c r="E1441" s="4"/>
      <c r="F1441" s="4"/>
      <c r="G1441" s="4"/>
      <c r="H1441" s="61"/>
      <c r="I1441" s="62"/>
      <c r="J1441" s="62"/>
      <c r="K1441" s="78"/>
      <c r="L1441" s="57"/>
      <c r="M1441" s="57"/>
    </row>
    <row r="1442" spans="1:13" ht="15" customHeight="1">
      <c r="A1442" s="73"/>
      <c r="B1442" s="2"/>
      <c r="C1442" s="2"/>
      <c r="D1442" s="2"/>
      <c r="E1442" s="4"/>
      <c r="F1442" s="4"/>
      <c r="G1442" s="4"/>
      <c r="H1442" s="61"/>
      <c r="I1442" s="62"/>
      <c r="J1442" s="62"/>
      <c r="K1442" s="78"/>
      <c r="L1442" s="57"/>
      <c r="M1442" s="57"/>
    </row>
    <row r="1443" spans="1:13" ht="15" customHeight="1">
      <c r="A1443" s="73"/>
      <c r="B1443" s="2"/>
      <c r="C1443" s="2"/>
      <c r="D1443" s="2"/>
      <c r="E1443" s="4"/>
      <c r="F1443" s="4"/>
      <c r="G1443" s="4"/>
      <c r="H1443" s="61"/>
      <c r="I1443" s="62"/>
      <c r="J1443" s="62"/>
      <c r="K1443" s="78"/>
      <c r="L1443" s="57"/>
      <c r="M1443" s="57"/>
    </row>
    <row r="1444" spans="1:13" ht="15" customHeight="1">
      <c r="A1444" s="73"/>
      <c r="B1444" s="2"/>
      <c r="C1444" s="2"/>
      <c r="D1444" s="2"/>
      <c r="E1444" s="4"/>
      <c r="F1444" s="4"/>
      <c r="G1444" s="4"/>
      <c r="H1444" s="61"/>
      <c r="I1444" s="62"/>
      <c r="J1444" s="62"/>
      <c r="K1444" s="78"/>
      <c r="L1444" s="57"/>
      <c r="M1444" s="57"/>
    </row>
    <row r="1445" spans="1:13" ht="15" customHeight="1">
      <c r="A1445" s="73"/>
      <c r="B1445" s="2"/>
      <c r="C1445" s="2"/>
      <c r="D1445" s="2"/>
      <c r="E1445" s="4"/>
      <c r="F1445" s="4"/>
      <c r="G1445" s="4"/>
      <c r="H1445" s="61"/>
      <c r="I1445" s="62"/>
      <c r="J1445" s="62"/>
      <c r="K1445" s="78"/>
      <c r="L1445" s="57"/>
      <c r="M1445" s="57"/>
    </row>
    <row r="1446" spans="1:13" ht="15" customHeight="1">
      <c r="A1446" s="73"/>
      <c r="B1446" s="2"/>
      <c r="C1446" s="2"/>
      <c r="D1446" s="2"/>
      <c r="E1446" s="4"/>
      <c r="F1446" s="4"/>
      <c r="G1446" s="4"/>
      <c r="H1446" s="61"/>
      <c r="I1446" s="62"/>
      <c r="J1446" s="62"/>
      <c r="K1446" s="78"/>
      <c r="L1446" s="57"/>
      <c r="M1446" s="57"/>
    </row>
    <row r="1447" spans="1:13" ht="15" customHeight="1">
      <c r="A1447" s="73"/>
      <c r="B1447" s="2"/>
      <c r="C1447" s="2"/>
      <c r="D1447" s="2"/>
      <c r="E1447" s="4"/>
      <c r="F1447" s="4"/>
      <c r="G1447" s="4"/>
      <c r="H1447" s="61"/>
      <c r="I1447" s="62"/>
      <c r="J1447" s="62"/>
      <c r="K1447" s="78"/>
      <c r="L1447" s="57"/>
      <c r="M1447" s="57"/>
    </row>
    <row r="1448" spans="1:13" ht="15" customHeight="1">
      <c r="A1448" s="73"/>
      <c r="B1448" s="2"/>
      <c r="C1448" s="2"/>
      <c r="D1448" s="2"/>
      <c r="E1448" s="4"/>
      <c r="F1448" s="4"/>
      <c r="G1448" s="4"/>
      <c r="H1448" s="61"/>
      <c r="I1448" s="62"/>
      <c r="J1448" s="62"/>
      <c r="K1448" s="78"/>
      <c r="L1448" s="57"/>
      <c r="M1448" s="57"/>
    </row>
    <row r="1449" spans="1:13" ht="15" customHeight="1">
      <c r="A1449" s="73"/>
      <c r="B1449" s="2"/>
      <c r="C1449" s="2"/>
      <c r="D1449" s="2"/>
      <c r="E1449" s="4"/>
      <c r="F1449" s="4"/>
      <c r="G1449" s="4"/>
      <c r="H1449" s="61"/>
      <c r="I1449" s="62"/>
      <c r="J1449" s="62"/>
      <c r="K1449" s="78"/>
      <c r="L1449" s="57"/>
      <c r="M1449" s="57"/>
    </row>
    <row r="1450" spans="1:13" ht="15" customHeight="1">
      <c r="A1450" s="73"/>
      <c r="B1450" s="2"/>
      <c r="C1450" s="2"/>
      <c r="D1450" s="2"/>
      <c r="E1450" s="4"/>
      <c r="F1450" s="4"/>
      <c r="G1450" s="4"/>
      <c r="H1450" s="61"/>
      <c r="I1450" s="62"/>
      <c r="J1450" s="62"/>
      <c r="K1450" s="78"/>
      <c r="L1450" s="57"/>
      <c r="M1450" s="57"/>
    </row>
    <row r="1451" spans="1:13" ht="15" customHeight="1">
      <c r="A1451" s="73"/>
      <c r="B1451" s="2"/>
      <c r="C1451" s="2"/>
      <c r="D1451" s="2"/>
      <c r="E1451" s="4"/>
      <c r="F1451" s="4"/>
      <c r="G1451" s="4"/>
      <c r="H1451" s="61"/>
      <c r="I1451" s="62"/>
      <c r="J1451" s="62"/>
      <c r="K1451" s="78"/>
      <c r="L1451" s="57"/>
      <c r="M1451" s="57"/>
    </row>
    <row r="1452" spans="1:13" ht="15" customHeight="1">
      <c r="A1452" s="73"/>
      <c r="B1452" s="2"/>
      <c r="C1452" s="2"/>
      <c r="D1452" s="2"/>
      <c r="E1452" s="4"/>
      <c r="F1452" s="4"/>
      <c r="G1452" s="4"/>
      <c r="H1452" s="61"/>
      <c r="I1452" s="62"/>
      <c r="J1452" s="62"/>
      <c r="K1452" s="78"/>
      <c r="L1452" s="57"/>
      <c r="M1452" s="57"/>
    </row>
    <row r="1453" spans="1:13" ht="15" customHeight="1">
      <c r="A1453" s="73"/>
      <c r="B1453" s="2"/>
      <c r="C1453" s="2"/>
      <c r="D1453" s="2"/>
      <c r="E1453" s="4"/>
      <c r="F1453" s="4"/>
      <c r="G1453" s="4"/>
      <c r="H1453" s="61"/>
      <c r="I1453" s="62"/>
      <c r="J1453" s="62"/>
      <c r="K1453" s="78"/>
      <c r="L1453" s="57"/>
      <c r="M1453" s="57"/>
    </row>
    <row r="1454" spans="1:13" ht="15" customHeight="1">
      <c r="A1454" s="73"/>
      <c r="B1454" s="2"/>
      <c r="C1454" s="2"/>
      <c r="D1454" s="2"/>
      <c r="E1454" s="4"/>
      <c r="F1454" s="4"/>
      <c r="G1454" s="4"/>
      <c r="H1454" s="61"/>
      <c r="I1454" s="62"/>
      <c r="J1454" s="62"/>
      <c r="K1454" s="78"/>
      <c r="L1454" s="57"/>
      <c r="M1454" s="57"/>
    </row>
    <row r="1455" spans="1:13" ht="15" customHeight="1">
      <c r="A1455" s="73"/>
      <c r="B1455" s="2"/>
      <c r="C1455" s="2"/>
      <c r="D1455" s="2"/>
      <c r="E1455" s="4"/>
      <c r="F1455" s="4"/>
      <c r="G1455" s="4"/>
      <c r="H1455" s="61"/>
      <c r="I1455" s="62"/>
      <c r="J1455" s="62"/>
      <c r="K1455" s="78"/>
      <c r="L1455" s="57"/>
      <c r="M1455" s="57"/>
    </row>
    <row r="1456" spans="1:13" ht="15" customHeight="1">
      <c r="A1456" s="73"/>
      <c r="B1456" s="2"/>
      <c r="C1456" s="2"/>
      <c r="D1456" s="2"/>
      <c r="E1456" s="4"/>
      <c r="F1456" s="4"/>
      <c r="G1456" s="4"/>
      <c r="H1456" s="61"/>
      <c r="I1456" s="62"/>
      <c r="J1456" s="62"/>
      <c r="K1456" s="78"/>
      <c r="L1456" s="57"/>
      <c r="M1456" s="57"/>
    </row>
    <row r="1457" spans="1:13" ht="15" customHeight="1">
      <c r="A1457" s="73"/>
      <c r="B1457" s="2"/>
      <c r="C1457" s="2"/>
      <c r="D1457" s="2"/>
      <c r="E1457" s="4"/>
      <c r="F1457" s="4"/>
      <c r="G1457" s="4"/>
      <c r="H1457" s="61"/>
      <c r="I1457" s="62"/>
      <c r="J1457" s="62"/>
      <c r="K1457" s="78"/>
      <c r="L1457" s="57"/>
      <c r="M1457" s="57"/>
    </row>
    <row r="1458" spans="1:13" ht="15" customHeight="1">
      <c r="A1458" s="73"/>
      <c r="B1458" s="2"/>
      <c r="C1458" s="2"/>
      <c r="D1458" s="2"/>
      <c r="E1458" s="4"/>
      <c r="F1458" s="4"/>
      <c r="G1458" s="4"/>
      <c r="H1458" s="61"/>
      <c r="I1458" s="62"/>
      <c r="J1458" s="62"/>
      <c r="K1458" s="78"/>
      <c r="L1458" s="57"/>
      <c r="M1458" s="57"/>
    </row>
    <row r="1459" spans="1:13" ht="15" customHeight="1">
      <c r="A1459" s="73"/>
      <c r="B1459" s="2"/>
      <c r="C1459" s="2"/>
      <c r="D1459" s="2"/>
      <c r="E1459" s="4"/>
      <c r="F1459" s="4"/>
      <c r="G1459" s="4"/>
      <c r="H1459" s="61"/>
      <c r="I1459" s="62"/>
      <c r="J1459" s="62"/>
      <c r="K1459" s="78"/>
      <c r="L1459" s="57"/>
      <c r="M1459" s="57"/>
    </row>
    <row r="1460" spans="1:13" ht="15" customHeight="1">
      <c r="A1460" s="73"/>
      <c r="B1460" s="2"/>
      <c r="C1460" s="2"/>
      <c r="D1460" s="2"/>
      <c r="E1460" s="4"/>
      <c r="F1460" s="4"/>
      <c r="G1460" s="4"/>
      <c r="H1460" s="61"/>
      <c r="I1460" s="62"/>
      <c r="J1460" s="62"/>
      <c r="K1460" s="78"/>
      <c r="L1460" s="57"/>
      <c r="M1460" s="57"/>
    </row>
    <row r="1461" spans="1:13" ht="15" customHeight="1">
      <c r="A1461" s="73"/>
      <c r="B1461" s="2"/>
      <c r="C1461" s="2"/>
      <c r="D1461" s="2"/>
      <c r="E1461" s="4"/>
      <c r="F1461" s="4"/>
      <c r="G1461" s="4"/>
      <c r="H1461" s="61"/>
      <c r="I1461" s="62"/>
      <c r="J1461" s="62"/>
      <c r="K1461" s="78"/>
      <c r="L1461" s="57"/>
      <c r="M1461" s="57"/>
    </row>
    <row r="1462" spans="1:13" ht="15" customHeight="1">
      <c r="A1462" s="73"/>
      <c r="B1462" s="2"/>
      <c r="C1462" s="2"/>
      <c r="D1462" s="2"/>
      <c r="E1462" s="4"/>
      <c r="F1462" s="4"/>
      <c r="G1462" s="4"/>
      <c r="H1462" s="61"/>
      <c r="I1462" s="62"/>
      <c r="J1462" s="62"/>
      <c r="K1462" s="78"/>
      <c r="L1462" s="57"/>
      <c r="M1462" s="57"/>
    </row>
    <row r="1463" spans="1:13" ht="15" customHeight="1">
      <c r="A1463" s="73"/>
      <c r="B1463" s="2"/>
      <c r="C1463" s="2"/>
      <c r="D1463" s="2"/>
      <c r="E1463" s="4"/>
      <c r="F1463" s="4"/>
      <c r="G1463" s="4"/>
      <c r="H1463" s="61"/>
      <c r="I1463" s="62"/>
      <c r="J1463" s="62"/>
      <c r="K1463" s="78"/>
      <c r="L1463" s="57"/>
      <c r="M1463" s="57"/>
    </row>
    <row r="1464" spans="1:13" ht="15" customHeight="1">
      <c r="A1464" s="73"/>
      <c r="B1464" s="2"/>
      <c r="C1464" s="2"/>
      <c r="D1464" s="2"/>
      <c r="E1464" s="4"/>
      <c r="F1464" s="4"/>
      <c r="G1464" s="4"/>
      <c r="H1464" s="61"/>
      <c r="I1464" s="62"/>
      <c r="J1464" s="62"/>
      <c r="K1464" s="78"/>
      <c r="L1464" s="57"/>
      <c r="M1464" s="57"/>
    </row>
    <row r="1465" spans="1:13" ht="15" customHeight="1">
      <c r="A1465" s="73"/>
      <c r="B1465" s="2"/>
      <c r="C1465" s="2"/>
      <c r="D1465" s="2"/>
      <c r="E1465" s="4"/>
      <c r="F1465" s="4"/>
      <c r="G1465" s="4"/>
      <c r="H1465" s="61"/>
      <c r="I1465" s="62"/>
      <c r="J1465" s="62"/>
      <c r="K1465" s="78"/>
      <c r="L1465" s="57"/>
      <c r="M1465" s="57"/>
    </row>
    <row r="1466" spans="1:13" ht="15" customHeight="1">
      <c r="A1466" s="73"/>
      <c r="B1466" s="2"/>
      <c r="C1466" s="2"/>
      <c r="D1466" s="2"/>
      <c r="E1466" s="4"/>
      <c r="F1466" s="4"/>
      <c r="G1466" s="4"/>
      <c r="H1466" s="61"/>
      <c r="I1466" s="62"/>
      <c r="J1466" s="62"/>
      <c r="K1466" s="78"/>
      <c r="L1466" s="57"/>
      <c r="M1466" s="57"/>
    </row>
    <row r="1467" spans="1:13" ht="15" customHeight="1">
      <c r="A1467" s="73"/>
      <c r="B1467" s="2"/>
      <c r="C1467" s="2"/>
      <c r="D1467" s="2"/>
      <c r="E1467" s="4"/>
      <c r="F1467" s="4"/>
      <c r="G1467" s="4"/>
      <c r="H1467" s="61"/>
      <c r="I1467" s="62"/>
      <c r="J1467" s="62"/>
      <c r="K1467" s="78"/>
      <c r="L1467" s="57"/>
      <c r="M1467" s="57"/>
    </row>
    <row r="1468" spans="1:13" ht="15" customHeight="1">
      <c r="A1468" s="73"/>
      <c r="B1468" s="2"/>
      <c r="C1468" s="2"/>
      <c r="D1468" s="2"/>
      <c r="E1468" s="4"/>
      <c r="F1468" s="4"/>
      <c r="G1468" s="4"/>
      <c r="H1468" s="61"/>
      <c r="I1468" s="62"/>
      <c r="J1468" s="62"/>
      <c r="K1468" s="78"/>
      <c r="L1468" s="57"/>
      <c r="M1468" s="57"/>
    </row>
    <row r="1469" spans="1:13" ht="15" customHeight="1">
      <c r="A1469" s="73"/>
      <c r="B1469" s="2"/>
      <c r="C1469" s="2"/>
      <c r="D1469" s="2"/>
      <c r="E1469" s="4"/>
      <c r="F1469" s="4"/>
      <c r="G1469" s="4"/>
      <c r="H1469" s="61"/>
      <c r="I1469" s="62"/>
      <c r="J1469" s="62"/>
      <c r="K1469" s="78"/>
      <c r="L1469" s="57"/>
      <c r="M1469" s="57"/>
    </row>
    <row r="1470" spans="1:13" ht="15" customHeight="1">
      <c r="A1470" s="73"/>
      <c r="B1470" s="2"/>
      <c r="C1470" s="2"/>
      <c r="D1470" s="2"/>
      <c r="E1470" s="4"/>
      <c r="F1470" s="4"/>
      <c r="G1470" s="4"/>
      <c r="H1470" s="61"/>
      <c r="I1470" s="62"/>
      <c r="J1470" s="62"/>
      <c r="K1470" s="78"/>
      <c r="L1470" s="57"/>
      <c r="M1470" s="57"/>
    </row>
    <row r="1471" spans="1:13" ht="15" customHeight="1">
      <c r="A1471" s="73"/>
      <c r="B1471" s="2"/>
      <c r="C1471" s="2"/>
      <c r="D1471" s="2"/>
      <c r="E1471" s="4"/>
      <c r="F1471" s="4"/>
      <c r="G1471" s="4"/>
      <c r="H1471" s="61"/>
      <c r="I1471" s="62"/>
      <c r="J1471" s="62"/>
      <c r="K1471" s="78"/>
      <c r="L1471" s="57"/>
      <c r="M1471" s="57"/>
    </row>
    <row r="1472" spans="1:13" ht="15" customHeight="1">
      <c r="A1472" s="73"/>
      <c r="B1472" s="2"/>
      <c r="C1472" s="2"/>
      <c r="D1472" s="2"/>
      <c r="E1472" s="4"/>
      <c r="F1472" s="4"/>
      <c r="G1472" s="4"/>
      <c r="H1472" s="61"/>
      <c r="I1472" s="62"/>
      <c r="J1472" s="62"/>
      <c r="K1472" s="78"/>
      <c r="L1472" s="57"/>
      <c r="M1472" s="57"/>
    </row>
    <row r="1473" spans="1:13" ht="15" customHeight="1">
      <c r="A1473" s="73"/>
      <c r="B1473" s="2"/>
      <c r="C1473" s="2"/>
      <c r="D1473" s="2"/>
      <c r="E1473" s="4"/>
      <c r="F1473" s="4"/>
      <c r="G1473" s="4"/>
      <c r="H1473" s="61"/>
      <c r="I1473" s="62"/>
      <c r="J1473" s="62"/>
      <c r="K1473" s="78"/>
      <c r="L1473" s="57"/>
      <c r="M1473" s="57"/>
    </row>
    <row r="1474" spans="1:13" ht="15" customHeight="1">
      <c r="A1474" s="73"/>
      <c r="B1474" s="2"/>
      <c r="C1474" s="2"/>
      <c r="D1474" s="2"/>
      <c r="E1474" s="4"/>
      <c r="F1474" s="4"/>
      <c r="G1474" s="4"/>
      <c r="H1474" s="61"/>
      <c r="I1474" s="62"/>
      <c r="J1474" s="62"/>
      <c r="K1474" s="78"/>
      <c r="L1474" s="57"/>
      <c r="M1474" s="57"/>
    </row>
    <row r="1475" spans="1:13" ht="15" customHeight="1">
      <c r="A1475" s="73"/>
      <c r="B1475" s="2"/>
      <c r="C1475" s="2"/>
      <c r="D1475" s="2"/>
      <c r="E1475" s="4"/>
      <c r="F1475" s="4"/>
      <c r="G1475" s="4"/>
      <c r="H1475" s="61"/>
      <c r="I1475" s="62"/>
      <c r="J1475" s="62"/>
      <c r="K1475" s="78"/>
      <c r="L1475" s="57"/>
      <c r="M1475" s="57"/>
    </row>
    <row r="1476" spans="1:13" ht="15" customHeight="1">
      <c r="A1476" s="73"/>
      <c r="B1476" s="2"/>
      <c r="C1476" s="2"/>
      <c r="D1476" s="2"/>
      <c r="E1476" s="4"/>
      <c r="F1476" s="4"/>
      <c r="G1476" s="4"/>
      <c r="H1476" s="61"/>
      <c r="I1476" s="62"/>
      <c r="J1476" s="62"/>
      <c r="K1476" s="78"/>
      <c r="L1476" s="57"/>
      <c r="M1476" s="57"/>
    </row>
    <row r="1477" spans="1:13" ht="15" customHeight="1">
      <c r="A1477" s="73"/>
      <c r="B1477" s="2"/>
      <c r="C1477" s="2"/>
      <c r="D1477" s="2"/>
      <c r="E1477" s="4"/>
      <c r="F1477" s="4"/>
      <c r="G1477" s="4"/>
      <c r="H1477" s="61"/>
      <c r="I1477" s="62"/>
      <c r="J1477" s="62"/>
      <c r="K1477" s="78"/>
      <c r="L1477" s="57"/>
      <c r="M1477" s="57"/>
    </row>
    <row r="1478" spans="1:13" ht="15" customHeight="1">
      <c r="A1478" s="73"/>
      <c r="B1478" s="2"/>
      <c r="C1478" s="2"/>
      <c r="D1478" s="2"/>
      <c r="E1478" s="4"/>
      <c r="F1478" s="4"/>
      <c r="G1478" s="4"/>
      <c r="H1478" s="61"/>
      <c r="I1478" s="62"/>
      <c r="J1478" s="62"/>
      <c r="K1478" s="78"/>
      <c r="L1478" s="57"/>
      <c r="M1478" s="57"/>
    </row>
    <row r="1479" spans="1:13" ht="15" customHeight="1">
      <c r="A1479" s="73"/>
      <c r="B1479" s="2"/>
      <c r="C1479" s="2"/>
      <c r="D1479" s="2"/>
      <c r="E1479" s="4"/>
      <c r="F1479" s="4"/>
      <c r="G1479" s="4"/>
      <c r="H1479" s="61"/>
      <c r="I1479" s="62"/>
      <c r="J1479" s="62"/>
      <c r="K1479" s="78"/>
      <c r="L1479" s="57"/>
      <c r="M1479" s="57"/>
    </row>
    <row r="1480" spans="1:13" ht="15" customHeight="1">
      <c r="A1480" s="73"/>
      <c r="B1480" s="2"/>
      <c r="C1480" s="2"/>
      <c r="D1480" s="2"/>
      <c r="E1480" s="4"/>
      <c r="F1480" s="4"/>
      <c r="G1480" s="4"/>
      <c r="H1480" s="61"/>
      <c r="I1480" s="62"/>
      <c r="J1480" s="62"/>
      <c r="K1480" s="78"/>
      <c r="L1480" s="57"/>
      <c r="M1480" s="57"/>
    </row>
    <row r="1481" spans="1:13" ht="15" customHeight="1">
      <c r="A1481" s="73"/>
      <c r="B1481" s="2"/>
      <c r="C1481" s="2"/>
      <c r="D1481" s="2"/>
      <c r="E1481" s="4"/>
      <c r="F1481" s="4"/>
      <c r="G1481" s="4"/>
      <c r="H1481" s="61"/>
      <c r="I1481" s="62"/>
      <c r="J1481" s="62"/>
      <c r="K1481" s="78"/>
      <c r="L1481" s="57"/>
      <c r="M1481" s="57"/>
    </row>
    <row r="1482" spans="1:13" ht="15" customHeight="1">
      <c r="A1482" s="73"/>
      <c r="B1482" s="2"/>
      <c r="C1482" s="2"/>
      <c r="D1482" s="2"/>
      <c r="E1482" s="4"/>
      <c r="F1482" s="4"/>
      <c r="G1482" s="4"/>
      <c r="H1482" s="61"/>
      <c r="I1482" s="62"/>
      <c r="J1482" s="62"/>
      <c r="K1482" s="78"/>
      <c r="L1482" s="57"/>
      <c r="M1482" s="57"/>
    </row>
    <row r="1483" spans="1:13" ht="15" customHeight="1">
      <c r="A1483" s="73"/>
      <c r="B1483" s="2"/>
      <c r="C1483" s="2"/>
      <c r="D1483" s="2"/>
      <c r="E1483" s="4"/>
      <c r="F1483" s="4"/>
      <c r="G1483" s="4"/>
      <c r="H1483" s="61"/>
      <c r="I1483" s="62"/>
      <c r="J1483" s="62"/>
      <c r="K1483" s="78"/>
      <c r="L1483" s="57"/>
      <c r="M1483" s="57"/>
    </row>
    <row r="1484" spans="1:13" ht="15" customHeight="1">
      <c r="A1484" s="73"/>
      <c r="B1484" s="2"/>
      <c r="C1484" s="2"/>
      <c r="D1484" s="2"/>
      <c r="E1484" s="4"/>
      <c r="F1484" s="4"/>
      <c r="G1484" s="4"/>
      <c r="H1484" s="61"/>
      <c r="I1484" s="62"/>
      <c r="J1484" s="62"/>
      <c r="K1484" s="78"/>
      <c r="L1484" s="57"/>
      <c r="M1484" s="57"/>
    </row>
    <row r="1485" spans="1:13" ht="15" customHeight="1">
      <c r="A1485" s="73"/>
      <c r="B1485" s="2"/>
      <c r="C1485" s="2"/>
      <c r="D1485" s="2"/>
      <c r="E1485" s="4"/>
      <c r="F1485" s="4"/>
      <c r="G1485" s="4"/>
      <c r="H1485" s="61"/>
      <c r="I1485" s="62"/>
      <c r="J1485" s="62"/>
      <c r="K1485" s="78"/>
      <c r="L1485" s="57"/>
      <c r="M1485" s="57"/>
    </row>
    <row r="1486" spans="1:13" ht="15" customHeight="1">
      <c r="A1486" s="73"/>
      <c r="B1486" s="2"/>
      <c r="C1486" s="2"/>
      <c r="D1486" s="2"/>
      <c r="E1486" s="4"/>
      <c r="F1486" s="4"/>
      <c r="G1486" s="4"/>
      <c r="H1486" s="61"/>
      <c r="I1486" s="62"/>
      <c r="J1486" s="62"/>
      <c r="K1486" s="78"/>
      <c r="L1486" s="57"/>
      <c r="M1486" s="57"/>
    </row>
    <row r="1487" spans="1:13" ht="15" customHeight="1">
      <c r="A1487" s="73"/>
      <c r="B1487" s="2"/>
      <c r="C1487" s="2"/>
      <c r="D1487" s="2"/>
      <c r="E1487" s="4"/>
      <c r="F1487" s="4"/>
      <c r="G1487" s="4"/>
      <c r="H1487" s="61"/>
      <c r="I1487" s="62"/>
      <c r="J1487" s="62"/>
      <c r="K1487" s="78"/>
      <c r="L1487" s="57"/>
      <c r="M1487" s="57"/>
    </row>
    <row r="1488" spans="1:13" ht="15" customHeight="1">
      <c r="A1488" s="73"/>
      <c r="B1488" s="2"/>
      <c r="C1488" s="2"/>
      <c r="D1488" s="2"/>
      <c r="E1488" s="4"/>
      <c r="F1488" s="4"/>
      <c r="G1488" s="4"/>
      <c r="H1488" s="61"/>
      <c r="I1488" s="62"/>
      <c r="J1488" s="62"/>
      <c r="K1488" s="78"/>
      <c r="L1488" s="57"/>
      <c r="M1488" s="57"/>
    </row>
    <row r="1489" spans="1:13" ht="15" customHeight="1">
      <c r="A1489" s="73"/>
      <c r="B1489" s="2"/>
      <c r="C1489" s="2"/>
      <c r="D1489" s="2"/>
      <c r="E1489" s="4"/>
      <c r="F1489" s="4"/>
      <c r="G1489" s="4"/>
      <c r="H1489" s="61"/>
      <c r="I1489" s="62"/>
      <c r="J1489" s="62"/>
      <c r="K1489" s="78"/>
      <c r="L1489" s="57"/>
      <c r="M1489" s="57"/>
    </row>
    <row r="1490" spans="1:13" ht="15" customHeight="1">
      <c r="A1490" s="73"/>
      <c r="B1490" s="2"/>
      <c r="C1490" s="2"/>
      <c r="D1490" s="2"/>
      <c r="E1490" s="4"/>
      <c r="F1490" s="4"/>
      <c r="G1490" s="4"/>
      <c r="H1490" s="61"/>
      <c r="I1490" s="62"/>
      <c r="J1490" s="62"/>
      <c r="K1490" s="78"/>
      <c r="L1490" s="57"/>
      <c r="M1490" s="57"/>
    </row>
    <row r="1491" spans="1:13" ht="15" customHeight="1">
      <c r="A1491" s="73"/>
      <c r="B1491" s="2"/>
      <c r="C1491" s="2"/>
      <c r="D1491" s="2"/>
      <c r="E1491" s="4"/>
      <c r="F1491" s="4"/>
      <c r="G1491" s="4"/>
      <c r="H1491" s="61"/>
      <c r="I1491" s="62"/>
      <c r="J1491" s="62"/>
      <c r="K1491" s="78"/>
      <c r="L1491" s="57"/>
      <c r="M1491" s="57"/>
    </row>
    <row r="1492" spans="1:13" ht="15" customHeight="1">
      <c r="A1492" s="73"/>
      <c r="B1492" s="2"/>
      <c r="C1492" s="2"/>
      <c r="D1492" s="2"/>
      <c r="E1492" s="4"/>
      <c r="F1492" s="4"/>
      <c r="G1492" s="4"/>
      <c r="H1492" s="61"/>
      <c r="I1492" s="62"/>
      <c r="J1492" s="62"/>
      <c r="K1492" s="78"/>
      <c r="L1492" s="57"/>
      <c r="M1492" s="57"/>
    </row>
    <row r="1493" spans="1:13" ht="15" customHeight="1">
      <c r="A1493" s="73"/>
      <c r="B1493" s="2"/>
      <c r="C1493" s="2"/>
      <c r="D1493" s="2"/>
      <c r="E1493" s="4"/>
      <c r="F1493" s="4"/>
      <c r="G1493" s="4"/>
      <c r="H1493" s="61"/>
      <c r="I1493" s="62"/>
      <c r="J1493" s="62"/>
      <c r="K1493" s="78"/>
      <c r="L1493" s="57"/>
      <c r="M1493" s="57"/>
    </row>
    <row r="1494" spans="1:13" ht="15" customHeight="1">
      <c r="A1494" s="73"/>
      <c r="B1494" s="2"/>
      <c r="C1494" s="2"/>
      <c r="D1494" s="2"/>
      <c r="E1494" s="4"/>
      <c r="F1494" s="4"/>
      <c r="G1494" s="4"/>
      <c r="H1494" s="61"/>
      <c r="I1494" s="62"/>
      <c r="J1494" s="62"/>
      <c r="K1494" s="78"/>
      <c r="L1494" s="57"/>
      <c r="M1494" s="57"/>
    </row>
    <row r="1495" spans="1:13" ht="15" customHeight="1">
      <c r="A1495" s="73"/>
      <c r="B1495" s="2"/>
      <c r="C1495" s="2"/>
      <c r="D1495" s="2"/>
      <c r="E1495" s="4"/>
      <c r="F1495" s="4"/>
      <c r="G1495" s="4"/>
      <c r="H1495" s="61"/>
      <c r="I1495" s="62"/>
      <c r="J1495" s="62"/>
      <c r="K1495" s="78"/>
      <c r="L1495" s="57"/>
      <c r="M1495" s="57"/>
    </row>
    <row r="1496" spans="1:13" ht="15" customHeight="1">
      <c r="A1496" s="73"/>
      <c r="B1496" s="2"/>
      <c r="C1496" s="2"/>
      <c r="D1496" s="2"/>
      <c r="E1496" s="4"/>
      <c r="F1496" s="4"/>
      <c r="G1496" s="4"/>
      <c r="H1496" s="61"/>
      <c r="I1496" s="62"/>
      <c r="J1496" s="62"/>
      <c r="K1496" s="78"/>
      <c r="L1496" s="57"/>
      <c r="M1496" s="57"/>
    </row>
    <row r="1497" spans="1:13" ht="15" customHeight="1">
      <c r="A1497" s="73"/>
      <c r="B1497" s="2"/>
      <c r="C1497" s="2"/>
      <c r="D1497" s="2"/>
      <c r="E1497" s="4"/>
      <c r="F1497" s="4"/>
      <c r="G1497" s="4"/>
      <c r="H1497" s="61"/>
      <c r="I1497" s="62"/>
      <c r="J1497" s="62"/>
      <c r="K1497" s="78"/>
      <c r="L1497" s="57"/>
      <c r="M1497" s="57"/>
    </row>
    <row r="1498" spans="1:13" ht="15" customHeight="1">
      <c r="A1498" s="73"/>
      <c r="B1498" s="2"/>
      <c r="C1498" s="2"/>
      <c r="D1498" s="2"/>
      <c r="E1498" s="4"/>
      <c r="F1498" s="4"/>
      <c r="G1498" s="4"/>
      <c r="H1498" s="61"/>
      <c r="I1498" s="62"/>
      <c r="J1498" s="62"/>
      <c r="K1498" s="78"/>
      <c r="L1498" s="57"/>
      <c r="M1498" s="57"/>
    </row>
    <row r="1499" spans="1:13" ht="15" customHeight="1">
      <c r="A1499" s="73"/>
      <c r="B1499" s="2"/>
      <c r="C1499" s="2"/>
      <c r="D1499" s="2"/>
      <c r="E1499" s="4"/>
      <c r="F1499" s="4"/>
      <c r="G1499" s="4"/>
      <c r="H1499" s="61"/>
      <c r="I1499" s="62"/>
      <c r="J1499" s="62"/>
      <c r="K1499" s="78"/>
      <c r="L1499" s="57"/>
      <c r="M1499" s="57"/>
    </row>
    <row r="1500" spans="1:13" ht="15" customHeight="1">
      <c r="A1500" s="73"/>
      <c r="B1500" s="2"/>
      <c r="C1500" s="2"/>
      <c r="D1500" s="2"/>
      <c r="E1500" s="4"/>
      <c r="F1500" s="4"/>
      <c r="G1500" s="4"/>
      <c r="H1500" s="61"/>
      <c r="I1500" s="62"/>
      <c r="J1500" s="62"/>
      <c r="K1500" s="78"/>
      <c r="L1500" s="57"/>
      <c r="M1500" s="57"/>
    </row>
    <row r="1501" spans="1:13" ht="15" customHeight="1">
      <c r="A1501" s="73"/>
      <c r="B1501" s="2"/>
      <c r="C1501" s="2"/>
      <c r="D1501" s="2"/>
      <c r="E1501" s="4"/>
      <c r="F1501" s="4"/>
      <c r="G1501" s="4"/>
      <c r="H1501" s="61"/>
      <c r="I1501" s="62"/>
      <c r="J1501" s="62"/>
      <c r="K1501" s="78"/>
      <c r="L1501" s="57"/>
      <c r="M1501" s="57"/>
    </row>
    <row r="1502" spans="1:13" ht="15" customHeight="1">
      <c r="A1502" s="73"/>
      <c r="B1502" s="2"/>
      <c r="C1502" s="2"/>
      <c r="D1502" s="2"/>
      <c r="E1502" s="4"/>
      <c r="F1502" s="4"/>
      <c r="G1502" s="4"/>
      <c r="H1502" s="61"/>
      <c r="I1502" s="62"/>
      <c r="J1502" s="62"/>
      <c r="K1502" s="78"/>
      <c r="L1502" s="57"/>
      <c r="M1502" s="57"/>
    </row>
    <row r="1503" spans="1:13" ht="15" customHeight="1">
      <c r="A1503" s="73"/>
      <c r="B1503" s="2"/>
      <c r="C1503" s="2"/>
      <c r="D1503" s="2"/>
      <c r="E1503" s="4"/>
      <c r="F1503" s="4"/>
      <c r="G1503" s="4"/>
      <c r="H1503" s="61"/>
      <c r="I1503" s="62"/>
      <c r="J1503" s="62"/>
      <c r="K1503" s="78"/>
      <c r="L1503" s="57"/>
      <c r="M1503" s="57"/>
    </row>
    <row r="1504" spans="1:13" ht="15" customHeight="1">
      <c r="A1504" s="73"/>
      <c r="B1504" s="2"/>
      <c r="C1504" s="2"/>
      <c r="D1504" s="2"/>
      <c r="E1504" s="4"/>
      <c r="F1504" s="4"/>
      <c r="G1504" s="4"/>
      <c r="H1504" s="61"/>
      <c r="I1504" s="62"/>
      <c r="J1504" s="62"/>
      <c r="K1504" s="78"/>
      <c r="L1504" s="57"/>
      <c r="M1504" s="57"/>
    </row>
    <row r="1505" spans="1:13" ht="15" customHeight="1">
      <c r="A1505" s="73"/>
      <c r="B1505" s="2"/>
      <c r="C1505" s="2"/>
      <c r="D1505" s="2"/>
      <c r="E1505" s="4"/>
      <c r="F1505" s="4"/>
      <c r="G1505" s="4"/>
      <c r="H1505" s="61"/>
      <c r="I1505" s="62"/>
      <c r="J1505" s="62"/>
      <c r="K1505" s="78"/>
      <c r="L1505" s="57"/>
      <c r="M1505" s="57"/>
    </row>
    <row r="1506" spans="1:13" ht="15" customHeight="1">
      <c r="A1506" s="73"/>
      <c r="B1506" s="2"/>
      <c r="C1506" s="2"/>
      <c r="D1506" s="2"/>
      <c r="E1506" s="4"/>
      <c r="F1506" s="4"/>
      <c r="G1506" s="4"/>
      <c r="H1506" s="61"/>
      <c r="I1506" s="62"/>
      <c r="J1506" s="62"/>
      <c r="K1506" s="78"/>
      <c r="L1506" s="57"/>
      <c r="M1506" s="57"/>
    </row>
    <row r="1507" spans="1:13" ht="15" customHeight="1">
      <c r="A1507" s="73"/>
      <c r="B1507" s="2"/>
      <c r="C1507" s="2"/>
      <c r="D1507" s="2"/>
      <c r="E1507" s="4"/>
      <c r="F1507" s="4"/>
      <c r="G1507" s="4"/>
      <c r="H1507" s="61"/>
      <c r="I1507" s="62"/>
      <c r="J1507" s="62"/>
      <c r="K1507" s="78"/>
      <c r="L1507" s="57"/>
      <c r="M1507" s="57"/>
    </row>
    <row r="1508" spans="1:13" ht="15" customHeight="1">
      <c r="A1508" s="73"/>
      <c r="B1508" s="2"/>
      <c r="C1508" s="2"/>
      <c r="D1508" s="2"/>
      <c r="E1508" s="4"/>
      <c r="F1508" s="4"/>
      <c r="G1508" s="4"/>
      <c r="H1508" s="61"/>
      <c r="I1508" s="62"/>
      <c r="J1508" s="62"/>
      <c r="K1508" s="78"/>
      <c r="L1508" s="57"/>
      <c r="M1508" s="57"/>
    </row>
    <row r="1509" spans="1:13" ht="15" customHeight="1">
      <c r="A1509" s="73"/>
      <c r="B1509" s="2"/>
      <c r="C1509" s="2"/>
      <c r="D1509" s="2"/>
      <c r="E1509" s="4"/>
      <c r="F1509" s="4"/>
      <c r="G1509" s="4"/>
      <c r="H1509" s="61"/>
      <c r="I1509" s="62"/>
      <c r="J1509" s="62"/>
      <c r="K1509" s="78"/>
      <c r="L1509" s="57"/>
      <c r="M1509" s="57"/>
    </row>
    <row r="1510" spans="1:13" ht="15" customHeight="1">
      <c r="A1510" s="73"/>
      <c r="B1510" s="2"/>
      <c r="C1510" s="2"/>
      <c r="D1510" s="2"/>
      <c r="E1510" s="4"/>
      <c r="F1510" s="4"/>
      <c r="G1510" s="4"/>
      <c r="H1510" s="61"/>
      <c r="I1510" s="62"/>
      <c r="J1510" s="62"/>
      <c r="K1510" s="78"/>
      <c r="L1510" s="57"/>
      <c r="M1510" s="57"/>
    </row>
    <row r="1511" spans="1:13" ht="15" customHeight="1">
      <c r="A1511" s="73"/>
      <c r="B1511" s="2"/>
      <c r="C1511" s="2"/>
      <c r="D1511" s="2"/>
      <c r="E1511" s="4"/>
      <c r="F1511" s="4"/>
      <c r="G1511" s="4"/>
      <c r="H1511" s="61"/>
      <c r="I1511" s="62"/>
      <c r="J1511" s="62"/>
      <c r="K1511" s="78"/>
      <c r="L1511" s="57"/>
      <c r="M1511" s="57"/>
    </row>
    <row r="1512" spans="1:13" ht="15" customHeight="1">
      <c r="A1512" s="73"/>
      <c r="B1512" s="2"/>
      <c r="C1512" s="2"/>
      <c r="D1512" s="2"/>
      <c r="E1512" s="4"/>
      <c r="F1512" s="4"/>
      <c r="G1512" s="4"/>
      <c r="H1512" s="61"/>
      <c r="I1512" s="62"/>
      <c r="J1512" s="62"/>
      <c r="K1512" s="78"/>
      <c r="L1512" s="57"/>
      <c r="M1512" s="57"/>
    </row>
    <row r="1513" spans="1:13" ht="15" customHeight="1">
      <c r="A1513" s="73"/>
      <c r="B1513" s="2"/>
      <c r="C1513" s="2"/>
      <c r="D1513" s="2"/>
      <c r="E1513" s="4"/>
      <c r="F1513" s="4"/>
      <c r="G1513" s="4"/>
      <c r="H1513" s="61"/>
      <c r="I1513" s="62"/>
      <c r="J1513" s="62"/>
      <c r="K1513" s="78"/>
      <c r="L1513" s="57"/>
      <c r="M1513" s="57"/>
    </row>
    <row r="1514" spans="1:13" ht="15" customHeight="1">
      <c r="A1514" s="73"/>
      <c r="B1514" s="2"/>
      <c r="C1514" s="2"/>
      <c r="D1514" s="2"/>
      <c r="E1514" s="4"/>
      <c r="F1514" s="4"/>
      <c r="G1514" s="4"/>
      <c r="H1514" s="61"/>
      <c r="I1514" s="62"/>
      <c r="J1514" s="62"/>
      <c r="K1514" s="78"/>
      <c r="L1514" s="57"/>
      <c r="M1514" s="57"/>
    </row>
    <row r="1515" spans="1:13" ht="15" customHeight="1">
      <c r="A1515" s="73"/>
      <c r="B1515" s="2"/>
      <c r="C1515" s="2"/>
      <c r="D1515" s="2"/>
      <c r="E1515" s="4"/>
      <c r="F1515" s="4"/>
      <c r="G1515" s="4"/>
      <c r="H1515" s="61"/>
      <c r="I1515" s="62"/>
      <c r="J1515" s="62"/>
      <c r="K1515" s="78"/>
      <c r="L1515" s="57"/>
      <c r="M1515" s="57"/>
    </row>
    <row r="1516" spans="1:13" ht="15" customHeight="1">
      <c r="A1516" s="73"/>
      <c r="B1516" s="2"/>
      <c r="C1516" s="2"/>
      <c r="D1516" s="2"/>
      <c r="E1516" s="4"/>
      <c r="F1516" s="4"/>
      <c r="G1516" s="4"/>
      <c r="H1516" s="61"/>
      <c r="I1516" s="62"/>
      <c r="J1516" s="62"/>
      <c r="K1516" s="78"/>
      <c r="L1516" s="57"/>
      <c r="M1516" s="57"/>
    </row>
    <row r="1517" spans="1:13" ht="15" customHeight="1">
      <c r="A1517" s="73"/>
      <c r="B1517" s="2"/>
      <c r="C1517" s="2"/>
      <c r="D1517" s="2"/>
      <c r="E1517" s="4"/>
      <c r="F1517" s="4"/>
      <c r="G1517" s="4"/>
      <c r="H1517" s="61"/>
      <c r="I1517" s="62"/>
      <c r="J1517" s="62"/>
      <c r="K1517" s="78"/>
      <c r="L1517" s="57"/>
      <c r="M1517" s="57"/>
    </row>
    <row r="1518" spans="1:13" ht="15" customHeight="1">
      <c r="A1518" s="73"/>
      <c r="B1518" s="2"/>
      <c r="C1518" s="2"/>
      <c r="D1518" s="2"/>
      <c r="E1518" s="4"/>
      <c r="F1518" s="4"/>
      <c r="G1518" s="4"/>
      <c r="H1518" s="61"/>
      <c r="I1518" s="62"/>
      <c r="J1518" s="62"/>
      <c r="K1518" s="78"/>
      <c r="L1518" s="57"/>
      <c r="M1518" s="57"/>
    </row>
    <row r="1519" spans="1:13" ht="15" customHeight="1">
      <c r="A1519" s="73"/>
      <c r="B1519" s="2"/>
      <c r="C1519" s="2"/>
      <c r="D1519" s="2"/>
      <c r="E1519" s="4"/>
      <c r="F1519" s="4"/>
      <c r="G1519" s="4"/>
      <c r="H1519" s="61"/>
      <c r="I1519" s="62"/>
      <c r="J1519" s="62"/>
      <c r="K1519" s="78"/>
      <c r="L1519" s="57"/>
      <c r="M1519" s="57"/>
    </row>
    <row r="1520" spans="1:13" ht="15" customHeight="1">
      <c r="A1520" s="73"/>
      <c r="B1520" s="2"/>
      <c r="C1520" s="2"/>
      <c r="D1520" s="2"/>
      <c r="E1520" s="4"/>
      <c r="F1520" s="4"/>
      <c r="G1520" s="4"/>
      <c r="H1520" s="61"/>
      <c r="I1520" s="62"/>
      <c r="J1520" s="62"/>
      <c r="K1520" s="78"/>
      <c r="L1520" s="57"/>
      <c r="M1520" s="57"/>
    </row>
    <row r="1521" spans="1:13" ht="15" customHeight="1">
      <c r="A1521" s="73"/>
      <c r="B1521" s="2"/>
      <c r="C1521" s="2"/>
      <c r="D1521" s="2"/>
      <c r="E1521" s="4"/>
      <c r="F1521" s="4"/>
      <c r="G1521" s="4"/>
      <c r="H1521" s="61"/>
      <c r="I1521" s="62"/>
      <c r="J1521" s="62"/>
      <c r="K1521" s="78"/>
      <c r="L1521" s="57"/>
      <c r="M1521" s="57"/>
    </row>
    <row r="1522" spans="1:13" ht="15" customHeight="1">
      <c r="A1522" s="73"/>
      <c r="B1522" s="2"/>
      <c r="C1522" s="2"/>
      <c r="D1522" s="2"/>
      <c r="E1522" s="4"/>
      <c r="F1522" s="4"/>
      <c r="G1522" s="4"/>
      <c r="H1522" s="61"/>
      <c r="I1522" s="62"/>
      <c r="J1522" s="62"/>
      <c r="K1522" s="78"/>
      <c r="L1522" s="57"/>
      <c r="M1522" s="57"/>
    </row>
    <row r="1523" spans="1:13" ht="15" customHeight="1">
      <c r="A1523" s="73"/>
      <c r="B1523" s="2"/>
      <c r="C1523" s="2"/>
      <c r="D1523" s="2"/>
      <c r="E1523" s="4"/>
      <c r="F1523" s="4"/>
      <c r="G1523" s="4"/>
      <c r="H1523" s="61"/>
      <c r="I1523" s="62"/>
      <c r="J1523" s="62"/>
      <c r="K1523" s="78"/>
      <c r="L1523" s="57"/>
      <c r="M1523" s="57"/>
    </row>
    <row r="1524" spans="1:13" ht="15" customHeight="1">
      <c r="A1524" s="73"/>
      <c r="B1524" s="2"/>
      <c r="C1524" s="2"/>
      <c r="D1524" s="2"/>
      <c r="E1524" s="4"/>
      <c r="F1524" s="4"/>
      <c r="G1524" s="4"/>
      <c r="H1524" s="61"/>
      <c r="I1524" s="62"/>
      <c r="J1524" s="62"/>
      <c r="K1524" s="78"/>
      <c r="L1524" s="57"/>
      <c r="M1524" s="57"/>
    </row>
    <row r="1525" spans="1:13" ht="15" customHeight="1">
      <c r="A1525" s="73"/>
      <c r="B1525" s="2"/>
      <c r="C1525" s="2"/>
      <c r="D1525" s="2"/>
      <c r="E1525" s="4"/>
      <c r="F1525" s="4"/>
      <c r="G1525" s="4"/>
      <c r="H1525" s="61"/>
      <c r="I1525" s="62"/>
      <c r="J1525" s="62"/>
      <c r="K1525" s="78"/>
      <c r="L1525" s="57"/>
      <c r="M1525" s="57"/>
    </row>
    <row r="1526" spans="1:13" ht="15" customHeight="1">
      <c r="A1526" s="73"/>
      <c r="B1526" s="2"/>
      <c r="C1526" s="2"/>
      <c r="D1526" s="2"/>
      <c r="E1526" s="4"/>
      <c r="F1526" s="4"/>
      <c r="G1526" s="4"/>
      <c r="H1526" s="61"/>
      <c r="I1526" s="62"/>
      <c r="J1526" s="62"/>
      <c r="K1526" s="78"/>
      <c r="L1526" s="57"/>
      <c r="M1526" s="57"/>
    </row>
    <row r="1527" spans="1:13" ht="15" customHeight="1">
      <c r="A1527" s="73"/>
      <c r="B1527" s="2"/>
      <c r="C1527" s="2"/>
      <c r="D1527" s="2"/>
      <c r="E1527" s="4"/>
      <c r="F1527" s="4"/>
      <c r="G1527" s="4"/>
      <c r="H1527" s="61"/>
      <c r="I1527" s="62"/>
      <c r="J1527" s="62"/>
      <c r="K1527" s="78"/>
      <c r="L1527" s="57"/>
      <c r="M1527" s="57"/>
    </row>
    <row r="1528" spans="1:13" ht="15" customHeight="1">
      <c r="A1528" s="73"/>
      <c r="B1528" s="2"/>
      <c r="C1528" s="2"/>
      <c r="D1528" s="2"/>
      <c r="E1528" s="4"/>
      <c r="F1528" s="4"/>
      <c r="G1528" s="4"/>
      <c r="H1528" s="61"/>
      <c r="I1528" s="62"/>
      <c r="J1528" s="62"/>
      <c r="K1528" s="78"/>
      <c r="L1528" s="57"/>
      <c r="M1528" s="57"/>
    </row>
    <row r="1529" spans="1:13" ht="15" customHeight="1">
      <c r="A1529" s="73"/>
      <c r="B1529" s="2"/>
      <c r="C1529" s="2"/>
      <c r="D1529" s="2"/>
      <c r="E1529" s="4"/>
      <c r="F1529" s="4"/>
      <c r="G1529" s="4"/>
      <c r="H1529" s="61"/>
      <c r="I1529" s="62"/>
      <c r="J1529" s="62"/>
      <c r="K1529" s="78"/>
      <c r="L1529" s="57"/>
      <c r="M1529" s="57"/>
    </row>
    <row r="1530" spans="1:13" ht="15" customHeight="1">
      <c r="A1530" s="73"/>
      <c r="B1530" s="2"/>
      <c r="C1530" s="2"/>
      <c r="D1530" s="2"/>
      <c r="E1530" s="4"/>
      <c r="F1530" s="4"/>
      <c r="G1530" s="4"/>
      <c r="H1530" s="61"/>
      <c r="I1530" s="62"/>
      <c r="J1530" s="62"/>
      <c r="K1530" s="78"/>
      <c r="L1530" s="57"/>
      <c r="M1530" s="57"/>
    </row>
    <row r="1531" spans="1:13" ht="15" customHeight="1">
      <c r="A1531" s="73"/>
      <c r="B1531" s="2"/>
      <c r="C1531" s="2"/>
      <c r="D1531" s="2"/>
      <c r="E1531" s="4"/>
      <c r="F1531" s="4"/>
      <c r="G1531" s="4"/>
      <c r="H1531" s="61"/>
      <c r="I1531" s="62"/>
      <c r="J1531" s="62"/>
      <c r="K1531" s="78"/>
      <c r="L1531" s="57"/>
      <c r="M1531" s="57"/>
    </row>
    <row r="1532" spans="1:13" ht="15" customHeight="1">
      <c r="A1532" s="73"/>
      <c r="B1532" s="2"/>
      <c r="C1532" s="2"/>
      <c r="D1532" s="2"/>
      <c r="E1532" s="4"/>
      <c r="F1532" s="4"/>
      <c r="G1532" s="4"/>
      <c r="H1532" s="61"/>
      <c r="I1532" s="62"/>
      <c r="J1532" s="62"/>
      <c r="K1532" s="78"/>
      <c r="L1532" s="57"/>
      <c r="M1532" s="57"/>
    </row>
    <row r="1533" spans="1:13" ht="15" customHeight="1">
      <c r="A1533" s="73"/>
      <c r="B1533" s="2"/>
      <c r="C1533" s="2"/>
      <c r="D1533" s="2"/>
      <c r="E1533" s="4"/>
      <c r="F1533" s="4"/>
      <c r="G1533" s="4"/>
      <c r="H1533" s="61"/>
      <c r="I1533" s="62"/>
      <c r="J1533" s="62"/>
      <c r="K1533" s="78"/>
      <c r="L1533" s="57"/>
      <c r="M1533" s="57"/>
    </row>
    <row r="1534" spans="1:13" ht="15" customHeight="1">
      <c r="A1534" s="73"/>
      <c r="B1534" s="2"/>
      <c r="C1534" s="2"/>
      <c r="D1534" s="2"/>
      <c r="E1534" s="4"/>
      <c r="F1534" s="4"/>
      <c r="G1534" s="4"/>
      <c r="H1534" s="61"/>
      <c r="I1534" s="62"/>
      <c r="J1534" s="62"/>
      <c r="K1534" s="78"/>
      <c r="L1534" s="57"/>
      <c r="M1534" s="57"/>
    </row>
    <row r="1535" spans="1:13" ht="15" customHeight="1">
      <c r="A1535" s="73"/>
      <c r="B1535" s="2"/>
      <c r="C1535" s="2"/>
      <c r="D1535" s="2"/>
      <c r="E1535" s="4"/>
      <c r="F1535" s="4"/>
      <c r="G1535" s="4"/>
      <c r="H1535" s="61"/>
      <c r="I1535" s="62"/>
      <c r="J1535" s="62"/>
      <c r="K1535" s="78"/>
      <c r="L1535" s="57"/>
      <c r="M1535" s="57"/>
    </row>
    <row r="1536" spans="1:13" ht="15" customHeight="1">
      <c r="A1536" s="73"/>
      <c r="B1536" s="2"/>
      <c r="C1536" s="2"/>
      <c r="D1536" s="2"/>
      <c r="E1536" s="4"/>
      <c r="F1536" s="4"/>
      <c r="G1536" s="4"/>
      <c r="H1536" s="61"/>
      <c r="I1536" s="62"/>
      <c r="J1536" s="62"/>
      <c r="K1536" s="78"/>
      <c r="L1536" s="57"/>
      <c r="M1536" s="57"/>
    </row>
    <row r="1537" spans="1:13" ht="15" customHeight="1">
      <c r="A1537" s="73"/>
      <c r="B1537" s="2"/>
      <c r="C1537" s="2"/>
      <c r="D1537" s="2"/>
      <c r="E1537" s="4"/>
      <c r="F1537" s="4"/>
      <c r="G1537" s="4"/>
      <c r="H1537" s="61"/>
      <c r="I1537" s="62"/>
      <c r="J1537" s="62"/>
      <c r="K1537" s="78"/>
      <c r="L1537" s="57"/>
      <c r="M1537" s="57"/>
    </row>
    <row r="1538" spans="1:13" ht="15" customHeight="1">
      <c r="A1538" s="73"/>
      <c r="B1538" s="2"/>
      <c r="C1538" s="2"/>
      <c r="D1538" s="2"/>
      <c r="E1538" s="4"/>
      <c r="F1538" s="4"/>
      <c r="G1538" s="4"/>
      <c r="H1538" s="61"/>
      <c r="I1538" s="62"/>
      <c r="J1538" s="62"/>
      <c r="K1538" s="78"/>
      <c r="L1538" s="57"/>
      <c r="M1538" s="57"/>
    </row>
    <row r="1539" spans="1:13" ht="15" customHeight="1">
      <c r="A1539" s="73"/>
      <c r="B1539" s="2"/>
      <c r="C1539" s="2"/>
      <c r="D1539" s="2"/>
      <c r="E1539" s="4"/>
      <c r="F1539" s="4"/>
      <c r="G1539" s="4"/>
      <c r="H1539" s="61"/>
      <c r="I1539" s="62"/>
      <c r="J1539" s="62"/>
      <c r="K1539" s="78"/>
      <c r="L1539" s="57"/>
      <c r="M1539" s="57"/>
    </row>
    <row r="1540" spans="1:13" ht="15" customHeight="1">
      <c r="A1540" s="73"/>
      <c r="B1540" s="2"/>
      <c r="C1540" s="2"/>
      <c r="D1540" s="2"/>
      <c r="E1540" s="4"/>
      <c r="F1540" s="4"/>
      <c r="G1540" s="4"/>
      <c r="H1540" s="61"/>
      <c r="I1540" s="62"/>
      <c r="J1540" s="62"/>
      <c r="K1540" s="78"/>
      <c r="L1540" s="57"/>
      <c r="M1540" s="57"/>
    </row>
    <row r="1541" spans="1:13" ht="15" customHeight="1">
      <c r="A1541" s="73"/>
      <c r="B1541" s="2"/>
      <c r="C1541" s="2"/>
      <c r="D1541" s="2"/>
      <c r="E1541" s="4"/>
      <c r="F1541" s="4"/>
      <c r="G1541" s="4"/>
      <c r="H1541" s="61"/>
      <c r="I1541" s="62"/>
      <c r="J1541" s="62"/>
      <c r="K1541" s="78"/>
      <c r="L1541" s="57"/>
      <c r="M1541" s="57"/>
    </row>
    <row r="1542" spans="1:13" ht="15" customHeight="1">
      <c r="A1542" s="73"/>
      <c r="B1542" s="2"/>
      <c r="C1542" s="2"/>
      <c r="D1542" s="2"/>
      <c r="E1542" s="4"/>
      <c r="F1542" s="4"/>
      <c r="G1542" s="4"/>
      <c r="H1542" s="61"/>
      <c r="I1542" s="62"/>
      <c r="J1542" s="62"/>
      <c r="K1542" s="78"/>
      <c r="L1542" s="57"/>
      <c r="M1542" s="57"/>
    </row>
    <row r="1543" spans="1:13" ht="15" customHeight="1">
      <c r="A1543" s="73"/>
      <c r="B1543" s="2"/>
      <c r="C1543" s="2"/>
      <c r="D1543" s="2"/>
      <c r="E1543" s="4"/>
      <c r="F1543" s="4"/>
      <c r="G1543" s="4"/>
      <c r="H1543" s="61"/>
      <c r="I1543" s="62"/>
      <c r="J1543" s="62"/>
      <c r="K1543" s="78"/>
      <c r="L1543" s="57"/>
      <c r="M1543" s="57"/>
    </row>
    <row r="1544" spans="1:13" ht="15" customHeight="1">
      <c r="A1544" s="73"/>
      <c r="B1544" s="2"/>
      <c r="C1544" s="2"/>
      <c r="D1544" s="2"/>
      <c r="E1544" s="4"/>
      <c r="F1544" s="4"/>
      <c r="G1544" s="4"/>
      <c r="H1544" s="61"/>
      <c r="I1544" s="62"/>
      <c r="J1544" s="62"/>
      <c r="K1544" s="78"/>
      <c r="L1544" s="57"/>
      <c r="M1544" s="57"/>
    </row>
    <row r="1545" spans="1:13" ht="15" customHeight="1">
      <c r="A1545" s="73"/>
      <c r="B1545" s="2"/>
      <c r="C1545" s="2"/>
      <c r="D1545" s="2"/>
      <c r="E1545" s="4"/>
      <c r="F1545" s="4"/>
      <c r="G1545" s="4"/>
      <c r="H1545" s="61"/>
      <c r="I1545" s="62"/>
      <c r="J1545" s="62"/>
      <c r="K1545" s="78"/>
      <c r="L1545" s="57"/>
      <c r="M1545" s="57"/>
    </row>
    <row r="1546" spans="1:13" ht="15" customHeight="1">
      <c r="A1546" s="73"/>
      <c r="B1546" s="2"/>
      <c r="C1546" s="2"/>
      <c r="D1546" s="2"/>
      <c r="E1546" s="4"/>
      <c r="F1546" s="4"/>
      <c r="G1546" s="4"/>
      <c r="H1546" s="61"/>
      <c r="I1546" s="62"/>
      <c r="J1546" s="62"/>
      <c r="K1546" s="78"/>
      <c r="L1546" s="57"/>
      <c r="M1546" s="57"/>
    </row>
    <row r="1547" spans="1:13" ht="15" customHeight="1">
      <c r="A1547" s="73"/>
      <c r="B1547" s="2"/>
      <c r="C1547" s="2"/>
      <c r="D1547" s="2"/>
      <c r="E1547" s="4"/>
      <c r="F1547" s="4"/>
      <c r="G1547" s="4"/>
      <c r="H1547" s="61"/>
      <c r="I1547" s="62"/>
      <c r="J1547" s="62"/>
      <c r="K1547" s="78"/>
      <c r="L1547" s="57"/>
      <c r="M1547" s="57"/>
    </row>
    <row r="1548" spans="1:13" ht="15" customHeight="1">
      <c r="A1548" s="73"/>
      <c r="B1548" s="2"/>
      <c r="C1548" s="2"/>
      <c r="D1548" s="2"/>
      <c r="E1548" s="4"/>
      <c r="F1548" s="4"/>
      <c r="G1548" s="4"/>
      <c r="H1548" s="61"/>
      <c r="I1548" s="62"/>
      <c r="J1548" s="62"/>
      <c r="K1548" s="78"/>
      <c r="L1548" s="57"/>
      <c r="M1548" s="57"/>
    </row>
    <row r="1549" spans="1:13" ht="15" customHeight="1">
      <c r="A1549" s="73"/>
      <c r="B1549" s="2"/>
      <c r="C1549" s="2"/>
      <c r="D1549" s="2"/>
      <c r="E1549" s="4"/>
      <c r="F1549" s="4"/>
      <c r="G1549" s="4"/>
      <c r="H1549" s="61"/>
      <c r="I1549" s="62"/>
      <c r="J1549" s="62"/>
      <c r="K1549" s="78"/>
      <c r="L1549" s="57"/>
      <c r="M1549" s="57"/>
    </row>
    <row r="1550" spans="1:13" ht="15" customHeight="1">
      <c r="A1550" s="73"/>
      <c r="B1550" s="2"/>
      <c r="C1550" s="2"/>
      <c r="D1550" s="2"/>
      <c r="E1550" s="4"/>
      <c r="F1550" s="4"/>
      <c r="G1550" s="4"/>
      <c r="H1550" s="61"/>
      <c r="I1550" s="62"/>
      <c r="J1550" s="62"/>
      <c r="K1550" s="78"/>
      <c r="L1550" s="57"/>
      <c r="M1550" s="57"/>
    </row>
    <row r="1551" spans="1:13" ht="15" customHeight="1">
      <c r="A1551" s="73"/>
      <c r="B1551" s="2"/>
      <c r="C1551" s="2"/>
      <c r="D1551" s="2"/>
      <c r="E1551" s="4"/>
      <c r="F1551" s="4"/>
      <c r="G1551" s="4"/>
      <c r="H1551" s="61"/>
      <c r="I1551" s="62"/>
      <c r="J1551" s="62"/>
      <c r="K1551" s="78"/>
      <c r="L1551" s="57"/>
      <c r="M1551" s="57"/>
    </row>
    <row r="1552" spans="1:13" ht="15" customHeight="1">
      <c r="A1552" s="73"/>
      <c r="B1552" s="2"/>
      <c r="C1552" s="2"/>
      <c r="D1552" s="2"/>
      <c r="E1552" s="4"/>
      <c r="F1552" s="4"/>
      <c r="G1552" s="4"/>
      <c r="H1552" s="61"/>
      <c r="I1552" s="62"/>
      <c r="J1552" s="62"/>
      <c r="K1552" s="78"/>
      <c r="L1552" s="57"/>
      <c r="M1552" s="57"/>
    </row>
    <row r="1553" spans="1:13" ht="15" customHeight="1">
      <c r="A1553" s="73"/>
      <c r="B1553" s="2"/>
      <c r="C1553" s="2"/>
      <c r="D1553" s="2"/>
      <c r="E1553" s="4"/>
      <c r="F1553" s="4"/>
      <c r="G1553" s="4"/>
      <c r="H1553" s="61"/>
      <c r="I1553" s="62"/>
      <c r="J1553" s="62"/>
      <c r="K1553" s="78"/>
      <c r="L1553" s="57"/>
      <c r="M1553" s="57"/>
    </row>
    <row r="1554" spans="1:13" ht="15" customHeight="1">
      <c r="A1554" s="73"/>
      <c r="B1554" s="2"/>
      <c r="C1554" s="2"/>
      <c r="D1554" s="2"/>
      <c r="E1554" s="4"/>
      <c r="F1554" s="4"/>
      <c r="G1554" s="4"/>
      <c r="H1554" s="61"/>
      <c r="I1554" s="62"/>
      <c r="J1554" s="62"/>
      <c r="K1554" s="78"/>
      <c r="L1554" s="57"/>
      <c r="M1554" s="57"/>
    </row>
    <row r="1555" spans="1:13" ht="15" customHeight="1">
      <c r="A1555" s="73"/>
      <c r="B1555" s="2"/>
      <c r="C1555" s="2"/>
      <c r="D1555" s="2"/>
      <c r="E1555" s="4"/>
      <c r="F1555" s="4"/>
      <c r="G1555" s="4"/>
      <c r="H1555" s="61"/>
      <c r="I1555" s="62"/>
      <c r="J1555" s="62"/>
      <c r="K1555" s="78"/>
      <c r="L1555" s="57"/>
      <c r="M1555" s="57"/>
    </row>
    <row r="1556" spans="1:13" ht="15" customHeight="1">
      <c r="A1556" s="73"/>
      <c r="B1556" s="2"/>
      <c r="C1556" s="2"/>
      <c r="D1556" s="2"/>
      <c r="E1556" s="4"/>
      <c r="F1556" s="4"/>
      <c r="G1556" s="4"/>
      <c r="H1556" s="61"/>
      <c r="I1556" s="62"/>
      <c r="J1556" s="62"/>
      <c r="K1556" s="78"/>
      <c r="L1556" s="57"/>
      <c r="M1556" s="57"/>
    </row>
    <row r="1557" spans="1:13" ht="15" customHeight="1">
      <c r="A1557" s="73"/>
      <c r="B1557" s="2"/>
      <c r="C1557" s="2"/>
      <c r="D1557" s="2"/>
      <c r="E1557" s="4"/>
      <c r="F1557" s="4"/>
      <c r="G1557" s="4"/>
      <c r="H1557" s="61"/>
      <c r="I1557" s="62"/>
      <c r="J1557" s="62"/>
      <c r="K1557" s="78"/>
      <c r="L1557" s="57"/>
      <c r="M1557" s="57"/>
    </row>
    <row r="1558" spans="1:13" ht="15" customHeight="1">
      <c r="A1558" s="73"/>
      <c r="B1558" s="2"/>
      <c r="C1558" s="2"/>
      <c r="D1558" s="2"/>
      <c r="E1558" s="4"/>
      <c r="F1558" s="4"/>
      <c r="G1558" s="4"/>
      <c r="H1558" s="61"/>
      <c r="I1558" s="62"/>
      <c r="J1558" s="62"/>
      <c r="K1558" s="78"/>
      <c r="L1558" s="57"/>
      <c r="M1558" s="57"/>
    </row>
    <row r="1559" spans="1:13" ht="15" customHeight="1">
      <c r="A1559" s="73"/>
      <c r="B1559" s="2"/>
      <c r="C1559" s="2"/>
      <c r="D1559" s="2"/>
      <c r="E1559" s="4"/>
      <c r="F1559" s="4"/>
      <c r="G1559" s="4"/>
      <c r="H1559" s="61"/>
      <c r="I1559" s="62"/>
      <c r="J1559" s="62"/>
      <c r="K1559" s="78"/>
      <c r="L1559" s="57"/>
      <c r="M1559" s="57"/>
    </row>
    <row r="1560" spans="1:13" ht="15" customHeight="1">
      <c r="A1560" s="73"/>
      <c r="B1560" s="2"/>
      <c r="C1560" s="2"/>
      <c r="D1560" s="2"/>
      <c r="E1560" s="4"/>
      <c r="F1560" s="4"/>
      <c r="G1560" s="4"/>
      <c r="H1560" s="61"/>
      <c r="I1560" s="62"/>
      <c r="J1560" s="62"/>
      <c r="K1560" s="78"/>
      <c r="L1560" s="57"/>
      <c r="M1560" s="57"/>
    </row>
    <row r="1561" spans="1:13" ht="15" customHeight="1">
      <c r="A1561" s="73"/>
      <c r="B1561" s="2"/>
      <c r="C1561" s="2"/>
      <c r="D1561" s="2"/>
      <c r="E1561" s="4"/>
      <c r="F1561" s="4"/>
      <c r="G1561" s="4"/>
      <c r="H1561" s="61"/>
      <c r="I1561" s="62"/>
      <c r="J1561" s="62"/>
      <c r="K1561" s="78"/>
      <c r="L1561" s="57"/>
      <c r="M1561" s="57"/>
    </row>
    <row r="1562" spans="1:13" ht="15" customHeight="1">
      <c r="A1562" s="73"/>
      <c r="B1562" s="2"/>
      <c r="C1562" s="2"/>
      <c r="D1562" s="2"/>
      <c r="E1562" s="4"/>
      <c r="F1562" s="4"/>
      <c r="G1562" s="4"/>
      <c r="H1562" s="61"/>
      <c r="I1562" s="62"/>
      <c r="J1562" s="62"/>
      <c r="K1562" s="78"/>
      <c r="L1562" s="57"/>
      <c r="M1562" s="57"/>
    </row>
    <row r="1563" spans="1:13" ht="15" customHeight="1">
      <c r="A1563" s="73"/>
      <c r="B1563" s="2"/>
      <c r="C1563" s="2"/>
      <c r="D1563" s="2"/>
      <c r="E1563" s="4"/>
      <c r="F1563" s="4"/>
      <c r="G1563" s="4"/>
      <c r="H1563" s="61"/>
      <c r="I1563" s="62"/>
      <c r="J1563" s="62"/>
      <c r="K1563" s="78"/>
      <c r="L1563" s="57"/>
      <c r="M1563" s="57"/>
    </row>
    <row r="1564" spans="1:13" ht="15" customHeight="1">
      <c r="A1564" s="73"/>
      <c r="B1564" s="2"/>
      <c r="C1564" s="2"/>
      <c r="D1564" s="2"/>
      <c r="E1564" s="4"/>
      <c r="F1564" s="4"/>
      <c r="G1564" s="4"/>
      <c r="H1564" s="61"/>
      <c r="I1564" s="62"/>
      <c r="J1564" s="62"/>
      <c r="K1564" s="78"/>
      <c r="L1564" s="57"/>
      <c r="M1564" s="57"/>
    </row>
    <row r="1565" spans="1:13" ht="15" customHeight="1">
      <c r="A1565" s="73"/>
      <c r="B1565" s="2"/>
      <c r="C1565" s="2"/>
      <c r="D1565" s="2"/>
      <c r="E1565" s="4"/>
      <c r="F1565" s="4"/>
      <c r="G1565" s="4"/>
      <c r="H1565" s="61"/>
      <c r="I1565" s="62"/>
      <c r="J1565" s="62"/>
      <c r="K1565" s="78"/>
      <c r="L1565" s="57"/>
      <c r="M1565" s="57"/>
    </row>
    <row r="1566" spans="1:13" ht="15" customHeight="1">
      <c r="A1566" s="73"/>
      <c r="B1566" s="2"/>
      <c r="C1566" s="2"/>
      <c r="D1566" s="2"/>
      <c r="E1566" s="4"/>
      <c r="F1566" s="4"/>
      <c r="G1566" s="4"/>
      <c r="H1566" s="61"/>
      <c r="I1566" s="62"/>
      <c r="J1566" s="62"/>
      <c r="K1566" s="78"/>
      <c r="L1566" s="57"/>
      <c r="M1566" s="57"/>
    </row>
    <row r="1567" spans="1:13" ht="15" customHeight="1">
      <c r="A1567" s="73"/>
      <c r="B1567" s="2"/>
      <c r="C1567" s="2"/>
      <c r="D1567" s="2"/>
      <c r="E1567" s="4"/>
      <c r="F1567" s="4"/>
      <c r="G1567" s="4"/>
      <c r="H1567" s="61"/>
      <c r="I1567" s="62"/>
      <c r="J1567" s="62"/>
      <c r="K1567" s="78"/>
      <c r="L1567" s="57"/>
      <c r="M1567" s="57"/>
    </row>
    <row r="1568" spans="1:13" ht="15" customHeight="1">
      <c r="A1568" s="73"/>
      <c r="B1568" s="2"/>
      <c r="C1568" s="2"/>
      <c r="D1568" s="2"/>
      <c r="E1568" s="4"/>
      <c r="F1568" s="4"/>
      <c r="G1568" s="4"/>
      <c r="H1568" s="61"/>
      <c r="I1568" s="62"/>
      <c r="J1568" s="62"/>
      <c r="K1568" s="78"/>
      <c r="L1568" s="57"/>
      <c r="M1568" s="57"/>
    </row>
    <row r="1569" spans="1:13" ht="15" customHeight="1">
      <c r="A1569" s="73"/>
      <c r="B1569" s="2"/>
      <c r="C1569" s="2"/>
      <c r="D1569" s="2"/>
      <c r="E1569" s="4"/>
      <c r="F1569" s="4"/>
      <c r="G1569" s="4"/>
      <c r="H1569" s="61"/>
      <c r="I1569" s="62"/>
      <c r="J1569" s="62"/>
      <c r="K1569" s="78"/>
      <c r="L1569" s="57"/>
      <c r="M1569" s="57"/>
    </row>
    <row r="1570" spans="1:13" ht="15" customHeight="1">
      <c r="A1570" s="73"/>
      <c r="B1570" s="2"/>
      <c r="C1570" s="2"/>
      <c r="D1570" s="2"/>
      <c r="E1570" s="4"/>
      <c r="F1570" s="4"/>
      <c r="G1570" s="4"/>
      <c r="H1570" s="61"/>
      <c r="I1570" s="62"/>
      <c r="J1570" s="62"/>
      <c r="K1570" s="78"/>
      <c r="L1570" s="57"/>
      <c r="M1570" s="57"/>
    </row>
    <row r="1571" spans="1:13" ht="15" customHeight="1">
      <c r="A1571" s="73"/>
      <c r="B1571" s="2"/>
      <c r="C1571" s="2"/>
      <c r="D1571" s="2"/>
      <c r="E1571" s="4"/>
      <c r="F1571" s="4"/>
      <c r="G1571" s="4"/>
      <c r="H1571" s="61"/>
      <c r="I1571" s="62"/>
      <c r="J1571" s="62"/>
      <c r="K1571" s="78"/>
      <c r="L1571" s="57"/>
      <c r="M1571" s="57"/>
    </row>
    <row r="1572" spans="1:13" ht="15" customHeight="1">
      <c r="A1572" s="73"/>
      <c r="B1572" s="2"/>
      <c r="C1572" s="2"/>
      <c r="D1572" s="2"/>
      <c r="E1572" s="4"/>
      <c r="F1572" s="4"/>
      <c r="G1572" s="4"/>
      <c r="H1572" s="61"/>
      <c r="I1572" s="62"/>
      <c r="J1572" s="62"/>
      <c r="K1572" s="78"/>
      <c r="L1572" s="57"/>
      <c r="M1572" s="57"/>
    </row>
    <row r="1573" spans="1:13" ht="15" customHeight="1">
      <c r="A1573" s="73"/>
      <c r="B1573" s="2"/>
      <c r="C1573" s="2"/>
      <c r="D1573" s="2"/>
      <c r="E1573" s="4"/>
      <c r="F1573" s="4"/>
      <c r="G1573" s="4"/>
      <c r="H1573" s="61"/>
      <c r="I1573" s="62"/>
      <c r="J1573" s="62"/>
      <c r="K1573" s="78"/>
      <c r="L1573" s="57"/>
      <c r="M1573" s="57"/>
    </row>
    <row r="1574" spans="1:13" ht="15" customHeight="1">
      <c r="A1574" s="73"/>
      <c r="B1574" s="2"/>
      <c r="C1574" s="2"/>
      <c r="D1574" s="2"/>
      <c r="E1574" s="4"/>
      <c r="F1574" s="4"/>
      <c r="G1574" s="4"/>
      <c r="H1574" s="61"/>
      <c r="I1574" s="62"/>
      <c r="J1574" s="62"/>
      <c r="K1574" s="78"/>
      <c r="L1574" s="57"/>
      <c r="M1574" s="57"/>
    </row>
    <row r="1575" spans="1:13" ht="15" customHeight="1">
      <c r="A1575" s="73"/>
      <c r="B1575" s="2"/>
      <c r="C1575" s="2"/>
      <c r="D1575" s="2"/>
      <c r="E1575" s="4"/>
      <c r="F1575" s="4"/>
      <c r="G1575" s="4"/>
      <c r="H1575" s="61"/>
      <c r="I1575" s="62"/>
      <c r="J1575" s="62"/>
      <c r="K1575" s="78"/>
      <c r="L1575" s="57"/>
      <c r="M1575" s="57"/>
    </row>
    <row r="1576" spans="1:13" ht="15" customHeight="1">
      <c r="A1576" s="73"/>
      <c r="B1576" s="2"/>
      <c r="C1576" s="2"/>
      <c r="D1576" s="2"/>
      <c r="E1576" s="4"/>
      <c r="F1576" s="4"/>
      <c r="G1576" s="4"/>
      <c r="H1576" s="61"/>
      <c r="I1576" s="62"/>
      <c r="J1576" s="62"/>
      <c r="K1576" s="78"/>
      <c r="L1576" s="57"/>
      <c r="M1576" s="57"/>
    </row>
    <row r="1577" spans="1:13" ht="15" customHeight="1">
      <c r="A1577" s="73"/>
      <c r="B1577" s="2"/>
      <c r="C1577" s="2"/>
      <c r="D1577" s="2"/>
      <c r="E1577" s="4"/>
      <c r="F1577" s="4"/>
      <c r="G1577" s="4"/>
      <c r="H1577" s="61"/>
      <c r="I1577" s="62"/>
      <c r="J1577" s="62"/>
      <c r="K1577" s="78"/>
      <c r="L1577" s="57"/>
      <c r="M1577" s="57"/>
    </row>
    <row r="1578" spans="1:13" ht="15" customHeight="1">
      <c r="A1578" s="73"/>
      <c r="B1578" s="2"/>
      <c r="C1578" s="2"/>
      <c r="D1578" s="2"/>
      <c r="E1578" s="4"/>
      <c r="F1578" s="4"/>
      <c r="G1578" s="4"/>
      <c r="H1578" s="61"/>
      <c r="I1578" s="62"/>
      <c r="J1578" s="62"/>
      <c r="K1578" s="78"/>
      <c r="L1578" s="57"/>
      <c r="M1578" s="57"/>
    </row>
    <row r="1579" spans="1:13" ht="15" customHeight="1">
      <c r="A1579" s="73"/>
      <c r="B1579" s="2"/>
      <c r="C1579" s="2"/>
      <c r="D1579" s="2"/>
      <c r="E1579" s="4"/>
      <c r="F1579" s="4"/>
      <c r="G1579" s="4"/>
      <c r="H1579" s="61"/>
      <c r="I1579" s="62"/>
      <c r="J1579" s="62"/>
      <c r="K1579" s="78"/>
      <c r="L1579" s="57"/>
      <c r="M1579" s="57"/>
    </row>
    <row r="1580" spans="1:13" ht="15" customHeight="1">
      <c r="A1580" s="73"/>
      <c r="B1580" s="2"/>
      <c r="C1580" s="2"/>
      <c r="D1580" s="2"/>
      <c r="E1580" s="4"/>
      <c r="F1580" s="4"/>
      <c r="G1580" s="4"/>
      <c r="H1580" s="61"/>
      <c r="I1580" s="62"/>
      <c r="J1580" s="62"/>
      <c r="K1580" s="78"/>
      <c r="L1580" s="57"/>
      <c r="M1580" s="57"/>
    </row>
    <row r="1581" spans="1:13" ht="15" customHeight="1">
      <c r="A1581" s="73"/>
      <c r="B1581" s="2"/>
      <c r="C1581" s="2"/>
      <c r="D1581" s="2"/>
      <c r="E1581" s="4"/>
      <c r="F1581" s="4"/>
      <c r="G1581" s="4"/>
      <c r="H1581" s="61"/>
      <c r="I1581" s="62"/>
      <c r="J1581" s="62"/>
      <c r="K1581" s="78"/>
      <c r="L1581" s="57"/>
      <c r="M1581" s="57"/>
    </row>
    <row r="1582" spans="1:13" ht="15" customHeight="1">
      <c r="A1582" s="73"/>
      <c r="B1582" s="2"/>
      <c r="C1582" s="2"/>
      <c r="D1582" s="2"/>
      <c r="E1582" s="4"/>
      <c r="F1582" s="4"/>
      <c r="G1582" s="4"/>
      <c r="H1582" s="61"/>
      <c r="I1582" s="62"/>
      <c r="J1582" s="62"/>
      <c r="K1582" s="78"/>
      <c r="L1582" s="57"/>
      <c r="M1582" s="57"/>
    </row>
    <row r="1583" spans="1:13" ht="15" customHeight="1">
      <c r="A1583" s="73"/>
      <c r="B1583" s="2"/>
      <c r="C1583" s="2"/>
      <c r="D1583" s="2"/>
      <c r="E1583" s="4"/>
      <c r="F1583" s="4"/>
      <c r="G1583" s="4"/>
      <c r="H1583" s="61"/>
      <c r="I1583" s="62"/>
      <c r="J1583" s="62"/>
      <c r="K1583" s="78"/>
      <c r="L1583" s="57"/>
      <c r="M1583" s="57"/>
    </row>
    <row r="1584" spans="1:13" ht="15" customHeight="1">
      <c r="A1584" s="73"/>
      <c r="B1584" s="2"/>
      <c r="C1584" s="2"/>
      <c r="D1584" s="2"/>
      <c r="E1584" s="4"/>
      <c r="F1584" s="4"/>
      <c r="G1584" s="4"/>
      <c r="H1584" s="61"/>
      <c r="I1584" s="62"/>
      <c r="J1584" s="62"/>
      <c r="K1584" s="78"/>
      <c r="L1584" s="57"/>
      <c r="M1584" s="57"/>
    </row>
    <row r="1585" spans="1:13" ht="15" customHeight="1">
      <c r="A1585" s="73"/>
      <c r="B1585" s="2"/>
      <c r="C1585" s="2"/>
      <c r="D1585" s="2"/>
      <c r="E1585" s="4"/>
      <c r="F1585" s="4"/>
      <c r="G1585" s="4"/>
      <c r="H1585" s="61"/>
      <c r="I1585" s="62"/>
      <c r="J1585" s="62"/>
      <c r="K1585" s="78"/>
      <c r="L1585" s="57"/>
      <c r="M1585" s="57"/>
    </row>
    <row r="1586" spans="1:13" ht="15" customHeight="1">
      <c r="A1586" s="73"/>
      <c r="B1586" s="2"/>
      <c r="C1586" s="2"/>
      <c r="D1586" s="2"/>
      <c r="E1586" s="4"/>
      <c r="F1586" s="4"/>
      <c r="G1586" s="4"/>
      <c r="H1586" s="61"/>
      <c r="I1586" s="62"/>
      <c r="J1586" s="62"/>
      <c r="K1586" s="78"/>
      <c r="L1586" s="57"/>
      <c r="M1586" s="57"/>
    </row>
    <row r="1587" spans="1:13" ht="15" customHeight="1">
      <c r="A1587" s="73"/>
      <c r="B1587" s="2"/>
      <c r="C1587" s="2"/>
      <c r="D1587" s="2"/>
      <c r="E1587" s="4"/>
      <c r="F1587" s="4"/>
      <c r="G1587" s="4"/>
      <c r="H1587" s="61"/>
      <c r="I1587" s="62"/>
      <c r="J1587" s="62"/>
      <c r="K1587" s="78"/>
      <c r="L1587" s="57"/>
      <c r="M1587" s="57"/>
    </row>
    <row r="1588" spans="1:13" ht="15" customHeight="1">
      <c r="A1588" s="73"/>
      <c r="B1588" s="2"/>
      <c r="C1588" s="2"/>
      <c r="D1588" s="2"/>
      <c r="E1588" s="4"/>
      <c r="F1588" s="4"/>
      <c r="G1588" s="4"/>
      <c r="H1588" s="61"/>
      <c r="I1588" s="62"/>
      <c r="J1588" s="62"/>
      <c r="K1588" s="78"/>
      <c r="L1588" s="57"/>
      <c r="M1588" s="57"/>
    </row>
    <row r="1589" spans="1:13" ht="15" customHeight="1">
      <c r="A1589" s="73"/>
      <c r="B1589" s="2"/>
      <c r="C1589" s="2"/>
      <c r="D1589" s="2"/>
      <c r="E1589" s="4"/>
      <c r="F1589" s="4"/>
      <c r="G1589" s="4"/>
      <c r="H1589" s="61"/>
      <c r="I1589" s="62"/>
      <c r="J1589" s="62"/>
      <c r="K1589" s="78"/>
      <c r="L1589" s="57"/>
      <c r="M1589" s="57"/>
    </row>
    <row r="1590" spans="1:13" ht="15" customHeight="1">
      <c r="A1590" s="73"/>
      <c r="B1590" s="2"/>
      <c r="C1590" s="2"/>
      <c r="D1590" s="2"/>
      <c r="E1590" s="4"/>
      <c r="F1590" s="4"/>
      <c r="G1590" s="4"/>
      <c r="H1590" s="61"/>
      <c r="I1590" s="62"/>
      <c r="J1590" s="62"/>
      <c r="K1590" s="78"/>
      <c r="L1590" s="57"/>
      <c r="M1590" s="57"/>
    </row>
    <row r="1591" spans="1:13" ht="15" customHeight="1">
      <c r="A1591" s="73"/>
      <c r="B1591" s="2"/>
      <c r="C1591" s="2"/>
      <c r="D1591" s="2"/>
      <c r="E1591" s="4"/>
      <c r="F1591" s="4"/>
      <c r="G1591" s="4"/>
      <c r="H1591" s="61"/>
      <c r="I1591" s="62"/>
      <c r="J1591" s="62"/>
      <c r="K1591" s="78"/>
      <c r="L1591" s="57"/>
      <c r="M1591" s="57"/>
    </row>
    <row r="1592" spans="1:13" ht="15" customHeight="1">
      <c r="A1592" s="73"/>
      <c r="B1592" s="2"/>
      <c r="C1592" s="2"/>
      <c r="D1592" s="2"/>
      <c r="E1592" s="4"/>
      <c r="F1592" s="4"/>
      <c r="G1592" s="4"/>
      <c r="H1592" s="61"/>
      <c r="I1592" s="62"/>
      <c r="J1592" s="62"/>
      <c r="K1592" s="78"/>
      <c r="L1592" s="57"/>
      <c r="M1592" s="57"/>
    </row>
    <row r="1593" spans="1:13" ht="15" customHeight="1">
      <c r="A1593" s="73"/>
      <c r="B1593" s="2"/>
      <c r="C1593" s="2"/>
      <c r="D1593" s="2"/>
      <c r="E1593" s="4"/>
      <c r="F1593" s="4"/>
      <c r="G1593" s="4"/>
      <c r="H1593" s="61"/>
      <c r="I1593" s="62"/>
      <c r="J1593" s="62"/>
      <c r="K1593" s="78"/>
      <c r="L1593" s="57"/>
      <c r="M1593" s="57"/>
    </row>
    <row r="1594" spans="1:13" ht="15" customHeight="1">
      <c r="A1594" s="73"/>
      <c r="B1594" s="2"/>
      <c r="C1594" s="2"/>
      <c r="D1594" s="2"/>
      <c r="E1594" s="4"/>
      <c r="F1594" s="4"/>
      <c r="G1594" s="4"/>
      <c r="H1594" s="61"/>
      <c r="I1594" s="62"/>
      <c r="J1594" s="62"/>
      <c r="K1594" s="78"/>
      <c r="L1594" s="57"/>
      <c r="M1594" s="57"/>
    </row>
    <row r="1595" spans="1:13" ht="15" customHeight="1">
      <c r="A1595" s="73"/>
      <c r="B1595" s="2"/>
      <c r="C1595" s="2"/>
      <c r="D1595" s="2"/>
      <c r="E1595" s="4"/>
      <c r="F1595" s="4"/>
      <c r="G1595" s="4"/>
      <c r="H1595" s="61"/>
      <c r="I1595" s="62"/>
      <c r="J1595" s="62"/>
      <c r="K1595" s="78"/>
      <c r="L1595" s="57"/>
      <c r="M1595" s="57"/>
    </row>
    <row r="1596" spans="1:13" ht="15" customHeight="1">
      <c r="A1596" s="73"/>
      <c r="B1596" s="2"/>
      <c r="C1596" s="2"/>
      <c r="D1596" s="2"/>
      <c r="E1596" s="4"/>
      <c r="F1596" s="4"/>
      <c r="G1596" s="4"/>
      <c r="H1596" s="61"/>
      <c r="I1596" s="62"/>
      <c r="J1596" s="62"/>
      <c r="K1596" s="78"/>
      <c r="L1596" s="57"/>
      <c r="M1596" s="57"/>
    </row>
    <row r="1597" spans="1:13" ht="15" customHeight="1">
      <c r="A1597" s="73"/>
      <c r="B1597" s="2"/>
      <c r="C1597" s="2"/>
      <c r="D1597" s="2"/>
      <c r="E1597" s="4"/>
      <c r="F1597" s="4"/>
      <c r="G1597" s="4"/>
      <c r="H1597" s="61"/>
      <c r="I1597" s="62"/>
      <c r="J1597" s="62"/>
      <c r="K1597" s="78"/>
      <c r="L1597" s="57"/>
      <c r="M1597" s="57"/>
    </row>
    <row r="1598" spans="1:13" ht="15" customHeight="1">
      <c r="A1598" s="73"/>
      <c r="B1598" s="2"/>
      <c r="C1598" s="2"/>
      <c r="D1598" s="2"/>
      <c r="E1598" s="4"/>
      <c r="F1598" s="4"/>
      <c r="G1598" s="4"/>
      <c r="H1598" s="61"/>
      <c r="I1598" s="62"/>
      <c r="J1598" s="62"/>
      <c r="K1598" s="78"/>
      <c r="L1598" s="57"/>
      <c r="M1598" s="57"/>
    </row>
    <row r="1599" spans="1:13" ht="15" customHeight="1">
      <c r="A1599" s="73"/>
      <c r="B1599" s="2"/>
      <c r="C1599" s="2"/>
      <c r="D1599" s="2"/>
      <c r="E1599" s="4"/>
      <c r="F1599" s="4"/>
      <c r="G1599" s="4"/>
      <c r="H1599" s="61"/>
      <c r="I1599" s="62"/>
      <c r="J1599" s="62"/>
      <c r="K1599" s="78"/>
      <c r="L1599" s="57"/>
      <c r="M1599" s="57"/>
    </row>
    <row r="1600" spans="1:13" ht="15" customHeight="1">
      <c r="A1600" s="73"/>
      <c r="B1600" s="2"/>
      <c r="C1600" s="2"/>
      <c r="D1600" s="2"/>
      <c r="E1600" s="4"/>
      <c r="F1600" s="4"/>
      <c r="G1600" s="4"/>
      <c r="H1600" s="61"/>
      <c r="I1600" s="62"/>
      <c r="J1600" s="62"/>
      <c r="K1600" s="78"/>
      <c r="L1600" s="57"/>
      <c r="M1600" s="57"/>
    </row>
    <row r="1601" spans="1:13" ht="15" customHeight="1">
      <c r="A1601" s="73"/>
      <c r="B1601" s="2"/>
      <c r="C1601" s="2"/>
      <c r="D1601" s="2"/>
      <c r="E1601" s="4"/>
      <c r="F1601" s="4"/>
      <c r="G1601" s="4"/>
      <c r="H1601" s="61"/>
      <c r="I1601" s="62"/>
      <c r="J1601" s="62"/>
      <c r="K1601" s="78"/>
      <c r="L1601" s="57"/>
      <c r="M1601" s="57"/>
    </row>
    <row r="1602" spans="1:13" ht="15" customHeight="1">
      <c r="A1602" s="73"/>
      <c r="B1602" s="2"/>
      <c r="C1602" s="2"/>
      <c r="D1602" s="2"/>
      <c r="E1602" s="4"/>
      <c r="F1602" s="4"/>
      <c r="G1602" s="4"/>
      <c r="H1602" s="61"/>
      <c r="I1602" s="62"/>
      <c r="J1602" s="62"/>
      <c r="K1602" s="78"/>
      <c r="L1602" s="57"/>
      <c r="M1602" s="57"/>
    </row>
    <row r="1603" spans="1:13" ht="15" customHeight="1">
      <c r="A1603" s="73"/>
      <c r="B1603" s="2"/>
      <c r="C1603" s="2"/>
      <c r="D1603" s="2"/>
      <c r="E1603" s="4"/>
      <c r="F1603" s="4"/>
      <c r="G1603" s="4"/>
      <c r="H1603" s="61"/>
      <c r="I1603" s="62"/>
      <c r="J1603" s="62"/>
      <c r="K1603" s="78"/>
      <c r="L1603" s="57"/>
      <c r="M1603" s="57"/>
    </row>
    <row r="1604" spans="1:13" ht="15" customHeight="1">
      <c r="A1604" s="73"/>
      <c r="B1604" s="2"/>
      <c r="C1604" s="2"/>
      <c r="D1604" s="2"/>
      <c r="E1604" s="4"/>
      <c r="F1604" s="4"/>
      <c r="G1604" s="4"/>
      <c r="H1604" s="61"/>
      <c r="I1604" s="62"/>
      <c r="J1604" s="62"/>
      <c r="K1604" s="78"/>
      <c r="L1604" s="57"/>
      <c r="M1604" s="57"/>
    </row>
    <row r="1605" spans="1:13" ht="15" customHeight="1">
      <c r="A1605" s="73"/>
      <c r="B1605" s="2"/>
      <c r="C1605" s="2"/>
      <c r="D1605" s="2"/>
      <c r="E1605" s="4"/>
      <c r="F1605" s="4"/>
      <c r="G1605" s="4"/>
      <c r="H1605" s="61"/>
      <c r="I1605" s="62"/>
      <c r="J1605" s="62"/>
      <c r="K1605" s="78"/>
      <c r="L1605" s="57"/>
      <c r="M1605" s="57"/>
    </row>
    <row r="1606" spans="1:13" ht="15" customHeight="1">
      <c r="A1606" s="73"/>
      <c r="B1606" s="2"/>
      <c r="C1606" s="2"/>
      <c r="D1606" s="2"/>
      <c r="E1606" s="4"/>
      <c r="F1606" s="4"/>
      <c r="G1606" s="4"/>
      <c r="H1606" s="61"/>
      <c r="I1606" s="62"/>
      <c r="J1606" s="62"/>
      <c r="K1606" s="78"/>
      <c r="L1606" s="57"/>
      <c r="M1606" s="57"/>
    </row>
    <row r="1607" spans="1:13" ht="15" customHeight="1">
      <c r="A1607" s="73"/>
      <c r="B1607" s="2"/>
      <c r="C1607" s="2"/>
      <c r="D1607" s="2"/>
      <c r="E1607" s="4"/>
      <c r="F1607" s="4"/>
      <c r="G1607" s="4"/>
      <c r="H1607" s="61"/>
      <c r="I1607" s="62"/>
      <c r="J1607" s="62"/>
      <c r="K1607" s="78"/>
      <c r="L1607" s="57"/>
      <c r="M1607" s="57"/>
    </row>
    <row r="1608" spans="1:13" ht="15" customHeight="1">
      <c r="A1608" s="73"/>
      <c r="B1608" s="2"/>
      <c r="C1608" s="2"/>
      <c r="D1608" s="2"/>
      <c r="E1608" s="4"/>
      <c r="F1608" s="4"/>
      <c r="G1608" s="4"/>
      <c r="H1608" s="61">
        <f>SUBTOTAL(9,H676:H783)</f>
        <v>159664034.02410889</v>
      </c>
      <c r="I1608" s="62"/>
      <c r="J1608" s="62"/>
      <c r="K1608" s="78"/>
      <c r="L1608" s="57"/>
      <c r="M1608" s="57"/>
    </row>
    <row r="1609" spans="1:13" ht="15" customHeight="1">
      <c r="A1609" s="73"/>
      <c r="B1609" s="2"/>
      <c r="C1609" s="2"/>
      <c r="D1609" s="2"/>
      <c r="E1609" s="4"/>
      <c r="F1609" s="4"/>
      <c r="G1609" s="4"/>
      <c r="H1609" s="61"/>
      <c r="I1609" s="62"/>
      <c r="J1609" s="62"/>
      <c r="K1609" s="78"/>
      <c r="L1609" s="57"/>
      <c r="M1609" s="57"/>
    </row>
    <row r="1610" spans="1:13" ht="15" customHeight="1">
      <c r="A1610" s="73"/>
      <c r="B1610" s="2"/>
      <c r="C1610" s="2"/>
      <c r="D1610" s="2"/>
      <c r="E1610" s="4"/>
      <c r="F1610" s="4"/>
      <c r="G1610" s="4"/>
      <c r="H1610" s="61"/>
      <c r="I1610" s="62"/>
      <c r="J1610" s="62"/>
      <c r="K1610" s="78"/>
      <c r="L1610" s="57"/>
      <c r="M1610" s="57"/>
    </row>
    <row r="1611" spans="1:13" ht="15" customHeight="1">
      <c r="A1611" s="73"/>
      <c r="B1611" s="2"/>
      <c r="C1611" s="2"/>
      <c r="D1611" s="2"/>
      <c r="E1611" s="4"/>
      <c r="F1611" s="4"/>
      <c r="G1611" s="4"/>
      <c r="H1611" s="61"/>
      <c r="I1611" s="62"/>
      <c r="J1611" s="62"/>
      <c r="K1611" s="78"/>
      <c r="L1611" s="57"/>
      <c r="M1611" s="57"/>
    </row>
    <row r="1612" spans="1:13" ht="15" customHeight="1">
      <c r="A1612" s="73"/>
      <c r="B1612" s="2"/>
      <c r="C1612" s="2"/>
      <c r="D1612" s="2"/>
      <c r="E1612" s="4"/>
      <c r="F1612" s="4"/>
      <c r="G1612" s="4"/>
      <c r="H1612" s="61"/>
      <c r="I1612" s="62"/>
      <c r="J1612" s="62"/>
      <c r="K1612" s="78"/>
      <c r="L1612" s="57"/>
      <c r="M1612" s="57"/>
    </row>
    <row r="1613" spans="1:13" ht="15" customHeight="1">
      <c r="A1613" s="73"/>
      <c r="B1613" s="2"/>
      <c r="C1613" s="2"/>
      <c r="D1613" s="2"/>
      <c r="E1613" s="4"/>
      <c r="F1613" s="4"/>
      <c r="G1613" s="4"/>
      <c r="H1613" s="61"/>
      <c r="I1613" s="62"/>
      <c r="J1613" s="62"/>
      <c r="K1613" s="78"/>
      <c r="L1613" s="57"/>
      <c r="M1613" s="57"/>
    </row>
    <row r="1614" spans="1:13" ht="15" customHeight="1">
      <c r="A1614" s="73"/>
      <c r="B1614" s="2"/>
      <c r="C1614" s="2"/>
      <c r="D1614" s="2"/>
      <c r="E1614" s="4"/>
      <c r="F1614" s="4"/>
      <c r="G1614" s="4"/>
      <c r="H1614" s="61"/>
      <c r="I1614" s="62"/>
      <c r="J1614" s="62"/>
      <c r="K1614" s="78"/>
      <c r="L1614" s="57"/>
      <c r="M1614" s="57"/>
    </row>
    <row r="1615" spans="1:13" ht="15" customHeight="1">
      <c r="A1615" s="73"/>
      <c r="B1615" s="2"/>
      <c r="C1615" s="2"/>
      <c r="D1615" s="2"/>
      <c r="E1615" s="4"/>
      <c r="F1615" s="4"/>
      <c r="G1615" s="4"/>
      <c r="H1615" s="61"/>
      <c r="I1615" s="62"/>
      <c r="J1615" s="62"/>
      <c r="K1615" s="78"/>
      <c r="L1615" s="57"/>
      <c r="M1615" s="57"/>
    </row>
    <row r="1616" spans="1:13" ht="15" customHeight="1">
      <c r="A1616" s="73"/>
      <c r="B1616" s="2"/>
      <c r="C1616" s="2"/>
      <c r="D1616" s="2"/>
      <c r="E1616" s="4"/>
      <c r="F1616" s="4"/>
      <c r="G1616" s="4"/>
      <c r="H1616" s="61"/>
      <c r="I1616" s="62"/>
      <c r="J1616" s="62"/>
      <c r="K1616" s="78"/>
      <c r="L1616" s="57"/>
      <c r="M1616" s="57"/>
    </row>
    <row r="1617" spans="1:13" ht="15" customHeight="1">
      <c r="A1617" s="73"/>
      <c r="B1617" s="2"/>
      <c r="C1617" s="2"/>
      <c r="D1617" s="2"/>
      <c r="E1617" s="4"/>
      <c r="F1617" s="4"/>
      <c r="G1617" s="4"/>
      <c r="H1617" s="61"/>
      <c r="I1617" s="62"/>
      <c r="J1617" s="62"/>
      <c r="K1617" s="78"/>
      <c r="L1617" s="57"/>
      <c r="M1617" s="57"/>
    </row>
    <row r="1618" spans="1:13" ht="15" customHeight="1">
      <c r="A1618" s="73"/>
      <c r="B1618" s="2"/>
      <c r="C1618" s="2"/>
      <c r="D1618" s="2"/>
      <c r="E1618" s="4"/>
      <c r="F1618" s="4"/>
      <c r="G1618" s="4"/>
      <c r="H1618" s="61"/>
      <c r="I1618" s="62"/>
      <c r="J1618" s="62"/>
      <c r="K1618" s="78"/>
      <c r="L1618" s="57"/>
      <c r="M1618" s="57"/>
    </row>
    <row r="1619" spans="1:13" ht="15" customHeight="1">
      <c r="A1619" s="73"/>
      <c r="B1619" s="2"/>
      <c r="C1619" s="2"/>
      <c r="D1619" s="2"/>
      <c r="E1619" s="4"/>
      <c r="F1619" s="4"/>
      <c r="G1619" s="4"/>
      <c r="H1619" s="61"/>
      <c r="I1619" s="62"/>
      <c r="J1619" s="62"/>
      <c r="K1619" s="78"/>
      <c r="L1619" s="57"/>
      <c r="M1619" s="57"/>
    </row>
    <row r="1620" spans="1:13" ht="15" customHeight="1">
      <c r="A1620" s="73"/>
      <c r="B1620" s="2"/>
      <c r="C1620" s="2"/>
      <c r="D1620" s="2"/>
      <c r="E1620" s="4"/>
      <c r="F1620" s="4"/>
      <c r="G1620" s="4"/>
      <c r="H1620" s="61"/>
      <c r="I1620" s="62"/>
      <c r="J1620" s="62"/>
      <c r="K1620" s="78"/>
      <c r="L1620" s="57"/>
      <c r="M1620" s="57"/>
    </row>
    <row r="1621" spans="1:13" ht="15" customHeight="1">
      <c r="A1621" s="73"/>
      <c r="B1621" s="2"/>
      <c r="C1621" s="2"/>
      <c r="D1621" s="2"/>
      <c r="E1621" s="4"/>
      <c r="F1621" s="4"/>
      <c r="G1621" s="4"/>
      <c r="H1621" s="61"/>
      <c r="I1621" s="62"/>
      <c r="J1621" s="62"/>
      <c r="K1621" s="78"/>
      <c r="L1621" s="57"/>
      <c r="M1621" s="57"/>
    </row>
    <row r="1622" spans="1:13" ht="15" customHeight="1">
      <c r="A1622" s="73"/>
      <c r="B1622" s="2"/>
      <c r="C1622" s="2"/>
      <c r="D1622" s="2"/>
      <c r="E1622" s="4"/>
      <c r="F1622" s="4"/>
      <c r="G1622" s="4"/>
      <c r="H1622" s="61"/>
      <c r="I1622" s="62"/>
      <c r="J1622" s="62"/>
      <c r="K1622" s="78"/>
      <c r="L1622" s="57"/>
      <c r="M1622" s="57"/>
    </row>
    <row r="1623" spans="1:13" ht="15" customHeight="1">
      <c r="A1623" s="73"/>
      <c r="B1623" s="2"/>
      <c r="C1623" s="2"/>
      <c r="D1623" s="2"/>
      <c r="E1623" s="4"/>
      <c r="F1623" s="4"/>
      <c r="G1623" s="4"/>
      <c r="H1623" s="61"/>
      <c r="I1623" s="62"/>
      <c r="J1623" s="62"/>
      <c r="K1623" s="78"/>
      <c r="L1623" s="57"/>
      <c r="M1623" s="57"/>
    </row>
    <row r="1624" spans="1:13" ht="15" customHeight="1">
      <c r="A1624" s="73"/>
      <c r="B1624" s="2"/>
      <c r="C1624" s="2"/>
      <c r="D1624" s="2"/>
      <c r="E1624" s="4"/>
      <c r="F1624" s="4"/>
      <c r="G1624" s="4"/>
      <c r="H1624" s="61"/>
      <c r="I1624" s="62"/>
      <c r="J1624" s="62"/>
      <c r="K1624" s="78"/>
      <c r="L1624" s="57"/>
      <c r="M1624" s="57"/>
    </row>
    <row r="1625" spans="1:13" ht="15" customHeight="1">
      <c r="A1625" s="73"/>
      <c r="B1625" s="2"/>
      <c r="C1625" s="2"/>
      <c r="D1625" s="2"/>
      <c r="E1625" s="4"/>
      <c r="F1625" s="4"/>
      <c r="G1625" s="4"/>
      <c r="H1625" s="61"/>
      <c r="I1625" s="62"/>
      <c r="J1625" s="62"/>
      <c r="K1625" s="78"/>
      <c r="L1625" s="57"/>
      <c r="M1625" s="57"/>
    </row>
    <row r="1626" spans="1:13" ht="15" customHeight="1">
      <c r="A1626" s="73"/>
      <c r="B1626" s="2"/>
      <c r="C1626" s="2"/>
      <c r="D1626" s="2"/>
      <c r="E1626" s="4"/>
      <c r="F1626" s="4"/>
      <c r="G1626" s="4"/>
      <c r="H1626" s="61"/>
      <c r="I1626" s="62"/>
      <c r="J1626" s="62"/>
      <c r="K1626" s="78"/>
      <c r="L1626" s="57"/>
      <c r="M1626" s="57"/>
    </row>
    <row r="1627" spans="1:13" ht="15" customHeight="1">
      <c r="A1627" s="73"/>
      <c r="B1627" s="2"/>
      <c r="C1627" s="2"/>
      <c r="D1627" s="2"/>
      <c r="E1627" s="4"/>
      <c r="F1627" s="4"/>
      <c r="G1627" s="4"/>
      <c r="H1627" s="61"/>
      <c r="I1627" s="62"/>
      <c r="J1627" s="62"/>
      <c r="K1627" s="78"/>
      <c r="L1627" s="57"/>
      <c r="M1627" s="57"/>
    </row>
    <row r="1628" spans="1:13" ht="15" customHeight="1">
      <c r="A1628" s="73"/>
      <c r="B1628" s="2"/>
      <c r="C1628" s="2"/>
      <c r="D1628" s="2"/>
      <c r="E1628" s="4"/>
      <c r="F1628" s="4"/>
      <c r="G1628" s="4"/>
      <c r="H1628" s="61"/>
      <c r="I1628" s="62"/>
      <c r="J1628" s="62"/>
      <c r="K1628" s="78"/>
      <c r="L1628" s="57"/>
      <c r="M1628" s="57"/>
    </row>
    <row r="1629" spans="1:13" ht="15" customHeight="1">
      <c r="A1629" s="73"/>
      <c r="B1629" s="2"/>
      <c r="C1629" s="2"/>
      <c r="D1629" s="2"/>
      <c r="E1629" s="4"/>
      <c r="F1629" s="4"/>
      <c r="G1629" s="4"/>
      <c r="H1629" s="61"/>
      <c r="I1629" s="62"/>
      <c r="J1629" s="62"/>
      <c r="K1629" s="78"/>
      <c r="L1629" s="57"/>
      <c r="M1629" s="57"/>
    </row>
    <row r="1630" spans="1:13" ht="15" customHeight="1">
      <c r="A1630" s="73"/>
      <c r="B1630" s="2"/>
      <c r="C1630" s="2"/>
      <c r="D1630" s="2"/>
      <c r="E1630" s="4"/>
      <c r="F1630" s="4"/>
      <c r="G1630" s="4"/>
      <c r="H1630" s="61"/>
      <c r="I1630" s="62"/>
      <c r="J1630" s="62"/>
      <c r="K1630" s="78"/>
      <c r="L1630" s="57"/>
      <c r="M1630" s="57"/>
    </row>
    <row r="1631" spans="1:13" ht="15" customHeight="1">
      <c r="A1631" s="73"/>
      <c r="B1631" s="2"/>
      <c r="C1631" s="2"/>
      <c r="D1631" s="2"/>
      <c r="E1631" s="4"/>
      <c r="F1631" s="4"/>
      <c r="G1631" s="4"/>
      <c r="H1631" s="61"/>
      <c r="I1631" s="62"/>
      <c r="J1631" s="62"/>
      <c r="K1631" s="78"/>
      <c r="L1631" s="57"/>
      <c r="M1631" s="57"/>
    </row>
    <row r="1632" spans="1:13" ht="15" customHeight="1">
      <c r="A1632" s="73"/>
      <c r="B1632" s="2"/>
      <c r="C1632" s="2"/>
      <c r="D1632" s="2"/>
      <c r="E1632" s="4"/>
      <c r="F1632" s="4"/>
      <c r="G1632" s="4"/>
      <c r="H1632" s="61"/>
      <c r="I1632" s="62"/>
      <c r="J1632" s="62"/>
      <c r="K1632" s="78"/>
      <c r="L1632" s="57"/>
      <c r="M1632" s="57"/>
    </row>
    <row r="1633" spans="1:13" ht="15" customHeight="1">
      <c r="A1633" s="73"/>
      <c r="B1633" s="2"/>
      <c r="C1633" s="2"/>
      <c r="D1633" s="2"/>
      <c r="E1633" s="4"/>
      <c r="F1633" s="4"/>
      <c r="G1633" s="4"/>
      <c r="H1633" s="61"/>
      <c r="I1633" s="62"/>
      <c r="J1633" s="62"/>
      <c r="K1633" s="78"/>
      <c r="L1633" s="57"/>
      <c r="M1633" s="57"/>
    </row>
    <row r="1634" spans="1:13" ht="15" customHeight="1">
      <c r="A1634" s="73"/>
      <c r="B1634" s="2"/>
      <c r="C1634" s="2"/>
      <c r="D1634" s="2"/>
      <c r="E1634" s="4"/>
      <c r="F1634" s="4"/>
      <c r="G1634" s="4"/>
      <c r="H1634" s="61"/>
      <c r="I1634" s="62"/>
      <c r="J1634" s="62"/>
      <c r="K1634" s="78"/>
      <c r="L1634" s="57"/>
      <c r="M1634" s="57"/>
    </row>
    <row r="1635" spans="1:13" ht="15" customHeight="1">
      <c r="A1635" s="73"/>
      <c r="B1635" s="2"/>
      <c r="C1635" s="2"/>
      <c r="D1635" s="2"/>
      <c r="E1635" s="4"/>
      <c r="F1635" s="4"/>
      <c r="G1635" s="4"/>
      <c r="H1635" s="61"/>
      <c r="I1635" s="62"/>
      <c r="J1635" s="62"/>
      <c r="K1635" s="78"/>
      <c r="L1635" s="57"/>
      <c r="M1635" s="57"/>
    </row>
    <row r="1636" spans="1:13" ht="15" customHeight="1">
      <c r="A1636" s="73"/>
      <c r="B1636" s="2"/>
      <c r="C1636" s="2"/>
      <c r="D1636" s="2"/>
      <c r="E1636" s="4"/>
      <c r="F1636" s="4"/>
      <c r="G1636" s="4"/>
      <c r="H1636" s="61"/>
      <c r="I1636" s="62"/>
      <c r="J1636" s="62"/>
      <c r="K1636" s="78"/>
      <c r="L1636" s="57"/>
      <c r="M1636" s="57"/>
    </row>
    <row r="1637" spans="1:13" ht="15" customHeight="1">
      <c r="A1637" s="73"/>
      <c r="B1637" s="2"/>
      <c r="C1637" s="2"/>
      <c r="D1637" s="2"/>
      <c r="E1637" s="4"/>
      <c r="F1637" s="4"/>
      <c r="G1637" s="4"/>
      <c r="H1637" s="61"/>
      <c r="I1637" s="62"/>
      <c r="J1637" s="62"/>
      <c r="K1637" s="78"/>
      <c r="L1637" s="57"/>
      <c r="M1637" s="57"/>
    </row>
    <row r="1638" spans="1:13" ht="15" customHeight="1">
      <c r="A1638" s="73"/>
      <c r="B1638" s="2"/>
      <c r="C1638" s="2"/>
      <c r="D1638" s="2"/>
      <c r="E1638" s="4"/>
      <c r="F1638" s="4"/>
      <c r="G1638" s="4"/>
      <c r="H1638" s="61"/>
      <c r="I1638" s="62"/>
      <c r="J1638" s="62"/>
      <c r="K1638" s="78"/>
      <c r="L1638" s="57"/>
      <c r="M1638" s="57"/>
    </row>
    <row r="1639" spans="1:13" ht="15" customHeight="1">
      <c r="A1639" s="73"/>
      <c r="B1639" s="2"/>
      <c r="C1639" s="2"/>
      <c r="D1639" s="2"/>
      <c r="E1639" s="4"/>
      <c r="F1639" s="4"/>
      <c r="G1639" s="4"/>
      <c r="H1639" s="61"/>
      <c r="I1639" s="62"/>
      <c r="J1639" s="62"/>
      <c r="K1639" s="78"/>
      <c r="L1639" s="57"/>
      <c r="M1639" s="57"/>
    </row>
    <row r="1640" spans="1:13" ht="15" customHeight="1">
      <c r="A1640" s="73"/>
      <c r="B1640" s="2"/>
      <c r="C1640" s="2"/>
      <c r="D1640" s="2"/>
      <c r="E1640" s="4"/>
      <c r="F1640" s="4"/>
      <c r="G1640" s="4"/>
      <c r="H1640" s="61"/>
      <c r="I1640" s="62"/>
      <c r="J1640" s="62"/>
      <c r="K1640" s="78"/>
      <c r="L1640" s="57"/>
      <c r="M1640" s="57"/>
    </row>
    <row r="1641" spans="1:13" ht="15" customHeight="1">
      <c r="A1641" s="73"/>
      <c r="B1641" s="2"/>
      <c r="C1641" s="2"/>
      <c r="D1641" s="2"/>
      <c r="E1641" s="4"/>
      <c r="F1641" s="4"/>
      <c r="G1641" s="4"/>
      <c r="H1641" s="61"/>
      <c r="I1641" s="62"/>
      <c r="J1641" s="62"/>
      <c r="K1641" s="78"/>
      <c r="L1641" s="57"/>
      <c r="M1641" s="57"/>
    </row>
    <row r="1642" spans="1:13" ht="15" customHeight="1">
      <c r="A1642" s="73"/>
      <c r="B1642" s="2"/>
      <c r="C1642" s="2"/>
      <c r="D1642" s="2"/>
      <c r="E1642" s="4"/>
      <c r="F1642" s="4"/>
      <c r="G1642" s="4"/>
      <c r="H1642" s="61"/>
      <c r="I1642" s="62"/>
      <c r="J1642" s="62"/>
      <c r="K1642" s="78"/>
      <c r="L1642" s="57"/>
      <c r="M1642" s="57"/>
    </row>
    <row r="1643" spans="1:13" ht="15" customHeight="1">
      <c r="A1643" s="73"/>
      <c r="B1643" s="2"/>
      <c r="C1643" s="2"/>
      <c r="D1643" s="2"/>
      <c r="E1643" s="4"/>
      <c r="F1643" s="4"/>
      <c r="G1643" s="4"/>
      <c r="H1643" s="61"/>
      <c r="I1643" s="62"/>
      <c r="J1643" s="62"/>
      <c r="K1643" s="78"/>
      <c r="L1643" s="57"/>
      <c r="M1643" s="57"/>
    </row>
    <row r="1644" spans="1:13" ht="15" customHeight="1">
      <c r="A1644" s="73"/>
      <c r="B1644" s="2"/>
      <c r="C1644" s="2"/>
      <c r="D1644" s="2"/>
      <c r="E1644" s="4"/>
      <c r="F1644" s="4"/>
      <c r="G1644" s="4"/>
      <c r="H1644" s="61"/>
      <c r="I1644" s="62"/>
      <c r="J1644" s="62"/>
      <c r="K1644" s="78"/>
      <c r="L1644" s="57"/>
      <c r="M1644" s="57"/>
    </row>
    <row r="1645" spans="1:13" ht="15" customHeight="1">
      <c r="A1645" s="73"/>
      <c r="B1645" s="2"/>
      <c r="C1645" s="2"/>
      <c r="D1645" s="2"/>
      <c r="E1645" s="4"/>
      <c r="F1645" s="4"/>
      <c r="G1645" s="4"/>
      <c r="H1645" s="61"/>
      <c r="I1645" s="62"/>
      <c r="J1645" s="62"/>
      <c r="K1645" s="78"/>
      <c r="L1645" s="57"/>
      <c r="M1645" s="57"/>
    </row>
    <row r="1646" spans="1:13" ht="15" customHeight="1">
      <c r="A1646" s="73"/>
      <c r="B1646" s="2"/>
      <c r="C1646" s="2"/>
      <c r="D1646" s="2"/>
      <c r="E1646" s="4"/>
      <c r="F1646" s="4"/>
      <c r="G1646" s="4"/>
      <c r="H1646" s="61"/>
      <c r="I1646" s="62"/>
      <c r="J1646" s="62"/>
      <c r="K1646" s="78"/>
      <c r="L1646" s="57"/>
      <c r="M1646" s="57"/>
    </row>
    <row r="1647" spans="1:13" ht="15" customHeight="1">
      <c r="A1647" s="73"/>
      <c r="B1647" s="2"/>
      <c r="C1647" s="2"/>
      <c r="D1647" s="2"/>
      <c r="E1647" s="4"/>
      <c r="F1647" s="4"/>
      <c r="G1647" s="4"/>
      <c r="H1647" s="61"/>
      <c r="I1647" s="62"/>
      <c r="J1647" s="62"/>
      <c r="K1647" s="78"/>
      <c r="L1647" s="57"/>
      <c r="M1647" s="57"/>
    </row>
    <row r="1648" spans="1:13" ht="15" customHeight="1">
      <c r="A1648" s="73"/>
      <c r="B1648" s="2"/>
      <c r="C1648" s="2"/>
      <c r="D1648" s="2"/>
      <c r="E1648" s="4"/>
      <c r="F1648" s="4"/>
      <c r="G1648" s="4"/>
      <c r="H1648" s="61"/>
      <c r="I1648" s="62"/>
      <c r="J1648" s="62"/>
      <c r="K1648" s="78"/>
      <c r="L1648" s="57"/>
      <c r="M1648" s="57"/>
    </row>
    <row r="1649" spans="1:13" ht="15" customHeight="1">
      <c r="A1649" s="73"/>
      <c r="B1649" s="2"/>
      <c r="C1649" s="2"/>
      <c r="D1649" s="2"/>
      <c r="E1649" s="4"/>
      <c r="F1649" s="4"/>
      <c r="G1649" s="4"/>
      <c r="H1649" s="61"/>
      <c r="I1649" s="62"/>
      <c r="J1649" s="62"/>
      <c r="K1649" s="78"/>
      <c r="L1649" s="57"/>
      <c r="M1649" s="57"/>
    </row>
    <row r="1650" spans="1:13" ht="15" customHeight="1">
      <c r="A1650" s="73"/>
      <c r="B1650" s="2"/>
      <c r="C1650" s="2"/>
      <c r="D1650" s="2"/>
      <c r="E1650" s="4"/>
      <c r="F1650" s="4"/>
      <c r="G1650" s="4"/>
      <c r="H1650" s="61"/>
      <c r="I1650" s="62"/>
      <c r="J1650" s="62"/>
      <c r="K1650" s="78"/>
      <c r="L1650" s="57"/>
      <c r="M1650" s="57"/>
    </row>
    <row r="1651" spans="1:13" ht="15" customHeight="1">
      <c r="A1651" s="73"/>
      <c r="B1651" s="2"/>
      <c r="C1651" s="2"/>
      <c r="D1651" s="2"/>
      <c r="E1651" s="4"/>
      <c r="F1651" s="4"/>
      <c r="G1651" s="4"/>
      <c r="H1651" s="61"/>
      <c r="I1651" s="62"/>
      <c r="J1651" s="62"/>
      <c r="K1651" s="78"/>
      <c r="L1651" s="57"/>
      <c r="M1651" s="57"/>
    </row>
    <row r="1652" spans="1:13" ht="15" customHeight="1">
      <c r="A1652" s="73"/>
      <c r="B1652" s="2"/>
      <c r="C1652" s="2"/>
      <c r="D1652" s="2"/>
      <c r="E1652" s="4"/>
      <c r="F1652" s="4"/>
      <c r="G1652" s="4"/>
      <c r="H1652" s="61"/>
      <c r="I1652" s="62"/>
      <c r="J1652" s="62"/>
      <c r="K1652" s="78"/>
      <c r="L1652" s="57"/>
      <c r="M1652" s="57"/>
    </row>
    <row r="1653" spans="1:13" ht="15" customHeight="1">
      <c r="A1653" s="73"/>
      <c r="B1653" s="2"/>
      <c r="C1653" s="2"/>
      <c r="D1653" s="2"/>
      <c r="E1653" s="4"/>
      <c r="F1653" s="4"/>
      <c r="G1653" s="4"/>
      <c r="H1653" s="61"/>
      <c r="I1653" s="62"/>
      <c r="J1653" s="62"/>
      <c r="K1653" s="78"/>
      <c r="L1653" s="57"/>
      <c r="M1653" s="57"/>
    </row>
    <row r="1654" spans="1:13" ht="15" customHeight="1">
      <c r="A1654" s="73"/>
      <c r="B1654" s="2"/>
      <c r="C1654" s="2"/>
      <c r="D1654" s="2"/>
      <c r="E1654" s="4"/>
      <c r="F1654" s="4"/>
      <c r="G1654" s="4"/>
      <c r="H1654" s="61"/>
      <c r="I1654" s="62"/>
      <c r="J1654" s="62"/>
      <c r="K1654" s="78"/>
      <c r="L1654" s="57"/>
      <c r="M1654" s="57"/>
    </row>
    <row r="1655" spans="1:13" ht="15" customHeight="1">
      <c r="A1655" s="73"/>
      <c r="B1655" s="2"/>
      <c r="C1655" s="2"/>
      <c r="D1655" s="2"/>
      <c r="E1655" s="4"/>
      <c r="F1655" s="4"/>
      <c r="G1655" s="4"/>
      <c r="H1655" s="61"/>
      <c r="I1655" s="62"/>
      <c r="J1655" s="62"/>
      <c r="K1655" s="78"/>
      <c r="L1655" s="57"/>
      <c r="M1655" s="57"/>
    </row>
    <row r="1656" spans="1:13" ht="15" customHeight="1">
      <c r="A1656" s="73"/>
      <c r="B1656" s="2"/>
      <c r="C1656" s="2"/>
      <c r="D1656" s="2"/>
      <c r="E1656" s="4"/>
      <c r="F1656" s="4"/>
      <c r="G1656" s="4"/>
      <c r="H1656" s="61"/>
      <c r="I1656" s="62"/>
      <c r="J1656" s="62"/>
      <c r="K1656" s="78"/>
      <c r="L1656" s="57"/>
      <c r="M1656" s="57"/>
    </row>
    <row r="1657" spans="1:13" ht="15" customHeight="1">
      <c r="A1657" s="73"/>
      <c r="B1657" s="2"/>
      <c r="C1657" s="2"/>
      <c r="D1657" s="2"/>
      <c r="E1657" s="4"/>
      <c r="F1657" s="4"/>
      <c r="G1657" s="4"/>
      <c r="H1657" s="61"/>
      <c r="I1657" s="62"/>
      <c r="J1657" s="62"/>
      <c r="K1657" s="78"/>
      <c r="L1657" s="57"/>
      <c r="M1657" s="57"/>
    </row>
    <row r="1658" spans="1:13" ht="15" customHeight="1">
      <c r="A1658" s="73"/>
      <c r="B1658" s="2"/>
      <c r="C1658" s="2"/>
      <c r="D1658" s="2"/>
      <c r="E1658" s="4"/>
      <c r="F1658" s="4"/>
      <c r="G1658" s="4"/>
      <c r="H1658" s="61"/>
      <c r="I1658" s="62"/>
      <c r="J1658" s="62"/>
      <c r="K1658" s="78"/>
      <c r="L1658" s="57"/>
      <c r="M1658" s="57"/>
    </row>
    <row r="1659" spans="1:13" ht="15" customHeight="1">
      <c r="A1659" s="73"/>
      <c r="B1659" s="2"/>
      <c r="C1659" s="2"/>
      <c r="D1659" s="2"/>
      <c r="E1659" s="4"/>
      <c r="F1659" s="4"/>
      <c r="G1659" s="4"/>
      <c r="H1659" s="61"/>
      <c r="I1659" s="62"/>
      <c r="J1659" s="62"/>
      <c r="K1659" s="78"/>
      <c r="L1659" s="57"/>
      <c r="M1659" s="57"/>
    </row>
    <row r="1660" spans="1:13" ht="15" customHeight="1">
      <c r="A1660" s="73"/>
      <c r="B1660" s="2"/>
      <c r="C1660" s="2"/>
      <c r="D1660" s="2"/>
      <c r="E1660" s="4"/>
      <c r="F1660" s="4"/>
      <c r="G1660" s="4"/>
      <c r="H1660" s="61"/>
      <c r="I1660" s="62"/>
      <c r="J1660" s="62"/>
      <c r="K1660" s="78"/>
      <c r="L1660" s="57"/>
      <c r="M1660" s="57"/>
    </row>
    <row r="1661" spans="1:13" ht="15" customHeight="1">
      <c r="A1661" s="73"/>
      <c r="B1661" s="2"/>
      <c r="C1661" s="2"/>
      <c r="D1661" s="2"/>
      <c r="E1661" s="4"/>
      <c r="F1661" s="4"/>
      <c r="G1661" s="4"/>
      <c r="H1661" s="61"/>
      <c r="I1661" s="62"/>
      <c r="J1661" s="62"/>
      <c r="K1661" s="78"/>
      <c r="L1661" s="57"/>
      <c r="M1661" s="57"/>
    </row>
    <row r="1662" spans="1:13" ht="15" customHeight="1">
      <c r="A1662" s="73"/>
      <c r="B1662" s="2"/>
      <c r="C1662" s="2"/>
      <c r="D1662" s="2"/>
      <c r="E1662" s="4"/>
      <c r="F1662" s="4"/>
      <c r="G1662" s="4"/>
      <c r="H1662" s="61"/>
      <c r="I1662" s="62"/>
      <c r="J1662" s="62"/>
      <c r="K1662" s="78"/>
      <c r="L1662" s="57"/>
      <c r="M1662" s="57"/>
    </row>
    <row r="1663" spans="1:13" ht="15" customHeight="1">
      <c r="A1663" s="73"/>
      <c r="B1663" s="2"/>
      <c r="C1663" s="2"/>
      <c r="D1663" s="2"/>
      <c r="E1663" s="4"/>
      <c r="F1663" s="4"/>
      <c r="G1663" s="4"/>
      <c r="H1663" s="61"/>
      <c r="I1663" s="62"/>
      <c r="J1663" s="62"/>
      <c r="K1663" s="78"/>
      <c r="L1663" s="57"/>
      <c r="M1663" s="57"/>
    </row>
    <row r="1664" spans="1:13" ht="15" customHeight="1">
      <c r="A1664" s="73"/>
      <c r="B1664" s="2"/>
      <c r="C1664" s="2"/>
      <c r="D1664" s="2"/>
      <c r="E1664" s="4"/>
      <c r="F1664" s="4"/>
      <c r="G1664" s="4"/>
      <c r="H1664" s="61"/>
      <c r="I1664" s="62"/>
      <c r="J1664" s="62"/>
      <c r="K1664" s="78"/>
      <c r="L1664" s="57"/>
      <c r="M1664" s="57"/>
    </row>
    <row r="1665" spans="1:13" ht="15" customHeight="1">
      <c r="A1665" s="73"/>
      <c r="B1665" s="2"/>
      <c r="C1665" s="2"/>
      <c r="D1665" s="2"/>
      <c r="E1665" s="4"/>
      <c r="F1665" s="4"/>
      <c r="G1665" s="4"/>
      <c r="H1665" s="61"/>
      <c r="I1665" s="62"/>
      <c r="J1665" s="62"/>
      <c r="K1665" s="78"/>
      <c r="L1665" s="57"/>
      <c r="M1665" s="57"/>
    </row>
    <row r="1666" spans="1:13" ht="15" customHeight="1">
      <c r="A1666" s="73"/>
      <c r="B1666" s="2"/>
      <c r="C1666" s="2"/>
      <c r="D1666" s="2"/>
      <c r="E1666" s="4"/>
      <c r="F1666" s="4"/>
      <c r="G1666" s="4"/>
      <c r="H1666" s="61"/>
      <c r="I1666" s="62"/>
      <c r="J1666" s="62"/>
      <c r="K1666" s="78"/>
      <c r="L1666" s="57"/>
      <c r="M1666" s="57"/>
    </row>
    <row r="1667" spans="1:13" ht="15" customHeight="1">
      <c r="A1667" s="73"/>
      <c r="B1667" s="2"/>
      <c r="C1667" s="2"/>
      <c r="D1667" s="2"/>
      <c r="E1667" s="4"/>
      <c r="F1667" s="4"/>
      <c r="G1667" s="4"/>
      <c r="H1667" s="61"/>
      <c r="I1667" s="62"/>
      <c r="J1667" s="62"/>
      <c r="K1667" s="78"/>
      <c r="L1667" s="57"/>
      <c r="M1667" s="57"/>
    </row>
    <row r="1668" spans="1:13" ht="15" customHeight="1">
      <c r="A1668" s="73"/>
      <c r="B1668" s="2"/>
      <c r="C1668" s="2"/>
      <c r="D1668" s="2"/>
      <c r="E1668" s="4"/>
      <c r="F1668" s="4"/>
      <c r="G1668" s="4"/>
      <c r="H1668" s="61"/>
      <c r="I1668" s="62"/>
      <c r="J1668" s="62"/>
      <c r="K1668" s="78"/>
      <c r="L1668" s="57"/>
      <c r="M1668" s="57"/>
    </row>
    <row r="1669" spans="1:13" ht="15" customHeight="1">
      <c r="A1669" s="73"/>
      <c r="B1669" s="2"/>
      <c r="C1669" s="2"/>
      <c r="D1669" s="2"/>
      <c r="E1669" s="4"/>
      <c r="F1669" s="4"/>
      <c r="G1669" s="4"/>
      <c r="H1669" s="61"/>
      <c r="I1669" s="62"/>
      <c r="J1669" s="62"/>
      <c r="K1669" s="78"/>
      <c r="L1669" s="57"/>
      <c r="M1669" s="57"/>
    </row>
    <row r="1670" spans="1:13" ht="15" customHeight="1">
      <c r="A1670" s="73"/>
      <c r="B1670" s="2"/>
      <c r="C1670" s="2"/>
      <c r="D1670" s="2"/>
      <c r="E1670" s="4"/>
      <c r="F1670" s="4"/>
      <c r="G1670" s="4"/>
      <c r="H1670" s="61"/>
      <c r="I1670" s="62"/>
      <c r="J1670" s="62"/>
      <c r="K1670" s="78"/>
      <c r="L1670" s="57"/>
      <c r="M1670" s="57"/>
    </row>
    <row r="1671" spans="1:13" ht="15" customHeight="1">
      <c r="A1671" s="73"/>
      <c r="B1671" s="2"/>
      <c r="C1671" s="2"/>
      <c r="D1671" s="2"/>
      <c r="E1671" s="4"/>
      <c r="F1671" s="4"/>
      <c r="G1671" s="4"/>
      <c r="H1671" s="61"/>
      <c r="I1671" s="62"/>
      <c r="J1671" s="62"/>
      <c r="K1671" s="78"/>
      <c r="L1671" s="57"/>
      <c r="M1671" s="57"/>
    </row>
    <row r="1672" spans="1:13" ht="15" customHeight="1">
      <c r="A1672" s="73"/>
      <c r="B1672" s="2"/>
      <c r="C1672" s="2"/>
      <c r="D1672" s="2"/>
      <c r="E1672" s="4"/>
      <c r="F1672" s="4"/>
      <c r="G1672" s="4"/>
      <c r="H1672" s="61"/>
      <c r="I1672" s="62"/>
      <c r="J1672" s="62"/>
      <c r="K1672" s="78"/>
      <c r="L1672" s="57"/>
      <c r="M1672" s="57"/>
    </row>
    <row r="1673" spans="1:13" ht="15" customHeight="1">
      <c r="A1673" s="73"/>
      <c r="B1673" s="2"/>
      <c r="C1673" s="2"/>
      <c r="D1673" s="2"/>
      <c r="E1673" s="4"/>
      <c r="F1673" s="4"/>
      <c r="G1673" s="4"/>
      <c r="H1673" s="61"/>
      <c r="I1673" s="62"/>
      <c r="J1673" s="62"/>
      <c r="K1673" s="78"/>
      <c r="L1673" s="57"/>
      <c r="M1673" s="57"/>
    </row>
    <row r="1674" spans="1:13" ht="15" customHeight="1">
      <c r="A1674" s="73"/>
      <c r="B1674" s="2"/>
      <c r="C1674" s="2"/>
      <c r="D1674" s="2"/>
      <c r="E1674" s="4"/>
      <c r="F1674" s="4"/>
      <c r="G1674" s="4"/>
      <c r="H1674" s="61"/>
      <c r="I1674" s="62"/>
      <c r="J1674" s="62"/>
      <c r="K1674" s="78"/>
      <c r="L1674" s="57"/>
      <c r="M1674" s="57"/>
    </row>
    <row r="1675" spans="1:13" ht="15" customHeight="1">
      <c r="A1675" s="73"/>
      <c r="B1675" s="2"/>
      <c r="C1675" s="2"/>
      <c r="D1675" s="2"/>
      <c r="E1675" s="4"/>
      <c r="F1675" s="4"/>
      <c r="G1675" s="4"/>
      <c r="H1675" s="61"/>
      <c r="I1675" s="62"/>
      <c r="J1675" s="62"/>
      <c r="K1675" s="78"/>
      <c r="L1675" s="57"/>
      <c r="M1675" s="57"/>
    </row>
    <row r="1676" spans="1:13" ht="15" customHeight="1">
      <c r="A1676" s="73"/>
      <c r="B1676" s="2"/>
      <c r="C1676" s="2"/>
      <c r="D1676" s="2"/>
      <c r="E1676" s="4"/>
      <c r="F1676" s="4"/>
      <c r="G1676" s="4"/>
      <c r="H1676" s="61"/>
      <c r="I1676" s="62"/>
      <c r="J1676" s="62"/>
      <c r="K1676" s="78"/>
      <c r="L1676" s="57"/>
      <c r="M1676" s="57"/>
    </row>
    <row r="1677" spans="1:13" ht="15" customHeight="1">
      <c r="A1677" s="73"/>
      <c r="B1677" s="2"/>
      <c r="C1677" s="2"/>
      <c r="D1677" s="2"/>
      <c r="E1677" s="4"/>
      <c r="F1677" s="4"/>
      <c r="G1677" s="4"/>
      <c r="H1677" s="61"/>
      <c r="I1677" s="62"/>
      <c r="J1677" s="62"/>
      <c r="K1677" s="78"/>
      <c r="L1677" s="57"/>
      <c r="M1677" s="57"/>
    </row>
    <row r="1678" spans="1:13" ht="15" customHeight="1">
      <c r="A1678" s="73"/>
      <c r="B1678" s="2"/>
      <c r="C1678" s="2"/>
      <c r="D1678" s="2"/>
      <c r="E1678" s="4"/>
      <c r="F1678" s="4"/>
      <c r="G1678" s="4"/>
      <c r="H1678" s="61"/>
      <c r="I1678" s="62"/>
      <c r="J1678" s="62"/>
      <c r="K1678" s="78"/>
      <c r="L1678" s="57"/>
      <c r="M1678" s="57"/>
    </row>
    <row r="1679" spans="1:13" ht="15" customHeight="1">
      <c r="A1679" s="73"/>
      <c r="B1679" s="2"/>
      <c r="C1679" s="2"/>
      <c r="D1679" s="2"/>
      <c r="E1679" s="4"/>
      <c r="F1679" s="4"/>
      <c r="G1679" s="4"/>
      <c r="H1679" s="61"/>
      <c r="I1679" s="62"/>
      <c r="J1679" s="62"/>
      <c r="K1679" s="78"/>
      <c r="L1679" s="57"/>
      <c r="M1679" s="57"/>
    </row>
    <row r="1680" spans="1:13" ht="15" customHeight="1">
      <c r="A1680" s="73"/>
      <c r="B1680" s="2"/>
      <c r="C1680" s="2"/>
      <c r="D1680" s="2"/>
      <c r="E1680" s="4"/>
      <c r="F1680" s="4"/>
      <c r="G1680" s="4"/>
      <c r="H1680" s="61"/>
      <c r="I1680" s="62"/>
      <c r="J1680" s="62"/>
      <c r="K1680" s="78"/>
      <c r="L1680" s="57"/>
      <c r="M1680" s="57"/>
    </row>
    <row r="1681" spans="1:13" ht="15" customHeight="1">
      <c r="A1681" s="73"/>
      <c r="B1681" s="2"/>
      <c r="C1681" s="2"/>
      <c r="D1681" s="2"/>
      <c r="E1681" s="4"/>
      <c r="F1681" s="4"/>
      <c r="G1681" s="4"/>
      <c r="H1681" s="61"/>
      <c r="I1681" s="62"/>
      <c r="J1681" s="62"/>
      <c r="K1681" s="78"/>
      <c r="L1681" s="57"/>
      <c r="M1681" s="57"/>
    </row>
    <row r="1682" spans="1:13" ht="15" customHeight="1">
      <c r="A1682" s="73"/>
      <c r="B1682" s="2"/>
      <c r="C1682" s="2"/>
      <c r="D1682" s="2"/>
      <c r="E1682" s="4"/>
      <c r="F1682" s="4"/>
      <c r="G1682" s="4"/>
      <c r="H1682" s="61"/>
      <c r="I1682" s="62"/>
      <c r="J1682" s="62"/>
      <c r="K1682" s="78"/>
      <c r="L1682" s="57"/>
      <c r="M1682" s="57"/>
    </row>
    <row r="1683" spans="1:13" ht="15" customHeight="1">
      <c r="A1683" s="73"/>
      <c r="B1683" s="2"/>
      <c r="C1683" s="2"/>
      <c r="D1683" s="2"/>
      <c r="E1683" s="4"/>
      <c r="F1683" s="4"/>
      <c r="G1683" s="4"/>
      <c r="H1683" s="61"/>
      <c r="I1683" s="62"/>
      <c r="J1683" s="62"/>
      <c r="K1683" s="78"/>
      <c r="L1683" s="57"/>
      <c r="M1683" s="57"/>
    </row>
    <row r="1684" spans="1:13" ht="15" customHeight="1">
      <c r="A1684" s="73"/>
      <c r="B1684" s="2"/>
      <c r="C1684" s="2"/>
      <c r="D1684" s="2"/>
      <c r="E1684" s="4"/>
      <c r="F1684" s="4"/>
      <c r="G1684" s="4"/>
      <c r="H1684" s="61"/>
      <c r="I1684" s="62"/>
      <c r="J1684" s="62"/>
      <c r="K1684" s="78"/>
      <c r="L1684" s="57"/>
      <c r="M1684" s="57"/>
    </row>
    <row r="1685" spans="1:13" ht="15" customHeight="1">
      <c r="A1685" s="73"/>
      <c r="B1685" s="2"/>
      <c r="C1685" s="2"/>
      <c r="D1685" s="2"/>
      <c r="E1685" s="4"/>
      <c r="F1685" s="4"/>
      <c r="G1685" s="4"/>
      <c r="H1685" s="61"/>
      <c r="I1685" s="62"/>
      <c r="J1685" s="62"/>
      <c r="K1685" s="78"/>
      <c r="L1685" s="57"/>
      <c r="M1685" s="57"/>
    </row>
    <row r="1686" spans="1:13" ht="15" customHeight="1">
      <c r="A1686" s="73"/>
      <c r="B1686" s="2"/>
      <c r="C1686" s="2"/>
      <c r="D1686" s="2"/>
      <c r="E1686" s="4"/>
      <c r="F1686" s="4"/>
      <c r="G1686" s="4"/>
      <c r="H1686" s="61"/>
      <c r="I1686" s="62"/>
      <c r="J1686" s="62"/>
      <c r="K1686" s="78"/>
      <c r="L1686" s="57"/>
      <c r="M1686" s="57"/>
    </row>
    <row r="1687" spans="1:13" ht="15" customHeight="1">
      <c r="A1687" s="73"/>
      <c r="B1687" s="2"/>
      <c r="C1687" s="2"/>
      <c r="D1687" s="2"/>
      <c r="E1687" s="4"/>
      <c r="F1687" s="4"/>
      <c r="G1687" s="4"/>
      <c r="H1687" s="61"/>
      <c r="I1687" s="62"/>
      <c r="J1687" s="62"/>
      <c r="K1687" s="78"/>
      <c r="L1687" s="57"/>
      <c r="M1687" s="57"/>
    </row>
    <row r="1688" spans="1:13" ht="15" customHeight="1">
      <c r="A1688" s="73"/>
      <c r="B1688" s="2"/>
      <c r="C1688" s="2"/>
      <c r="D1688" s="2"/>
      <c r="E1688" s="4"/>
      <c r="F1688" s="4"/>
      <c r="G1688" s="4"/>
      <c r="H1688" s="61"/>
      <c r="I1688" s="62"/>
      <c r="J1688" s="62"/>
      <c r="K1688" s="78"/>
      <c r="L1688" s="57"/>
      <c r="M1688" s="57"/>
    </row>
    <row r="1689" spans="1:13" ht="15" customHeight="1">
      <c r="A1689" s="73"/>
      <c r="B1689" s="2"/>
      <c r="C1689" s="2"/>
      <c r="D1689" s="2"/>
      <c r="E1689" s="4"/>
      <c r="F1689" s="4"/>
      <c r="G1689" s="4"/>
      <c r="H1689" s="61"/>
      <c r="I1689" s="62"/>
      <c r="J1689" s="62"/>
      <c r="K1689" s="78"/>
      <c r="L1689" s="57"/>
      <c r="M1689" s="57"/>
    </row>
    <row r="1690" spans="1:13" ht="15" customHeight="1">
      <c r="A1690" s="73"/>
      <c r="B1690" s="2"/>
      <c r="C1690" s="2"/>
      <c r="D1690" s="2"/>
      <c r="E1690" s="4"/>
      <c r="F1690" s="4"/>
      <c r="G1690" s="4"/>
      <c r="H1690" s="61"/>
      <c r="I1690" s="62"/>
      <c r="J1690" s="62"/>
      <c r="K1690" s="78"/>
      <c r="L1690" s="57"/>
      <c r="M1690" s="57"/>
    </row>
    <row r="1691" spans="1:13" ht="15" customHeight="1">
      <c r="A1691" s="73"/>
      <c r="B1691" s="2"/>
      <c r="C1691" s="2"/>
      <c r="D1691" s="2"/>
      <c r="E1691" s="4"/>
      <c r="F1691" s="4"/>
      <c r="G1691" s="4"/>
      <c r="H1691" s="61"/>
      <c r="I1691" s="62"/>
      <c r="J1691" s="62"/>
      <c r="K1691" s="78"/>
      <c r="L1691" s="57"/>
      <c r="M1691" s="57"/>
    </row>
    <row r="1692" spans="1:13" ht="15" customHeight="1">
      <c r="A1692" s="73"/>
      <c r="B1692" s="2"/>
      <c r="C1692" s="2"/>
      <c r="D1692" s="2"/>
      <c r="E1692" s="4"/>
      <c r="F1692" s="4"/>
      <c r="G1692" s="4"/>
      <c r="H1692" s="61"/>
      <c r="I1692" s="62"/>
      <c r="J1692" s="62"/>
      <c r="K1692" s="78"/>
      <c r="L1692" s="57"/>
      <c r="M1692" s="57"/>
    </row>
    <row r="1693" spans="1:13" ht="15" customHeight="1">
      <c r="A1693" s="73"/>
      <c r="B1693" s="2"/>
      <c r="C1693" s="2"/>
      <c r="D1693" s="2"/>
      <c r="E1693" s="4"/>
      <c r="F1693" s="4"/>
      <c r="G1693" s="4"/>
      <c r="H1693" s="61"/>
      <c r="I1693" s="62"/>
      <c r="J1693" s="62"/>
      <c r="K1693" s="78"/>
      <c r="L1693" s="57"/>
      <c r="M1693" s="57"/>
    </row>
    <row r="1694" spans="1:13" ht="15" customHeight="1">
      <c r="A1694" s="73"/>
      <c r="B1694" s="2"/>
      <c r="C1694" s="2"/>
      <c r="D1694" s="2"/>
      <c r="E1694" s="4"/>
      <c r="F1694" s="4"/>
      <c r="G1694" s="4"/>
      <c r="H1694" s="61"/>
      <c r="I1694" s="62"/>
      <c r="J1694" s="62"/>
      <c r="K1694" s="78"/>
      <c r="L1694" s="57"/>
      <c r="M1694" s="57"/>
    </row>
    <row r="1695" spans="1:13" ht="15" customHeight="1">
      <c r="A1695" s="73"/>
      <c r="B1695" s="2"/>
      <c r="C1695" s="2"/>
      <c r="D1695" s="2"/>
      <c r="E1695" s="4"/>
      <c r="F1695" s="4"/>
      <c r="G1695" s="4"/>
      <c r="H1695" s="61"/>
      <c r="I1695" s="62"/>
      <c r="J1695" s="62"/>
      <c r="K1695" s="78"/>
      <c r="L1695" s="57"/>
      <c r="M1695" s="57"/>
    </row>
    <row r="1696" spans="1:13" ht="15" customHeight="1">
      <c r="A1696" s="73"/>
      <c r="B1696" s="2"/>
      <c r="C1696" s="2"/>
      <c r="D1696" s="2"/>
      <c r="E1696" s="4"/>
      <c r="F1696" s="4"/>
      <c r="G1696" s="4"/>
      <c r="H1696" s="61"/>
      <c r="I1696" s="62"/>
      <c r="J1696" s="62"/>
      <c r="K1696" s="78"/>
      <c r="L1696" s="57"/>
      <c r="M1696" s="57"/>
    </row>
    <row r="1697" spans="1:13" ht="15" customHeight="1">
      <c r="A1697" s="73"/>
      <c r="B1697" s="2"/>
      <c r="C1697" s="2"/>
      <c r="D1697" s="2"/>
      <c r="E1697" s="4"/>
      <c r="F1697" s="4"/>
      <c r="G1697" s="4"/>
      <c r="H1697" s="61"/>
      <c r="I1697" s="62"/>
      <c r="J1697" s="62"/>
      <c r="K1697" s="78"/>
      <c r="L1697" s="57"/>
      <c r="M1697" s="57"/>
    </row>
    <row r="1698" spans="1:13" ht="15" customHeight="1">
      <c r="A1698" s="73"/>
      <c r="B1698" s="2"/>
      <c r="C1698" s="2"/>
      <c r="D1698" s="2"/>
      <c r="E1698" s="4"/>
      <c r="F1698" s="4"/>
      <c r="G1698" s="4"/>
      <c r="H1698" s="61"/>
      <c r="I1698" s="62"/>
      <c r="J1698" s="62"/>
      <c r="K1698" s="78"/>
      <c r="L1698" s="57"/>
      <c r="M1698" s="57"/>
    </row>
    <row r="1699" spans="1:13" ht="15" customHeight="1">
      <c r="A1699" s="73"/>
      <c r="B1699" s="2"/>
      <c r="C1699" s="2"/>
      <c r="D1699" s="2"/>
      <c r="E1699" s="4"/>
      <c r="F1699" s="4"/>
      <c r="G1699" s="4"/>
      <c r="H1699" s="61"/>
      <c r="I1699" s="62"/>
      <c r="J1699" s="62"/>
      <c r="K1699" s="78"/>
      <c r="L1699" s="57"/>
      <c r="M1699" s="57"/>
    </row>
    <row r="1700" spans="1:13" ht="15" customHeight="1">
      <c r="A1700" s="73"/>
      <c r="B1700" s="2"/>
      <c r="C1700" s="2"/>
      <c r="D1700" s="2"/>
      <c r="E1700" s="4"/>
      <c r="F1700" s="4"/>
      <c r="G1700" s="4"/>
      <c r="H1700" s="61"/>
      <c r="I1700" s="62"/>
      <c r="J1700" s="62"/>
      <c r="K1700" s="78"/>
      <c r="L1700" s="57"/>
      <c r="M1700" s="57"/>
    </row>
    <row r="1701" spans="1:13" ht="15" customHeight="1">
      <c r="A1701" s="73"/>
      <c r="B1701" s="2"/>
      <c r="C1701" s="2"/>
      <c r="D1701" s="2"/>
      <c r="E1701" s="4"/>
      <c r="F1701" s="4"/>
      <c r="G1701" s="4"/>
      <c r="H1701" s="61"/>
      <c r="I1701" s="62"/>
      <c r="J1701" s="62"/>
      <c r="K1701" s="78"/>
      <c r="L1701" s="57"/>
      <c r="M1701" s="57"/>
    </row>
    <row r="1702" spans="1:13" ht="15" customHeight="1">
      <c r="A1702" s="73"/>
      <c r="B1702" s="2"/>
      <c r="C1702" s="2"/>
      <c r="D1702" s="2"/>
      <c r="E1702" s="4"/>
      <c r="F1702" s="4"/>
      <c r="G1702" s="4"/>
      <c r="H1702" s="61"/>
      <c r="I1702" s="62"/>
      <c r="J1702" s="62"/>
      <c r="K1702" s="78"/>
      <c r="L1702" s="57"/>
      <c r="M1702" s="57"/>
    </row>
    <row r="1703" spans="1:13" ht="15" customHeight="1">
      <c r="A1703" s="73"/>
      <c r="B1703" s="2"/>
      <c r="C1703" s="2"/>
      <c r="D1703" s="2"/>
      <c r="E1703" s="4"/>
      <c r="F1703" s="4"/>
      <c r="G1703" s="4"/>
      <c r="H1703" s="61"/>
      <c r="I1703" s="62"/>
      <c r="J1703" s="62"/>
      <c r="K1703" s="78"/>
      <c r="L1703" s="57"/>
      <c r="M1703" s="57"/>
    </row>
    <row r="1704" spans="1:13" ht="15" customHeight="1">
      <c r="A1704" s="73"/>
      <c r="B1704" s="2"/>
      <c r="C1704" s="2"/>
      <c r="D1704" s="2"/>
      <c r="E1704" s="4"/>
      <c r="F1704" s="4"/>
      <c r="G1704" s="4"/>
      <c r="H1704" s="61"/>
      <c r="I1704" s="62"/>
      <c r="J1704" s="62"/>
      <c r="K1704" s="78"/>
      <c r="L1704" s="57"/>
      <c r="M1704" s="57"/>
    </row>
    <row r="1705" spans="1:13" ht="15" customHeight="1">
      <c r="A1705" s="73"/>
      <c r="B1705" s="2"/>
      <c r="C1705" s="2"/>
      <c r="D1705" s="2"/>
      <c r="E1705" s="4"/>
      <c r="F1705" s="4"/>
      <c r="G1705" s="4"/>
      <c r="H1705" s="61"/>
      <c r="I1705" s="62"/>
      <c r="J1705" s="62"/>
      <c r="K1705" s="78"/>
      <c r="L1705" s="57"/>
      <c r="M1705" s="57"/>
    </row>
    <row r="1706" spans="1:13" ht="15" customHeight="1">
      <c r="A1706" s="73"/>
      <c r="B1706" s="2"/>
      <c r="C1706" s="2"/>
      <c r="D1706" s="2"/>
      <c r="E1706" s="4"/>
      <c r="F1706" s="4"/>
      <c r="G1706" s="4"/>
      <c r="H1706" s="61"/>
      <c r="I1706" s="62"/>
      <c r="J1706" s="62"/>
      <c r="K1706" s="78"/>
      <c r="L1706" s="57"/>
      <c r="M1706" s="57"/>
    </row>
    <row r="1707" spans="1:13" ht="15" customHeight="1">
      <c r="A1707" s="73"/>
      <c r="B1707" s="2"/>
      <c r="C1707" s="2"/>
      <c r="D1707" s="2"/>
      <c r="E1707" s="4"/>
      <c r="F1707" s="4"/>
      <c r="G1707" s="4"/>
      <c r="H1707" s="61"/>
      <c r="I1707" s="62"/>
      <c r="J1707" s="62"/>
      <c r="K1707" s="78"/>
      <c r="L1707" s="57"/>
      <c r="M1707" s="57"/>
    </row>
    <row r="1708" spans="1:13" ht="15" customHeight="1">
      <c r="A1708" s="73"/>
      <c r="B1708" s="2"/>
      <c r="C1708" s="2"/>
      <c r="D1708" s="2"/>
      <c r="E1708" s="4"/>
      <c r="F1708" s="4"/>
      <c r="G1708" s="4"/>
      <c r="H1708" s="61"/>
      <c r="I1708" s="62"/>
      <c r="J1708" s="62"/>
      <c r="K1708" s="78"/>
      <c r="L1708" s="57"/>
      <c r="M1708" s="57"/>
    </row>
    <row r="1709" spans="1:13" ht="15" customHeight="1">
      <c r="A1709" s="73"/>
      <c r="B1709" s="2"/>
      <c r="C1709" s="2"/>
      <c r="D1709" s="2"/>
      <c r="E1709" s="4"/>
      <c r="F1709" s="4"/>
      <c r="G1709" s="4"/>
      <c r="H1709" s="61"/>
      <c r="I1709" s="62"/>
      <c r="J1709" s="62"/>
      <c r="K1709" s="78"/>
      <c r="L1709" s="57"/>
      <c r="M1709" s="57"/>
    </row>
    <row r="1710" spans="1:13" ht="15" customHeight="1">
      <c r="A1710" s="73"/>
      <c r="B1710" s="2"/>
      <c r="C1710" s="2"/>
      <c r="D1710" s="2"/>
      <c r="E1710" s="4"/>
      <c r="F1710" s="4"/>
      <c r="G1710" s="4"/>
      <c r="H1710" s="61"/>
      <c r="I1710" s="62"/>
      <c r="J1710" s="62"/>
      <c r="K1710" s="78"/>
      <c r="L1710" s="57"/>
      <c r="M1710" s="57"/>
    </row>
    <row r="1711" spans="1:13" ht="15" customHeight="1">
      <c r="A1711" s="73"/>
      <c r="B1711" s="2"/>
      <c r="C1711" s="2"/>
      <c r="D1711" s="2"/>
      <c r="E1711" s="4"/>
      <c r="F1711" s="4"/>
      <c r="G1711" s="4"/>
      <c r="H1711" s="61"/>
      <c r="I1711" s="62"/>
      <c r="J1711" s="62"/>
      <c r="K1711" s="78"/>
      <c r="L1711" s="57"/>
      <c r="M1711" s="57"/>
    </row>
    <row r="1712" spans="1:13" ht="15" customHeight="1">
      <c r="A1712" s="73"/>
      <c r="B1712" s="2"/>
      <c r="C1712" s="2"/>
      <c r="D1712" s="2"/>
      <c r="E1712" s="4"/>
      <c r="F1712" s="4"/>
      <c r="G1712" s="4"/>
      <c r="H1712" s="61"/>
      <c r="I1712" s="62"/>
      <c r="J1712" s="62"/>
      <c r="K1712" s="78"/>
      <c r="L1712" s="57"/>
      <c r="M1712" s="57"/>
    </row>
    <row r="1713" spans="1:13" ht="15" customHeight="1">
      <c r="A1713" s="73"/>
      <c r="B1713" s="2"/>
      <c r="C1713" s="2"/>
      <c r="D1713" s="2"/>
      <c r="E1713" s="4"/>
      <c r="F1713" s="4"/>
      <c r="G1713" s="4"/>
      <c r="H1713" s="61"/>
      <c r="I1713" s="62"/>
      <c r="J1713" s="62"/>
      <c r="K1713" s="78"/>
      <c r="L1713" s="57"/>
      <c r="M1713" s="57"/>
    </row>
    <row r="1714" spans="1:13" ht="15" customHeight="1">
      <c r="A1714" s="73"/>
      <c r="B1714" s="2"/>
      <c r="C1714" s="2"/>
      <c r="D1714" s="2"/>
      <c r="E1714" s="4"/>
      <c r="F1714" s="4"/>
      <c r="G1714" s="4"/>
      <c r="H1714" s="61"/>
      <c r="I1714" s="62"/>
      <c r="J1714" s="62"/>
      <c r="K1714" s="78"/>
      <c r="L1714" s="57"/>
      <c r="M1714" s="57"/>
    </row>
    <row r="1715" spans="1:13" ht="15" customHeight="1">
      <c r="A1715" s="73"/>
      <c r="B1715" s="2"/>
      <c r="C1715" s="2"/>
      <c r="D1715" s="2"/>
      <c r="E1715" s="4"/>
      <c r="F1715" s="4"/>
      <c r="G1715" s="4"/>
      <c r="H1715" s="61"/>
      <c r="I1715" s="62"/>
      <c r="J1715" s="62"/>
      <c r="K1715" s="78"/>
      <c r="L1715" s="57"/>
      <c r="M1715" s="57"/>
    </row>
    <row r="1716" spans="1:13" ht="15" customHeight="1">
      <c r="A1716" s="73"/>
      <c r="B1716" s="2"/>
      <c r="C1716" s="2"/>
      <c r="D1716" s="2"/>
      <c r="E1716" s="4"/>
      <c r="F1716" s="4"/>
      <c r="G1716" s="4"/>
      <c r="H1716" s="61"/>
      <c r="I1716" s="62"/>
      <c r="J1716" s="62"/>
      <c r="K1716" s="78"/>
      <c r="L1716" s="57"/>
      <c r="M1716" s="57"/>
    </row>
    <row r="1717" spans="1:13" ht="15" customHeight="1">
      <c r="A1717" s="73"/>
      <c r="B1717" s="2"/>
      <c r="C1717" s="2"/>
      <c r="D1717" s="2"/>
      <c r="E1717" s="4"/>
      <c r="F1717" s="4"/>
      <c r="G1717" s="4"/>
      <c r="H1717" s="61"/>
      <c r="I1717" s="62"/>
      <c r="J1717" s="62"/>
      <c r="K1717" s="78"/>
      <c r="L1717" s="57"/>
      <c r="M1717" s="57"/>
    </row>
    <row r="1718" spans="1:13" ht="15" customHeight="1">
      <c r="A1718" s="73"/>
      <c r="B1718" s="2"/>
      <c r="C1718" s="2"/>
      <c r="D1718" s="2"/>
      <c r="E1718" s="4"/>
      <c r="F1718" s="4"/>
      <c r="G1718" s="4"/>
      <c r="H1718" s="61"/>
      <c r="I1718" s="62"/>
      <c r="J1718" s="62"/>
      <c r="K1718" s="78"/>
      <c r="L1718" s="57"/>
      <c r="M1718" s="57"/>
    </row>
    <row r="1719" spans="1:13" ht="15" customHeight="1">
      <c r="A1719" s="73"/>
      <c r="B1719" s="2"/>
      <c r="C1719" s="2"/>
      <c r="D1719" s="2"/>
      <c r="E1719" s="4"/>
      <c r="F1719" s="4"/>
      <c r="G1719" s="4"/>
      <c r="H1719" s="61"/>
      <c r="I1719" s="62"/>
      <c r="J1719" s="62"/>
      <c r="K1719" s="78"/>
      <c r="L1719" s="57"/>
      <c r="M1719" s="57"/>
    </row>
    <row r="1720" spans="1:13" ht="15" customHeight="1">
      <c r="A1720" s="73"/>
      <c r="B1720" s="2"/>
      <c r="C1720" s="2"/>
      <c r="D1720" s="2"/>
      <c r="E1720" s="4"/>
      <c r="F1720" s="4"/>
      <c r="G1720" s="4"/>
      <c r="H1720" s="61"/>
      <c r="I1720" s="62"/>
      <c r="J1720" s="62"/>
      <c r="K1720" s="78"/>
      <c r="L1720" s="57"/>
      <c r="M1720" s="57"/>
    </row>
    <row r="1721" spans="1:13" ht="15" customHeight="1">
      <c r="A1721" s="73"/>
      <c r="B1721" s="2"/>
      <c r="C1721" s="2"/>
      <c r="D1721" s="2"/>
      <c r="E1721" s="4"/>
      <c r="F1721" s="4"/>
      <c r="G1721" s="4"/>
      <c r="H1721" s="61"/>
      <c r="I1721" s="62"/>
      <c r="J1721" s="62"/>
      <c r="K1721" s="78"/>
      <c r="L1721" s="57"/>
      <c r="M1721" s="57"/>
    </row>
    <row r="1722" spans="1:13" ht="15" customHeight="1">
      <c r="A1722" s="73"/>
      <c r="B1722" s="2"/>
      <c r="C1722" s="2"/>
      <c r="D1722" s="2"/>
      <c r="E1722" s="4"/>
      <c r="F1722" s="4"/>
      <c r="G1722" s="4"/>
      <c r="H1722" s="61"/>
      <c r="I1722" s="62"/>
      <c r="J1722" s="62"/>
      <c r="K1722" s="78"/>
      <c r="L1722" s="57"/>
      <c r="M1722" s="57"/>
    </row>
    <row r="1723" spans="1:13" ht="15" customHeight="1">
      <c r="A1723" s="73"/>
      <c r="B1723" s="2"/>
      <c r="C1723" s="2"/>
      <c r="D1723" s="2"/>
      <c r="E1723" s="4"/>
      <c r="F1723" s="4"/>
      <c r="G1723" s="4"/>
      <c r="H1723" s="61"/>
      <c r="I1723" s="62"/>
      <c r="J1723" s="62"/>
      <c r="K1723" s="78"/>
      <c r="L1723" s="57"/>
      <c r="M1723" s="57"/>
    </row>
    <row r="1724" spans="1:13" ht="15" customHeight="1">
      <c r="A1724" s="73"/>
      <c r="B1724" s="2"/>
      <c r="C1724" s="2"/>
      <c r="D1724" s="2"/>
      <c r="E1724" s="4"/>
      <c r="F1724" s="4"/>
      <c r="G1724" s="4"/>
      <c r="H1724" s="61"/>
      <c r="I1724" s="62"/>
      <c r="J1724" s="62"/>
      <c r="K1724" s="78"/>
      <c r="L1724" s="57"/>
      <c r="M1724" s="57"/>
    </row>
    <row r="1725" spans="1:13" ht="15" customHeight="1">
      <c r="A1725" s="73"/>
      <c r="B1725" s="2"/>
      <c r="C1725" s="2"/>
      <c r="D1725" s="2"/>
      <c r="E1725" s="4"/>
      <c r="F1725" s="4"/>
      <c r="G1725" s="4"/>
      <c r="H1725" s="61"/>
      <c r="I1725" s="62"/>
      <c r="J1725" s="62"/>
      <c r="K1725" s="78"/>
      <c r="L1725" s="57"/>
      <c r="M1725" s="57"/>
    </row>
    <row r="1726" spans="1:13" ht="15" customHeight="1">
      <c r="A1726" s="73"/>
      <c r="B1726" s="2"/>
      <c r="C1726" s="2"/>
      <c r="D1726" s="2"/>
      <c r="E1726" s="4"/>
      <c r="F1726" s="4"/>
      <c r="G1726" s="4"/>
      <c r="H1726" s="61"/>
      <c r="I1726" s="62"/>
      <c r="J1726" s="62"/>
      <c r="K1726" s="78"/>
      <c r="L1726" s="57"/>
      <c r="M1726" s="57"/>
    </row>
    <row r="1727" spans="1:13" ht="15" customHeight="1">
      <c r="A1727" s="73"/>
      <c r="B1727" s="2"/>
      <c r="C1727" s="2"/>
      <c r="D1727" s="2"/>
      <c r="E1727" s="4"/>
      <c r="F1727" s="4"/>
      <c r="G1727" s="4"/>
      <c r="H1727" s="61"/>
      <c r="I1727" s="62"/>
      <c r="J1727" s="62"/>
      <c r="K1727" s="78"/>
      <c r="L1727" s="57"/>
      <c r="M1727" s="57"/>
    </row>
    <row r="1728" spans="1:13" ht="15" customHeight="1">
      <c r="A1728" s="73"/>
      <c r="B1728" s="2"/>
      <c r="C1728" s="2"/>
      <c r="D1728" s="2"/>
      <c r="E1728" s="4"/>
      <c r="F1728" s="4"/>
      <c r="G1728" s="4"/>
      <c r="H1728" s="61"/>
      <c r="I1728" s="62"/>
      <c r="J1728" s="62"/>
      <c r="K1728" s="78"/>
      <c r="L1728" s="57"/>
      <c r="M1728" s="57"/>
    </row>
    <row r="1729" spans="1:13" ht="15" customHeight="1">
      <c r="A1729" s="73"/>
      <c r="B1729" s="2"/>
      <c r="C1729" s="2"/>
      <c r="D1729" s="2"/>
      <c r="E1729" s="4"/>
      <c r="F1729" s="4"/>
      <c r="G1729" s="4"/>
      <c r="H1729" s="61"/>
      <c r="I1729" s="62"/>
      <c r="J1729" s="62"/>
      <c r="K1729" s="78"/>
      <c r="L1729" s="57"/>
      <c r="M1729" s="57"/>
    </row>
    <row r="1730" spans="1:13" ht="15" customHeight="1">
      <c r="A1730" s="73"/>
      <c r="B1730" s="2"/>
      <c r="C1730" s="2"/>
      <c r="D1730" s="2"/>
      <c r="E1730" s="4"/>
      <c r="F1730" s="4"/>
      <c r="G1730" s="4"/>
      <c r="H1730" s="61"/>
      <c r="I1730" s="62"/>
      <c r="J1730" s="62"/>
      <c r="K1730" s="78"/>
      <c r="L1730" s="57"/>
      <c r="M1730" s="57"/>
    </row>
    <row r="1731" spans="1:13" ht="15" customHeight="1">
      <c r="A1731" s="73"/>
      <c r="B1731" s="2"/>
      <c r="C1731" s="2"/>
      <c r="D1731" s="2"/>
      <c r="E1731" s="4"/>
      <c r="F1731" s="4"/>
      <c r="G1731" s="4"/>
      <c r="H1731" s="61"/>
      <c r="I1731" s="62"/>
      <c r="J1731" s="62"/>
      <c r="K1731" s="78"/>
      <c r="L1731" s="57"/>
      <c r="M1731" s="57"/>
    </row>
    <row r="1732" spans="1:13" ht="15" customHeight="1">
      <c r="A1732" s="73"/>
      <c r="B1732" s="2"/>
      <c r="C1732" s="2"/>
      <c r="D1732" s="2"/>
      <c r="E1732" s="4"/>
      <c r="F1732" s="4"/>
      <c r="G1732" s="4"/>
      <c r="H1732" s="61"/>
      <c r="I1732" s="62"/>
      <c r="J1732" s="62"/>
      <c r="K1732" s="78"/>
      <c r="L1732" s="57"/>
      <c r="M1732" s="57"/>
    </row>
    <row r="1733" spans="1:13" ht="15" customHeight="1">
      <c r="A1733" s="73"/>
      <c r="B1733" s="2"/>
      <c r="C1733" s="2"/>
      <c r="D1733" s="2"/>
      <c r="E1733" s="4"/>
      <c r="F1733" s="4"/>
      <c r="G1733" s="4"/>
      <c r="H1733" s="61"/>
      <c r="I1733" s="62"/>
      <c r="J1733" s="62"/>
      <c r="K1733" s="78"/>
      <c r="L1733" s="57"/>
      <c r="M1733" s="57"/>
    </row>
    <row r="1734" spans="1:13" ht="15" customHeight="1">
      <c r="A1734" s="73"/>
      <c r="B1734" s="2"/>
      <c r="C1734" s="2"/>
      <c r="D1734" s="2"/>
      <c r="E1734" s="4"/>
      <c r="F1734" s="4"/>
      <c r="G1734" s="4"/>
      <c r="H1734" s="61"/>
      <c r="I1734" s="62"/>
      <c r="J1734" s="62"/>
      <c r="K1734" s="78"/>
      <c r="L1734" s="57"/>
      <c r="M1734" s="57"/>
    </row>
    <row r="1735" spans="1:13" ht="15" customHeight="1">
      <c r="A1735" s="73"/>
      <c r="B1735" s="2"/>
      <c r="C1735" s="2"/>
      <c r="D1735" s="2"/>
      <c r="E1735" s="4"/>
      <c r="F1735" s="4"/>
      <c r="G1735" s="4"/>
      <c r="H1735" s="61"/>
      <c r="I1735" s="62"/>
      <c r="J1735" s="62"/>
      <c r="K1735" s="78"/>
      <c r="L1735" s="57"/>
      <c r="M1735" s="57"/>
    </row>
    <row r="1736" spans="1:13" ht="15" customHeight="1">
      <c r="A1736" s="73"/>
      <c r="B1736" s="2"/>
      <c r="C1736" s="2"/>
      <c r="D1736" s="2"/>
      <c r="E1736" s="4"/>
      <c r="F1736" s="4"/>
      <c r="G1736" s="4"/>
      <c r="H1736" s="61"/>
      <c r="I1736" s="62"/>
      <c r="J1736" s="62"/>
      <c r="K1736" s="78"/>
      <c r="L1736" s="57"/>
      <c r="M1736" s="57"/>
    </row>
    <row r="1737" spans="1:13" ht="15" customHeight="1">
      <c r="A1737" s="73"/>
      <c r="B1737" s="2"/>
      <c r="C1737" s="2"/>
      <c r="D1737" s="2"/>
      <c r="E1737" s="4"/>
      <c r="F1737" s="4"/>
      <c r="G1737" s="4"/>
      <c r="H1737" s="61"/>
      <c r="I1737" s="62"/>
      <c r="J1737" s="62"/>
      <c r="K1737" s="78"/>
      <c r="L1737" s="57"/>
      <c r="M1737" s="57"/>
    </row>
    <row r="1738" spans="1:13" ht="15" customHeight="1">
      <c r="A1738" s="73"/>
      <c r="B1738" s="2"/>
      <c r="C1738" s="2"/>
      <c r="D1738" s="2"/>
      <c r="E1738" s="4"/>
      <c r="F1738" s="4"/>
      <c r="G1738" s="4"/>
      <c r="H1738" s="61"/>
      <c r="I1738" s="62"/>
      <c r="J1738" s="62"/>
      <c r="K1738" s="78"/>
      <c r="L1738" s="57"/>
      <c r="M1738" s="57"/>
    </row>
    <row r="1739" spans="1:13" ht="15" customHeight="1">
      <c r="A1739" s="73"/>
      <c r="B1739" s="2"/>
      <c r="C1739" s="2"/>
      <c r="D1739" s="2"/>
      <c r="E1739" s="4"/>
      <c r="F1739" s="4"/>
      <c r="G1739" s="4"/>
      <c r="H1739" s="61"/>
      <c r="I1739" s="62"/>
      <c r="J1739" s="62"/>
      <c r="K1739" s="78"/>
      <c r="L1739" s="57"/>
      <c r="M1739" s="57"/>
    </row>
    <row r="1740" spans="1:13" ht="15" customHeight="1">
      <c r="A1740" s="73"/>
      <c r="B1740" s="2"/>
      <c r="C1740" s="2"/>
      <c r="D1740" s="2"/>
      <c r="E1740" s="4"/>
      <c r="F1740" s="4"/>
      <c r="G1740" s="4"/>
      <c r="H1740" s="61"/>
      <c r="I1740" s="62"/>
      <c r="J1740" s="62"/>
      <c r="K1740" s="78"/>
      <c r="L1740" s="57"/>
      <c r="M1740" s="57"/>
    </row>
    <row r="1741" spans="1:13" ht="15" customHeight="1">
      <c r="A1741" s="73"/>
      <c r="B1741" s="2"/>
      <c r="C1741" s="2"/>
      <c r="D1741" s="2"/>
      <c r="E1741" s="4"/>
      <c r="F1741" s="4"/>
      <c r="G1741" s="4"/>
      <c r="H1741" s="61"/>
      <c r="I1741" s="62"/>
      <c r="J1741" s="62"/>
      <c r="K1741" s="78"/>
      <c r="L1741" s="57"/>
      <c r="M1741" s="57"/>
    </row>
    <row r="1742" spans="1:13" ht="15" customHeight="1">
      <c r="A1742" s="73"/>
      <c r="B1742" s="2"/>
      <c r="C1742" s="2"/>
      <c r="D1742" s="2"/>
      <c r="E1742" s="4"/>
      <c r="F1742" s="4"/>
      <c r="G1742" s="4"/>
      <c r="H1742" s="61"/>
      <c r="I1742" s="62"/>
      <c r="J1742" s="62"/>
      <c r="K1742" s="78"/>
      <c r="L1742" s="57"/>
      <c r="M1742" s="57"/>
    </row>
    <row r="1743" spans="1:13" ht="15" customHeight="1">
      <c r="A1743" s="73"/>
      <c r="B1743" s="2"/>
      <c r="C1743" s="2"/>
      <c r="D1743" s="2"/>
      <c r="E1743" s="4"/>
      <c r="F1743" s="4"/>
      <c r="G1743" s="4"/>
      <c r="H1743" s="61"/>
      <c r="I1743" s="62"/>
      <c r="J1743" s="62"/>
      <c r="K1743" s="78"/>
      <c r="L1743" s="57"/>
      <c r="M1743" s="57"/>
    </row>
    <row r="1744" spans="1:13" ht="15" customHeight="1">
      <c r="A1744" s="73"/>
      <c r="B1744" s="2"/>
      <c r="C1744" s="2"/>
      <c r="D1744" s="2"/>
      <c r="E1744" s="4"/>
      <c r="F1744" s="4"/>
      <c r="G1744" s="4"/>
      <c r="H1744" s="61"/>
      <c r="I1744" s="62"/>
      <c r="J1744" s="62"/>
      <c r="K1744" s="78"/>
      <c r="L1744" s="57"/>
      <c r="M1744" s="57"/>
    </row>
    <row r="1745" spans="1:13" ht="15" customHeight="1">
      <c r="A1745" s="73"/>
      <c r="B1745" s="2"/>
      <c r="C1745" s="2"/>
      <c r="D1745" s="2"/>
      <c r="E1745" s="4"/>
      <c r="F1745" s="4"/>
      <c r="G1745" s="4"/>
      <c r="H1745" s="61"/>
      <c r="I1745" s="62"/>
      <c r="J1745" s="62"/>
      <c r="K1745" s="78"/>
      <c r="L1745" s="57"/>
      <c r="M1745" s="57"/>
    </row>
    <row r="1746" spans="1:13" ht="15" customHeight="1">
      <c r="A1746" s="73"/>
      <c r="B1746" s="2"/>
      <c r="C1746" s="2"/>
      <c r="D1746" s="2"/>
      <c r="E1746" s="4"/>
      <c r="F1746" s="4"/>
      <c r="G1746" s="4"/>
      <c r="H1746" s="61"/>
      <c r="I1746" s="62"/>
      <c r="J1746" s="62"/>
      <c r="K1746" s="78"/>
      <c r="L1746" s="57"/>
      <c r="M1746" s="57"/>
    </row>
    <row r="1747" spans="1:13" ht="15" customHeight="1">
      <c r="A1747" s="73"/>
      <c r="B1747" s="2"/>
      <c r="C1747" s="2"/>
      <c r="D1747" s="2"/>
      <c r="E1747" s="4"/>
      <c r="F1747" s="4"/>
      <c r="G1747" s="4"/>
      <c r="H1747" s="61"/>
      <c r="I1747" s="62"/>
      <c r="J1747" s="62"/>
      <c r="K1747" s="78"/>
      <c r="L1747" s="57"/>
      <c r="M1747" s="57"/>
    </row>
    <row r="1748" spans="1:13" ht="15" customHeight="1">
      <c r="A1748" s="73"/>
      <c r="B1748" s="2"/>
      <c r="C1748" s="2"/>
      <c r="D1748" s="2"/>
      <c r="E1748" s="4"/>
      <c r="F1748" s="4"/>
      <c r="G1748" s="4"/>
      <c r="H1748" s="61"/>
      <c r="I1748" s="62"/>
      <c r="J1748" s="62"/>
      <c r="K1748" s="78"/>
      <c r="L1748" s="57"/>
      <c r="M1748" s="57"/>
    </row>
    <row r="1749" spans="1:13" ht="15" customHeight="1">
      <c r="A1749" s="73"/>
      <c r="B1749" s="2"/>
      <c r="C1749" s="2"/>
      <c r="D1749" s="2"/>
      <c r="E1749" s="4"/>
      <c r="F1749" s="4"/>
      <c r="G1749" s="4"/>
      <c r="H1749" s="61"/>
      <c r="I1749" s="62"/>
      <c r="J1749" s="62"/>
      <c r="K1749" s="78"/>
      <c r="L1749" s="57"/>
      <c r="M1749" s="57"/>
    </row>
    <row r="1750" spans="1:13" ht="15" customHeight="1">
      <c r="A1750" s="73"/>
      <c r="B1750" s="2"/>
      <c r="C1750" s="2"/>
      <c r="D1750" s="2"/>
      <c r="E1750" s="4"/>
      <c r="F1750" s="4"/>
      <c r="G1750" s="4"/>
      <c r="H1750" s="61"/>
      <c r="I1750" s="62"/>
      <c r="J1750" s="62"/>
      <c r="K1750" s="78"/>
      <c r="L1750" s="57"/>
      <c r="M1750" s="57"/>
    </row>
    <row r="1751" spans="1:13" ht="15" customHeight="1">
      <c r="A1751" s="73"/>
      <c r="B1751" s="2"/>
      <c r="C1751" s="2"/>
      <c r="D1751" s="2"/>
      <c r="E1751" s="4"/>
      <c r="F1751" s="4"/>
      <c r="G1751" s="4"/>
      <c r="H1751" s="61"/>
      <c r="I1751" s="62"/>
      <c r="J1751" s="62"/>
      <c r="K1751" s="78"/>
      <c r="L1751" s="57"/>
      <c r="M1751" s="57"/>
    </row>
    <row r="1752" spans="1:13" ht="15" customHeight="1">
      <c r="A1752" s="73"/>
      <c r="B1752" s="2"/>
      <c r="C1752" s="2"/>
      <c r="D1752" s="2"/>
      <c r="E1752" s="4"/>
      <c r="F1752" s="4"/>
      <c r="G1752" s="4"/>
      <c r="H1752" s="61"/>
      <c r="I1752" s="62"/>
      <c r="J1752" s="62"/>
      <c r="K1752" s="78"/>
      <c r="L1752" s="57"/>
      <c r="M1752" s="57"/>
    </row>
    <row r="1753" spans="1:13" ht="15" customHeight="1">
      <c r="A1753" s="73"/>
      <c r="B1753" s="2"/>
      <c r="C1753" s="2"/>
      <c r="D1753" s="2"/>
      <c r="E1753" s="4"/>
      <c r="F1753" s="4"/>
      <c r="G1753" s="4"/>
      <c r="H1753" s="61"/>
      <c r="I1753" s="62"/>
      <c r="J1753" s="62"/>
      <c r="K1753" s="78"/>
      <c r="L1753" s="57"/>
      <c r="M1753" s="57"/>
    </row>
    <row r="1754" spans="1:13" ht="15" customHeight="1">
      <c r="A1754" s="73"/>
      <c r="B1754" s="2"/>
      <c r="C1754" s="2"/>
      <c r="D1754" s="2"/>
      <c r="E1754" s="4"/>
      <c r="F1754" s="4"/>
      <c r="G1754" s="4"/>
      <c r="H1754" s="61"/>
      <c r="I1754" s="62"/>
      <c r="J1754" s="62"/>
      <c r="K1754" s="78"/>
      <c r="L1754" s="57"/>
      <c r="M1754" s="57"/>
    </row>
    <row r="1755" spans="1:13" ht="15" customHeight="1">
      <c r="A1755" s="73"/>
      <c r="B1755" s="2"/>
      <c r="C1755" s="2"/>
      <c r="D1755" s="2"/>
      <c r="E1755" s="4"/>
      <c r="F1755" s="4"/>
      <c r="G1755" s="4"/>
      <c r="H1755" s="61"/>
      <c r="I1755" s="62"/>
      <c r="J1755" s="62"/>
      <c r="K1755" s="78"/>
      <c r="L1755" s="57"/>
      <c r="M1755" s="57"/>
    </row>
    <row r="1756" spans="1:13" ht="15" customHeight="1">
      <c r="A1756" s="73"/>
      <c r="B1756" s="2"/>
      <c r="C1756" s="2"/>
      <c r="D1756" s="2"/>
      <c r="E1756" s="4"/>
      <c r="F1756" s="4"/>
      <c r="G1756" s="4"/>
      <c r="H1756" s="61"/>
      <c r="I1756" s="62"/>
      <c r="J1756" s="62"/>
      <c r="K1756" s="78"/>
      <c r="L1756" s="57"/>
      <c r="M1756" s="57"/>
    </row>
    <row r="1757" spans="1:13" ht="15" customHeight="1">
      <c r="A1757" s="73"/>
      <c r="B1757" s="2"/>
      <c r="C1757" s="2"/>
      <c r="D1757" s="2"/>
      <c r="E1757" s="4"/>
      <c r="F1757" s="4"/>
      <c r="G1757" s="4"/>
      <c r="H1757" s="61"/>
      <c r="I1757" s="62"/>
      <c r="J1757" s="62"/>
      <c r="K1757" s="78"/>
      <c r="L1757" s="57"/>
      <c r="M1757" s="57"/>
    </row>
    <row r="1758" spans="1:13" ht="15" customHeight="1">
      <c r="A1758" s="73"/>
      <c r="B1758" s="2"/>
      <c r="C1758" s="2"/>
      <c r="D1758" s="2"/>
      <c r="E1758" s="4"/>
      <c r="F1758" s="4"/>
      <c r="G1758" s="4"/>
      <c r="H1758" s="61"/>
      <c r="I1758" s="62"/>
      <c r="J1758" s="62"/>
      <c r="K1758" s="78"/>
      <c r="L1758" s="57"/>
      <c r="M1758" s="57"/>
    </row>
    <row r="1759" spans="1:13" ht="15" customHeight="1">
      <c r="A1759" s="73"/>
      <c r="B1759" s="2"/>
      <c r="C1759" s="2"/>
      <c r="D1759" s="2"/>
      <c r="E1759" s="4"/>
      <c r="F1759" s="4"/>
      <c r="G1759" s="4"/>
      <c r="H1759" s="61"/>
      <c r="I1759" s="62"/>
      <c r="J1759" s="62"/>
      <c r="K1759" s="78"/>
      <c r="L1759" s="57"/>
      <c r="M1759" s="57"/>
    </row>
    <row r="1760" spans="1:13" ht="15" customHeight="1">
      <c r="A1760" s="73"/>
      <c r="B1760" s="2"/>
      <c r="C1760" s="2"/>
      <c r="D1760" s="2"/>
      <c r="E1760" s="4"/>
      <c r="F1760" s="4"/>
      <c r="G1760" s="4"/>
      <c r="H1760" s="61"/>
      <c r="I1760" s="62"/>
      <c r="J1760" s="62"/>
      <c r="K1760" s="78"/>
      <c r="L1760" s="57"/>
      <c r="M1760" s="57"/>
    </row>
    <row r="1761" spans="1:13" ht="15" customHeight="1">
      <c r="A1761" s="73"/>
      <c r="B1761" s="2"/>
      <c r="C1761" s="2"/>
      <c r="D1761" s="2"/>
      <c r="E1761" s="4"/>
      <c r="F1761" s="4"/>
      <c r="G1761" s="4"/>
      <c r="H1761" s="61"/>
      <c r="I1761" s="62"/>
      <c r="J1761" s="62"/>
      <c r="K1761" s="78"/>
      <c r="L1761" s="57"/>
      <c r="M1761" s="57"/>
    </row>
    <row r="1762" spans="1:13" ht="15" customHeight="1">
      <c r="A1762" s="73"/>
      <c r="B1762" s="2"/>
      <c r="C1762" s="2"/>
      <c r="D1762" s="2"/>
      <c r="E1762" s="4"/>
      <c r="F1762" s="4"/>
      <c r="G1762" s="4"/>
      <c r="H1762" s="61"/>
      <c r="I1762" s="62"/>
      <c r="J1762" s="62"/>
      <c r="K1762" s="78"/>
      <c r="L1762" s="57"/>
      <c r="M1762" s="57"/>
    </row>
    <row r="1763" spans="1:13" ht="15" customHeight="1">
      <c r="A1763" s="73"/>
      <c r="B1763" s="2"/>
      <c r="C1763" s="2"/>
      <c r="D1763" s="2"/>
      <c r="E1763" s="4"/>
      <c r="F1763" s="4"/>
      <c r="G1763" s="4"/>
      <c r="H1763" s="61"/>
      <c r="I1763" s="62"/>
      <c r="J1763" s="62"/>
      <c r="K1763" s="78"/>
      <c r="L1763" s="57"/>
      <c r="M1763" s="57"/>
    </row>
    <row r="1764" spans="1:13" ht="15" customHeight="1">
      <c r="A1764" s="73"/>
      <c r="B1764" s="2"/>
      <c r="C1764" s="2"/>
      <c r="D1764" s="2"/>
      <c r="E1764" s="4"/>
      <c r="F1764" s="4"/>
      <c r="G1764" s="4"/>
      <c r="H1764" s="61"/>
      <c r="I1764" s="62"/>
      <c r="J1764" s="62"/>
      <c r="K1764" s="78"/>
      <c r="L1764" s="57"/>
      <c r="M1764" s="57"/>
    </row>
    <row r="1765" spans="1:13" ht="15" customHeight="1">
      <c r="A1765" s="73"/>
      <c r="B1765" s="2"/>
      <c r="C1765" s="2"/>
      <c r="D1765" s="2"/>
      <c r="E1765" s="4"/>
      <c r="F1765" s="4"/>
      <c r="G1765" s="4"/>
      <c r="H1765" s="61"/>
      <c r="I1765" s="62"/>
      <c r="J1765" s="62"/>
      <c r="K1765" s="78"/>
      <c r="L1765" s="57"/>
      <c r="M1765" s="57"/>
    </row>
    <row r="1766" spans="1:13" ht="15" customHeight="1">
      <c r="A1766" s="73"/>
      <c r="B1766" s="2"/>
      <c r="C1766" s="2"/>
      <c r="D1766" s="2"/>
      <c r="E1766" s="4"/>
      <c r="F1766" s="4"/>
      <c r="G1766" s="4"/>
      <c r="H1766" s="61"/>
      <c r="I1766" s="62"/>
      <c r="J1766" s="62"/>
      <c r="K1766" s="78"/>
      <c r="L1766" s="57"/>
      <c r="M1766" s="57"/>
    </row>
    <row r="1767" spans="1:13" ht="15" customHeight="1">
      <c r="A1767" s="73"/>
      <c r="B1767" s="2"/>
      <c r="C1767" s="2"/>
      <c r="D1767" s="2"/>
      <c r="E1767" s="4"/>
      <c r="F1767" s="4"/>
      <c r="G1767" s="4"/>
      <c r="H1767" s="61"/>
      <c r="I1767" s="62"/>
      <c r="J1767" s="62"/>
      <c r="K1767" s="78"/>
      <c r="L1767" s="57"/>
      <c r="M1767" s="57"/>
    </row>
    <row r="1768" spans="1:13" ht="15" customHeight="1">
      <c r="A1768" s="73"/>
      <c r="B1768" s="2"/>
      <c r="C1768" s="2"/>
      <c r="D1768" s="2"/>
      <c r="E1768" s="4"/>
      <c r="F1768" s="4"/>
      <c r="G1768" s="4"/>
      <c r="H1768" s="61"/>
      <c r="I1768" s="62"/>
      <c r="J1768" s="62"/>
      <c r="K1768" s="78"/>
      <c r="L1768" s="57"/>
      <c r="M1768" s="57"/>
    </row>
    <row r="1769" spans="1:13" ht="15" customHeight="1">
      <c r="A1769" s="73"/>
      <c r="B1769" s="2"/>
      <c r="C1769" s="2"/>
      <c r="D1769" s="2"/>
      <c r="E1769" s="4"/>
      <c r="F1769" s="4"/>
      <c r="G1769" s="4"/>
      <c r="H1769" s="61"/>
      <c r="I1769" s="62"/>
      <c r="J1769" s="62"/>
      <c r="K1769" s="78"/>
      <c r="L1769" s="57"/>
      <c r="M1769" s="57"/>
    </row>
    <row r="1770" spans="1:13" ht="15" customHeight="1">
      <c r="A1770" s="73"/>
      <c r="B1770" s="2"/>
      <c r="C1770" s="2"/>
      <c r="D1770" s="2"/>
      <c r="E1770" s="4"/>
      <c r="F1770" s="4"/>
      <c r="G1770" s="4"/>
      <c r="H1770" s="61"/>
      <c r="I1770" s="62"/>
      <c r="J1770" s="62"/>
      <c r="K1770" s="78"/>
      <c r="L1770" s="57"/>
      <c r="M1770" s="57"/>
    </row>
    <row r="1771" spans="1:13" ht="15" customHeight="1">
      <c r="A1771" s="73"/>
      <c r="B1771" s="2"/>
      <c r="C1771" s="2"/>
      <c r="D1771" s="2"/>
      <c r="E1771" s="4"/>
      <c r="F1771" s="4"/>
      <c r="G1771" s="4"/>
      <c r="H1771" s="61"/>
      <c r="I1771" s="62"/>
      <c r="J1771" s="62"/>
      <c r="K1771" s="78"/>
      <c r="L1771" s="57"/>
      <c r="M1771" s="57"/>
    </row>
    <row r="1772" spans="1:13" ht="15" customHeight="1">
      <c r="A1772" s="73"/>
      <c r="B1772" s="2"/>
      <c r="C1772" s="2"/>
      <c r="D1772" s="2"/>
      <c r="E1772" s="4"/>
      <c r="F1772" s="4"/>
      <c r="G1772" s="4"/>
      <c r="H1772" s="61"/>
      <c r="I1772" s="62"/>
      <c r="J1772" s="62"/>
      <c r="K1772" s="78"/>
      <c r="L1772" s="57"/>
      <c r="M1772" s="57"/>
    </row>
    <row r="1773" spans="1:13" ht="15" customHeight="1">
      <c r="A1773" s="73"/>
      <c r="B1773" s="2"/>
      <c r="C1773" s="2"/>
      <c r="D1773" s="2"/>
      <c r="E1773" s="4"/>
      <c r="F1773" s="4"/>
      <c r="G1773" s="4"/>
      <c r="H1773" s="61"/>
      <c r="I1773" s="62"/>
      <c r="J1773" s="62"/>
      <c r="K1773" s="78"/>
      <c r="L1773" s="57"/>
      <c r="M1773" s="57"/>
    </row>
    <row r="1774" spans="1:13" ht="15" customHeight="1">
      <c r="A1774" s="73"/>
      <c r="B1774" s="2"/>
      <c r="C1774" s="2"/>
      <c r="D1774" s="2"/>
      <c r="E1774" s="4"/>
      <c r="F1774" s="4"/>
      <c r="G1774" s="4"/>
      <c r="H1774" s="61"/>
      <c r="I1774" s="62"/>
      <c r="J1774" s="62"/>
      <c r="K1774" s="78"/>
      <c r="L1774" s="57"/>
      <c r="M1774" s="57"/>
    </row>
    <row r="1775" spans="1:13" ht="15" customHeight="1">
      <c r="A1775" s="73"/>
      <c r="B1775" s="2"/>
      <c r="C1775" s="2"/>
      <c r="D1775" s="2"/>
      <c r="E1775" s="4"/>
      <c r="F1775" s="4"/>
      <c r="G1775" s="4"/>
      <c r="H1775" s="61"/>
      <c r="I1775" s="62"/>
      <c r="J1775" s="62"/>
      <c r="K1775" s="78"/>
      <c r="L1775" s="57"/>
      <c r="M1775" s="57"/>
    </row>
    <row r="1776" spans="1:13" ht="15" customHeight="1">
      <c r="A1776" s="73"/>
      <c r="B1776" s="2"/>
      <c r="C1776" s="2"/>
      <c r="D1776" s="2"/>
      <c r="E1776" s="4"/>
      <c r="F1776" s="4"/>
      <c r="G1776" s="4"/>
      <c r="H1776" s="61"/>
      <c r="I1776" s="62"/>
      <c r="J1776" s="62"/>
      <c r="K1776" s="78"/>
      <c r="L1776" s="57"/>
      <c r="M1776" s="57"/>
    </row>
    <row r="1777" spans="1:13" ht="15" customHeight="1">
      <c r="A1777" s="73"/>
      <c r="B1777" s="2"/>
      <c r="C1777" s="2"/>
      <c r="D1777" s="2"/>
      <c r="E1777" s="4"/>
      <c r="F1777" s="4"/>
      <c r="G1777" s="4"/>
      <c r="H1777" s="61"/>
      <c r="I1777" s="62"/>
      <c r="J1777" s="62"/>
      <c r="K1777" s="78"/>
      <c r="L1777" s="57"/>
      <c r="M1777" s="57"/>
    </row>
    <row r="1778" spans="1:13" ht="15" customHeight="1">
      <c r="A1778" s="73"/>
      <c r="B1778" s="2"/>
      <c r="C1778" s="2"/>
      <c r="D1778" s="2"/>
      <c r="E1778" s="4"/>
      <c r="F1778" s="4"/>
      <c r="G1778" s="4"/>
      <c r="H1778" s="61"/>
      <c r="I1778" s="62"/>
      <c r="J1778" s="62"/>
      <c r="K1778" s="78"/>
      <c r="L1778" s="57"/>
      <c r="M1778" s="57"/>
    </row>
    <row r="1779" spans="1:13" ht="15" customHeight="1">
      <c r="A1779" s="73"/>
      <c r="B1779" s="2"/>
      <c r="C1779" s="2"/>
      <c r="D1779" s="2"/>
      <c r="E1779" s="4"/>
      <c r="F1779" s="4"/>
      <c r="G1779" s="4"/>
      <c r="H1779" s="61"/>
      <c r="I1779" s="62"/>
      <c r="J1779" s="62"/>
      <c r="K1779" s="78"/>
      <c r="L1779" s="57"/>
      <c r="M1779" s="57"/>
    </row>
    <row r="1780" spans="1:13" ht="15" customHeight="1">
      <c r="A1780" s="73"/>
      <c r="B1780" s="2"/>
      <c r="C1780" s="2"/>
      <c r="D1780" s="2"/>
      <c r="E1780" s="4"/>
      <c r="F1780" s="4"/>
      <c r="G1780" s="4"/>
      <c r="H1780" s="61"/>
      <c r="I1780" s="62"/>
      <c r="J1780" s="62"/>
      <c r="K1780" s="78"/>
      <c r="L1780" s="57"/>
      <c r="M1780" s="57"/>
    </row>
    <row r="1781" spans="1:13" ht="15" customHeight="1">
      <c r="A1781" s="73"/>
      <c r="B1781" s="2"/>
      <c r="C1781" s="2"/>
      <c r="D1781" s="2"/>
      <c r="E1781" s="4"/>
      <c r="F1781" s="4"/>
      <c r="G1781" s="4"/>
      <c r="H1781" s="61"/>
      <c r="I1781" s="62"/>
      <c r="J1781" s="62"/>
      <c r="K1781" s="78"/>
      <c r="L1781" s="57"/>
      <c r="M1781" s="57"/>
    </row>
    <row r="1782" spans="1:13" ht="15" customHeight="1">
      <c r="A1782" s="73"/>
      <c r="B1782" s="2"/>
      <c r="C1782" s="2"/>
      <c r="D1782" s="2"/>
      <c r="E1782" s="4"/>
      <c r="F1782" s="4"/>
      <c r="G1782" s="4"/>
      <c r="H1782" s="61"/>
      <c r="I1782" s="62"/>
      <c r="J1782" s="62"/>
      <c r="K1782" s="78"/>
      <c r="L1782" s="57"/>
      <c r="M1782" s="57"/>
    </row>
    <row r="1783" spans="1:13" ht="15" customHeight="1">
      <c r="A1783" s="73"/>
      <c r="B1783" s="2"/>
      <c r="C1783" s="2"/>
      <c r="D1783" s="2"/>
      <c r="E1783" s="4"/>
      <c r="F1783" s="4"/>
      <c r="G1783" s="4"/>
      <c r="H1783" s="61"/>
      <c r="I1783" s="62"/>
      <c r="J1783" s="62"/>
      <c r="K1783" s="78"/>
      <c r="L1783" s="57"/>
      <c r="M1783" s="57"/>
    </row>
    <row r="1784" spans="1:13" ht="15" customHeight="1">
      <c r="A1784" s="73"/>
      <c r="B1784" s="2"/>
      <c r="C1784" s="2"/>
      <c r="D1784" s="2"/>
      <c r="E1784" s="4"/>
      <c r="F1784" s="4"/>
      <c r="G1784" s="4"/>
      <c r="H1784" s="61"/>
      <c r="I1784" s="62"/>
      <c r="J1784" s="62"/>
      <c r="K1784" s="78"/>
      <c r="L1784" s="57"/>
      <c r="M1784" s="57"/>
    </row>
    <row r="1785" spans="1:13" ht="15" customHeight="1">
      <c r="A1785" s="73"/>
      <c r="B1785" s="2"/>
      <c r="C1785" s="2"/>
      <c r="D1785" s="2"/>
      <c r="E1785" s="4"/>
      <c r="F1785" s="4"/>
      <c r="G1785" s="4"/>
      <c r="H1785" s="61"/>
      <c r="I1785" s="62"/>
      <c r="J1785" s="62"/>
      <c r="K1785" s="78"/>
      <c r="L1785" s="57"/>
      <c r="M1785" s="57"/>
    </row>
    <row r="1786" spans="1:13" ht="15" customHeight="1">
      <c r="A1786" s="73"/>
      <c r="B1786" s="2"/>
      <c r="C1786" s="2"/>
      <c r="D1786" s="2"/>
      <c r="E1786" s="4"/>
      <c r="F1786" s="4"/>
      <c r="G1786" s="4"/>
      <c r="H1786" s="61"/>
      <c r="I1786" s="62"/>
      <c r="J1786" s="62"/>
      <c r="K1786" s="78"/>
      <c r="L1786" s="57"/>
      <c r="M1786" s="57"/>
    </row>
    <row r="1787" spans="1:13" ht="15" customHeight="1">
      <c r="A1787" s="73"/>
      <c r="B1787" s="2"/>
      <c r="C1787" s="2"/>
      <c r="D1787" s="2"/>
      <c r="E1787" s="4"/>
      <c r="F1787" s="4"/>
      <c r="G1787" s="4"/>
      <c r="H1787" s="61"/>
      <c r="I1787" s="62"/>
      <c r="J1787" s="62"/>
      <c r="K1787" s="78"/>
      <c r="L1787" s="57"/>
      <c r="M1787" s="57"/>
    </row>
    <row r="1788" spans="1:13" ht="15" customHeight="1">
      <c r="A1788" s="73"/>
      <c r="B1788" s="2"/>
      <c r="C1788" s="2"/>
      <c r="D1788" s="2"/>
      <c r="E1788" s="4"/>
      <c r="F1788" s="4"/>
      <c r="G1788" s="4"/>
      <c r="H1788" s="61"/>
      <c r="I1788" s="62"/>
      <c r="J1788" s="62"/>
      <c r="K1788" s="78"/>
      <c r="L1788" s="57"/>
      <c r="M1788" s="57"/>
    </row>
    <row r="1789" spans="1:13" ht="15" customHeight="1">
      <c r="A1789" s="73"/>
      <c r="B1789" s="2"/>
      <c r="C1789" s="2"/>
      <c r="D1789" s="2"/>
      <c r="E1789" s="4"/>
      <c r="F1789" s="4"/>
      <c r="G1789" s="4"/>
      <c r="H1789" s="61"/>
      <c r="I1789" s="62"/>
      <c r="J1789" s="62"/>
      <c r="K1789" s="78"/>
      <c r="L1789" s="57"/>
      <c r="M1789" s="57"/>
    </row>
    <row r="1790" spans="1:13" ht="15" customHeight="1">
      <c r="A1790" s="73"/>
      <c r="B1790" s="2"/>
      <c r="C1790" s="2"/>
      <c r="D1790" s="2"/>
      <c r="E1790" s="4"/>
      <c r="F1790" s="4"/>
      <c r="G1790" s="4"/>
      <c r="H1790" s="61"/>
      <c r="I1790" s="62"/>
      <c r="J1790" s="62"/>
      <c r="K1790" s="78"/>
      <c r="L1790" s="57"/>
      <c r="M1790" s="57"/>
    </row>
    <row r="1791" spans="1:13" ht="15" customHeight="1">
      <c r="A1791" s="73"/>
      <c r="B1791" s="2"/>
      <c r="C1791" s="2"/>
      <c r="D1791" s="2"/>
      <c r="E1791" s="4"/>
      <c r="F1791" s="4"/>
      <c r="G1791" s="4"/>
      <c r="H1791" s="61"/>
      <c r="I1791" s="62"/>
      <c r="J1791" s="62"/>
      <c r="K1791" s="78"/>
      <c r="L1791" s="57"/>
      <c r="M1791" s="57"/>
    </row>
    <row r="1792" spans="1:13" ht="15" customHeight="1">
      <c r="A1792" s="73"/>
      <c r="B1792" s="2"/>
      <c r="C1792" s="2"/>
      <c r="D1792" s="2"/>
      <c r="E1792" s="4"/>
      <c r="F1792" s="4"/>
      <c r="G1792" s="4"/>
      <c r="H1792" s="61"/>
      <c r="I1792" s="62"/>
      <c r="J1792" s="62"/>
      <c r="K1792" s="78"/>
      <c r="L1792" s="57"/>
      <c r="M1792" s="57"/>
    </row>
    <row r="1793" spans="1:13" ht="15" customHeight="1">
      <c r="A1793" s="73"/>
      <c r="B1793" s="2"/>
      <c r="C1793" s="2"/>
      <c r="D1793" s="2"/>
      <c r="E1793" s="4"/>
      <c r="F1793" s="4"/>
      <c r="G1793" s="4"/>
      <c r="H1793" s="61"/>
      <c r="I1793" s="62"/>
      <c r="J1793" s="62"/>
      <c r="K1793" s="78"/>
      <c r="L1793" s="57"/>
      <c r="M1793" s="57"/>
    </row>
    <row r="1794" spans="1:13" ht="15" customHeight="1">
      <c r="A1794" s="73"/>
      <c r="B1794" s="2"/>
      <c r="C1794" s="2"/>
      <c r="D1794" s="2"/>
      <c r="E1794" s="4"/>
      <c r="F1794" s="4"/>
      <c r="G1794" s="4"/>
      <c r="H1794" s="61"/>
      <c r="I1794" s="62"/>
      <c r="J1794" s="62"/>
      <c r="K1794" s="78"/>
      <c r="L1794" s="57"/>
      <c r="M1794" s="57"/>
    </row>
    <row r="1795" spans="1:13" ht="15" customHeight="1">
      <c r="A1795" s="73"/>
      <c r="B1795" s="2"/>
      <c r="C1795" s="2"/>
      <c r="D1795" s="2"/>
      <c r="E1795" s="4"/>
      <c r="F1795" s="4"/>
      <c r="G1795" s="4"/>
      <c r="H1795" s="61"/>
      <c r="I1795" s="62"/>
      <c r="J1795" s="62"/>
      <c r="K1795" s="78"/>
      <c r="L1795" s="57"/>
      <c r="M1795" s="57"/>
    </row>
    <row r="1796" spans="1:13" ht="15" customHeight="1">
      <c r="A1796" s="73"/>
      <c r="B1796" s="2"/>
      <c r="C1796" s="2"/>
      <c r="D1796" s="2"/>
      <c r="E1796" s="4"/>
      <c r="F1796" s="4"/>
      <c r="G1796" s="4"/>
      <c r="H1796" s="61"/>
      <c r="I1796" s="62"/>
      <c r="J1796" s="62"/>
      <c r="K1796" s="78"/>
      <c r="L1796" s="57"/>
      <c r="M1796" s="57"/>
    </row>
    <row r="1797" spans="1:13" ht="15" customHeight="1">
      <c r="A1797" s="73"/>
      <c r="B1797" s="2"/>
      <c r="C1797" s="2"/>
      <c r="D1797" s="2"/>
      <c r="E1797" s="4"/>
      <c r="F1797" s="4"/>
      <c r="G1797" s="4"/>
      <c r="H1797" s="61"/>
      <c r="I1797" s="62"/>
      <c r="J1797" s="62"/>
      <c r="K1797" s="78"/>
      <c r="L1797" s="57"/>
      <c r="M1797" s="57"/>
    </row>
    <row r="1798" spans="1:13" ht="15" customHeight="1">
      <c r="A1798" s="73"/>
      <c r="B1798" s="2"/>
      <c r="C1798" s="2"/>
      <c r="D1798" s="2"/>
      <c r="E1798" s="4"/>
      <c r="F1798" s="4"/>
      <c r="G1798" s="4"/>
      <c r="H1798" s="61"/>
      <c r="I1798" s="62"/>
      <c r="J1798" s="62"/>
      <c r="K1798" s="78"/>
      <c r="L1798" s="57"/>
      <c r="M1798" s="57"/>
    </row>
    <row r="1799" spans="1:13" ht="15" customHeight="1">
      <c r="A1799" s="73"/>
      <c r="B1799" s="2"/>
      <c r="C1799" s="2"/>
      <c r="D1799" s="2"/>
      <c r="E1799" s="4"/>
      <c r="F1799" s="4"/>
      <c r="G1799" s="4"/>
      <c r="H1799" s="61"/>
      <c r="I1799" s="62"/>
      <c r="J1799" s="62"/>
      <c r="K1799" s="78"/>
      <c r="L1799" s="57"/>
      <c r="M1799" s="57"/>
    </row>
    <row r="1800" spans="1:13" ht="15" customHeight="1">
      <c r="A1800" s="73"/>
      <c r="B1800" s="2"/>
      <c r="C1800" s="2"/>
      <c r="D1800" s="2"/>
      <c r="E1800" s="4"/>
      <c r="F1800" s="4"/>
      <c r="G1800" s="4"/>
      <c r="H1800" s="61"/>
      <c r="I1800" s="62"/>
      <c r="J1800" s="62"/>
      <c r="K1800" s="78"/>
      <c r="L1800" s="57"/>
      <c r="M1800" s="57"/>
    </row>
    <row r="1801" spans="1:13" ht="15" customHeight="1">
      <c r="A1801" s="73"/>
      <c r="B1801" s="2"/>
      <c r="C1801" s="2"/>
      <c r="D1801" s="2"/>
      <c r="E1801" s="4"/>
      <c r="F1801" s="4"/>
      <c r="G1801" s="4"/>
      <c r="H1801" s="61"/>
      <c r="I1801" s="62"/>
      <c r="J1801" s="62"/>
      <c r="K1801" s="78"/>
      <c r="L1801" s="57"/>
      <c r="M1801" s="57"/>
    </row>
    <row r="1802" spans="1:13" ht="15" customHeight="1">
      <c r="A1802" s="73"/>
      <c r="B1802" s="2"/>
      <c r="C1802" s="2"/>
      <c r="D1802" s="2"/>
      <c r="E1802" s="4"/>
      <c r="F1802" s="4"/>
      <c r="G1802" s="4"/>
      <c r="H1802" s="61"/>
      <c r="I1802" s="62"/>
      <c r="J1802" s="62"/>
      <c r="K1802" s="78"/>
      <c r="L1802" s="57"/>
      <c r="M1802" s="57"/>
    </row>
    <row r="1803" spans="1:13" ht="15" customHeight="1">
      <c r="A1803" s="73"/>
      <c r="B1803" s="2"/>
      <c r="C1803" s="2"/>
      <c r="D1803" s="2"/>
      <c r="E1803" s="4"/>
      <c r="F1803" s="4"/>
      <c r="G1803" s="4"/>
      <c r="H1803" s="61"/>
      <c r="I1803" s="62"/>
      <c r="J1803" s="62"/>
      <c r="K1803" s="78"/>
      <c r="L1803" s="57"/>
      <c r="M1803" s="57"/>
    </row>
    <row r="1804" spans="1:13" ht="15" customHeight="1">
      <c r="A1804" s="73"/>
      <c r="B1804" s="2"/>
      <c r="C1804" s="2"/>
      <c r="D1804" s="2"/>
      <c r="E1804" s="4"/>
      <c r="F1804" s="4"/>
      <c r="G1804" s="4"/>
      <c r="H1804" s="61"/>
      <c r="I1804" s="62"/>
      <c r="J1804" s="62"/>
      <c r="K1804" s="78"/>
      <c r="L1804" s="57"/>
      <c r="M1804" s="57"/>
    </row>
    <row r="1805" spans="1:13" ht="15" customHeight="1">
      <c r="A1805" s="73"/>
      <c r="B1805" s="2"/>
      <c r="C1805" s="2"/>
      <c r="D1805" s="2"/>
      <c r="E1805" s="4"/>
      <c r="F1805" s="4"/>
      <c r="G1805" s="4"/>
      <c r="H1805" s="61"/>
      <c r="I1805" s="62"/>
      <c r="J1805" s="62"/>
      <c r="K1805" s="78"/>
      <c r="L1805" s="57"/>
      <c r="M1805" s="57"/>
    </row>
    <row r="1806" spans="1:13" ht="15" customHeight="1">
      <c r="A1806" s="73"/>
      <c r="B1806" s="2"/>
      <c r="C1806" s="2"/>
      <c r="D1806" s="2"/>
      <c r="E1806" s="4"/>
      <c r="F1806" s="4"/>
      <c r="G1806" s="4"/>
      <c r="H1806" s="61"/>
      <c r="I1806" s="62"/>
      <c r="J1806" s="62"/>
      <c r="K1806" s="78"/>
      <c r="L1806" s="57"/>
      <c r="M1806" s="57"/>
    </row>
    <row r="1807" spans="1:13" ht="15" customHeight="1">
      <c r="A1807" s="73"/>
      <c r="B1807" s="2"/>
      <c r="C1807" s="2"/>
      <c r="D1807" s="2"/>
      <c r="E1807" s="4"/>
      <c r="F1807" s="4"/>
      <c r="G1807" s="4"/>
      <c r="H1807" s="61"/>
      <c r="I1807" s="62"/>
      <c r="J1807" s="62"/>
      <c r="K1807" s="78"/>
      <c r="L1807" s="57"/>
      <c r="M1807" s="57"/>
    </row>
    <row r="1808" spans="1:13" ht="15" customHeight="1">
      <c r="A1808" s="73"/>
      <c r="B1808" s="2"/>
      <c r="C1808" s="2"/>
      <c r="D1808" s="2"/>
      <c r="E1808" s="4"/>
      <c r="F1808" s="4"/>
      <c r="G1808" s="4"/>
      <c r="H1808" s="61"/>
      <c r="I1808" s="62"/>
      <c r="J1808" s="62"/>
      <c r="K1808" s="78"/>
      <c r="L1808" s="57"/>
      <c r="M1808" s="57"/>
    </row>
    <row r="1809" spans="1:13" ht="15" customHeight="1">
      <c r="A1809" s="73"/>
      <c r="B1809" s="2"/>
      <c r="C1809" s="2"/>
      <c r="D1809" s="2"/>
      <c r="E1809" s="4"/>
      <c r="F1809" s="4"/>
      <c r="G1809" s="4"/>
      <c r="H1809" s="61"/>
      <c r="I1809" s="62"/>
      <c r="J1809" s="62"/>
      <c r="K1809" s="78"/>
      <c r="L1809" s="57"/>
      <c r="M1809" s="57"/>
    </row>
    <row r="1810" spans="1:13" ht="15" customHeight="1">
      <c r="A1810" s="73"/>
      <c r="B1810" s="2"/>
      <c r="C1810" s="2"/>
      <c r="D1810" s="2"/>
      <c r="E1810" s="4"/>
      <c r="F1810" s="4"/>
      <c r="G1810" s="4"/>
      <c r="H1810" s="61"/>
      <c r="I1810" s="62"/>
      <c r="J1810" s="62"/>
      <c r="K1810" s="78"/>
      <c r="L1810" s="57"/>
      <c r="M1810" s="57"/>
    </row>
    <row r="1811" spans="1:13" ht="15" customHeight="1">
      <c r="A1811" s="73"/>
      <c r="B1811" s="2"/>
      <c r="C1811" s="2"/>
      <c r="D1811" s="2"/>
      <c r="E1811" s="4"/>
      <c r="F1811" s="4"/>
      <c r="G1811" s="4"/>
      <c r="H1811" s="61"/>
      <c r="I1811" s="62"/>
      <c r="J1811" s="62"/>
      <c r="K1811" s="78"/>
      <c r="L1811" s="57"/>
      <c r="M1811" s="57"/>
    </row>
    <row r="1812" spans="1:13" ht="15" customHeight="1">
      <c r="A1812" s="73"/>
      <c r="B1812" s="2"/>
      <c r="C1812" s="2"/>
      <c r="D1812" s="2"/>
      <c r="E1812" s="4"/>
      <c r="F1812" s="4"/>
      <c r="G1812" s="4"/>
      <c r="H1812" s="61"/>
      <c r="I1812" s="62"/>
      <c r="J1812" s="62"/>
      <c r="K1812" s="78"/>
      <c r="L1812" s="57"/>
      <c r="M1812" s="57"/>
    </row>
    <row r="1813" spans="1:13" ht="15" customHeight="1">
      <c r="A1813" s="73"/>
      <c r="B1813" s="2"/>
      <c r="C1813" s="2"/>
      <c r="D1813" s="2"/>
      <c r="E1813" s="4"/>
      <c r="F1813" s="4"/>
      <c r="G1813" s="4"/>
      <c r="H1813" s="61"/>
      <c r="I1813" s="62"/>
      <c r="J1813" s="62"/>
      <c r="K1813" s="78"/>
      <c r="L1813" s="57"/>
      <c r="M1813" s="57"/>
    </row>
    <row r="1814" spans="1:13" ht="15" customHeight="1">
      <c r="A1814" s="73"/>
      <c r="B1814" s="2"/>
      <c r="C1814" s="2"/>
      <c r="D1814" s="2"/>
      <c r="E1814" s="4"/>
      <c r="F1814" s="4"/>
      <c r="G1814" s="4"/>
      <c r="H1814" s="61"/>
      <c r="I1814" s="62"/>
      <c r="J1814" s="62"/>
      <c r="K1814" s="78"/>
      <c r="L1814" s="57"/>
      <c r="M1814" s="57"/>
    </row>
    <row r="1815" spans="1:13" ht="15" customHeight="1">
      <c r="A1815" s="73"/>
      <c r="B1815" s="2"/>
      <c r="C1815" s="2"/>
      <c r="D1815" s="2"/>
      <c r="E1815" s="4"/>
      <c r="F1815" s="4"/>
      <c r="G1815" s="4"/>
      <c r="H1815" s="61"/>
      <c r="I1815" s="62"/>
      <c r="J1815" s="62"/>
      <c r="K1815" s="78"/>
      <c r="L1815" s="57"/>
      <c r="M1815" s="57"/>
    </row>
    <row r="1816" spans="1:13" ht="15" customHeight="1">
      <c r="A1816" s="73"/>
      <c r="B1816" s="2"/>
      <c r="C1816" s="2"/>
      <c r="D1816" s="2"/>
      <c r="E1816" s="4"/>
      <c r="F1816" s="4"/>
      <c r="G1816" s="4"/>
      <c r="H1816" s="61"/>
      <c r="I1816" s="62"/>
      <c r="J1816" s="62"/>
      <c r="K1816" s="78"/>
      <c r="L1816" s="57"/>
      <c r="M1816" s="57"/>
    </row>
    <row r="1817" spans="1:13" ht="15" customHeight="1">
      <c r="A1817" s="73"/>
      <c r="B1817" s="2"/>
      <c r="C1817" s="2"/>
      <c r="D1817" s="2"/>
      <c r="E1817" s="4"/>
      <c r="F1817" s="4"/>
      <c r="G1817" s="4"/>
      <c r="H1817" s="61"/>
      <c r="I1817" s="62"/>
      <c r="J1817" s="62"/>
      <c r="K1817" s="78"/>
      <c r="L1817" s="57"/>
      <c r="M1817" s="57"/>
    </row>
    <row r="1818" spans="1:13" ht="15" customHeight="1">
      <c r="A1818" s="73"/>
      <c r="B1818" s="2"/>
      <c r="C1818" s="2"/>
      <c r="D1818" s="2"/>
      <c r="E1818" s="4"/>
      <c r="F1818" s="4"/>
      <c r="G1818" s="4"/>
      <c r="H1818" s="61"/>
      <c r="I1818" s="62"/>
      <c r="J1818" s="62"/>
      <c r="K1818" s="78"/>
      <c r="L1818" s="57"/>
      <c r="M1818" s="57"/>
    </row>
    <row r="1819" spans="1:13" ht="15" customHeight="1">
      <c r="A1819" s="73"/>
      <c r="B1819" s="2"/>
      <c r="C1819" s="2"/>
      <c r="D1819" s="2"/>
      <c r="E1819" s="4"/>
      <c r="F1819" s="4"/>
      <c r="G1819" s="4"/>
      <c r="H1819" s="61"/>
      <c r="I1819" s="62"/>
      <c r="J1819" s="62"/>
      <c r="K1819" s="78"/>
      <c r="L1819" s="57"/>
      <c r="M1819" s="57"/>
    </row>
    <row r="1820" spans="1:13" ht="15" customHeight="1">
      <c r="A1820" s="73"/>
      <c r="B1820" s="2"/>
      <c r="C1820" s="2"/>
      <c r="D1820" s="2"/>
      <c r="E1820" s="4"/>
      <c r="F1820" s="4"/>
      <c r="G1820" s="4"/>
      <c r="H1820" s="61"/>
      <c r="I1820" s="62"/>
      <c r="J1820" s="62"/>
      <c r="K1820" s="78"/>
      <c r="L1820" s="57"/>
      <c r="M1820" s="57"/>
    </row>
    <row r="1821" spans="1:13" ht="15" customHeight="1">
      <c r="A1821" s="73"/>
      <c r="B1821" s="2"/>
      <c r="C1821" s="2"/>
      <c r="D1821" s="2"/>
      <c r="E1821" s="4"/>
      <c r="F1821" s="4"/>
      <c r="G1821" s="4"/>
      <c r="H1821" s="61"/>
      <c r="I1821" s="62"/>
      <c r="J1821" s="62"/>
      <c r="K1821" s="78"/>
      <c r="L1821" s="57"/>
      <c r="M1821" s="57"/>
    </row>
    <row r="1822" spans="1:13" ht="15" customHeight="1">
      <c r="A1822" s="73"/>
      <c r="B1822" s="2"/>
      <c r="C1822" s="2"/>
      <c r="D1822" s="2"/>
      <c r="E1822" s="4"/>
      <c r="F1822" s="4"/>
      <c r="G1822" s="4"/>
      <c r="H1822" s="61"/>
      <c r="I1822" s="62"/>
      <c r="J1822" s="62"/>
      <c r="K1822" s="78"/>
      <c r="L1822" s="57"/>
      <c r="M1822" s="57"/>
    </row>
    <row r="1823" spans="1:13" ht="15" customHeight="1">
      <c r="A1823" s="73"/>
      <c r="B1823" s="2"/>
      <c r="C1823" s="2"/>
      <c r="D1823" s="2"/>
      <c r="E1823" s="4"/>
      <c r="F1823" s="4"/>
      <c r="G1823" s="4"/>
      <c r="H1823" s="61"/>
      <c r="I1823" s="62"/>
      <c r="J1823" s="62"/>
      <c r="K1823" s="78"/>
      <c r="L1823" s="57"/>
      <c r="M1823" s="57"/>
    </row>
    <row r="1824" spans="1:13" ht="15" customHeight="1">
      <c r="A1824" s="73"/>
      <c r="B1824" s="2"/>
      <c r="C1824" s="2"/>
      <c r="D1824" s="2"/>
      <c r="E1824" s="4"/>
      <c r="F1824" s="4"/>
      <c r="G1824" s="4"/>
      <c r="H1824" s="61"/>
      <c r="I1824" s="62"/>
      <c r="J1824" s="62"/>
      <c r="K1824" s="78"/>
      <c r="L1824" s="57"/>
      <c r="M1824" s="57"/>
    </row>
    <row r="1825" spans="1:13" ht="15" customHeight="1">
      <c r="A1825" s="73"/>
      <c r="B1825" s="2"/>
      <c r="C1825" s="2"/>
      <c r="D1825" s="2"/>
      <c r="E1825" s="4"/>
      <c r="F1825" s="4"/>
      <c r="G1825" s="4"/>
      <c r="H1825" s="61"/>
      <c r="I1825" s="62"/>
      <c r="J1825" s="62"/>
      <c r="K1825" s="78"/>
      <c r="L1825" s="57"/>
      <c r="M1825" s="57"/>
    </row>
    <row r="1826" spans="1:13" ht="15" customHeight="1">
      <c r="A1826" s="73"/>
      <c r="B1826" s="2"/>
      <c r="C1826" s="2"/>
      <c r="D1826" s="2"/>
      <c r="E1826" s="4"/>
      <c r="F1826" s="4"/>
      <c r="G1826" s="4"/>
      <c r="H1826" s="61"/>
      <c r="I1826" s="62"/>
      <c r="J1826" s="62"/>
      <c r="K1826" s="78"/>
      <c r="L1826" s="57"/>
      <c r="M1826" s="57"/>
    </row>
    <row r="1827" spans="1:13" ht="15" customHeight="1">
      <c r="A1827" s="73"/>
      <c r="B1827" s="2"/>
      <c r="C1827" s="2"/>
      <c r="D1827" s="2"/>
      <c r="E1827" s="4"/>
      <c r="F1827" s="4"/>
      <c r="G1827" s="4"/>
      <c r="H1827" s="61"/>
      <c r="I1827" s="62"/>
      <c r="J1827" s="62"/>
      <c r="K1827" s="78"/>
      <c r="L1827" s="57"/>
      <c r="M1827" s="57"/>
    </row>
    <row r="1828" spans="1:13" ht="15" customHeight="1">
      <c r="A1828" s="73"/>
      <c r="B1828" s="2"/>
      <c r="C1828" s="2"/>
      <c r="D1828" s="2"/>
      <c r="E1828" s="4"/>
      <c r="F1828" s="4"/>
      <c r="G1828" s="4"/>
      <c r="H1828" s="61"/>
      <c r="I1828" s="62"/>
      <c r="J1828" s="62"/>
      <c r="K1828" s="78"/>
      <c r="L1828" s="57"/>
      <c r="M1828" s="57"/>
    </row>
    <row r="1829" spans="1:13" ht="15" customHeight="1">
      <c r="A1829" s="73"/>
      <c r="B1829" s="2"/>
      <c r="C1829" s="2"/>
      <c r="D1829" s="2"/>
      <c r="E1829" s="4"/>
      <c r="F1829" s="4"/>
      <c r="G1829" s="4"/>
      <c r="H1829" s="61"/>
      <c r="I1829" s="62"/>
      <c r="J1829" s="62"/>
      <c r="K1829" s="78"/>
      <c r="L1829" s="57"/>
      <c r="M1829" s="57"/>
    </row>
    <row r="1830" spans="1:13" ht="15" customHeight="1">
      <c r="A1830" s="73"/>
      <c r="B1830" s="2"/>
      <c r="C1830" s="2"/>
      <c r="D1830" s="2"/>
      <c r="E1830" s="4"/>
      <c r="F1830" s="4"/>
      <c r="G1830" s="4"/>
      <c r="H1830" s="61"/>
      <c r="I1830" s="62"/>
      <c r="J1830" s="62"/>
      <c r="K1830" s="78"/>
      <c r="L1830" s="57"/>
      <c r="M1830" s="57"/>
    </row>
    <row r="1831" spans="1:13" ht="15" customHeight="1">
      <c r="A1831" s="73"/>
      <c r="B1831" s="2"/>
      <c r="C1831" s="2"/>
      <c r="D1831" s="2"/>
      <c r="E1831" s="4"/>
      <c r="F1831" s="4"/>
      <c r="G1831" s="4"/>
      <c r="H1831" s="61"/>
      <c r="I1831" s="62"/>
      <c r="J1831" s="62"/>
      <c r="K1831" s="78"/>
      <c r="L1831" s="57"/>
      <c r="M1831" s="57"/>
    </row>
    <row r="1832" spans="1:13" ht="15" customHeight="1">
      <c r="A1832" s="73"/>
      <c r="B1832" s="2"/>
      <c r="C1832" s="2"/>
      <c r="D1832" s="2"/>
      <c r="E1832" s="4"/>
      <c r="F1832" s="4"/>
      <c r="G1832" s="4"/>
      <c r="H1832" s="61"/>
      <c r="I1832" s="62"/>
      <c r="J1832" s="62"/>
      <c r="K1832" s="78"/>
      <c r="L1832" s="57"/>
      <c r="M1832" s="57"/>
    </row>
    <row r="1833" spans="1:13" ht="15" customHeight="1">
      <c r="A1833" s="73"/>
      <c r="B1833" s="2"/>
      <c r="C1833" s="2"/>
      <c r="D1833" s="2"/>
      <c r="E1833" s="4"/>
      <c r="F1833" s="4"/>
      <c r="G1833" s="4"/>
      <c r="H1833" s="61"/>
      <c r="I1833" s="62"/>
      <c r="J1833" s="62"/>
      <c r="K1833" s="78"/>
      <c r="L1833" s="57"/>
      <c r="M1833" s="57"/>
    </row>
    <row r="1834" spans="1:13" ht="15" customHeight="1">
      <c r="A1834" s="73"/>
      <c r="B1834" s="2"/>
      <c r="C1834" s="2"/>
      <c r="D1834" s="2"/>
      <c r="E1834" s="4"/>
      <c r="F1834" s="4"/>
      <c r="G1834" s="4"/>
      <c r="H1834" s="61"/>
      <c r="I1834" s="62"/>
      <c r="J1834" s="62"/>
      <c r="K1834" s="78"/>
      <c r="L1834" s="57"/>
      <c r="M1834" s="57"/>
    </row>
    <row r="1835" spans="1:13" ht="15" customHeight="1">
      <c r="A1835" s="73"/>
      <c r="B1835" s="2"/>
      <c r="C1835" s="2"/>
      <c r="D1835" s="2"/>
      <c r="E1835" s="4"/>
      <c r="F1835" s="4"/>
      <c r="G1835" s="4"/>
      <c r="H1835" s="61"/>
      <c r="I1835" s="62"/>
      <c r="J1835" s="62"/>
      <c r="K1835" s="78"/>
      <c r="L1835" s="57"/>
      <c r="M1835" s="57"/>
    </row>
    <row r="1836" spans="1:13" ht="15" customHeight="1">
      <c r="A1836" s="73"/>
      <c r="B1836" s="2"/>
      <c r="C1836" s="2"/>
      <c r="D1836" s="2"/>
      <c r="E1836" s="4"/>
      <c r="F1836" s="4"/>
      <c r="G1836" s="4"/>
      <c r="H1836" s="61"/>
      <c r="I1836" s="62"/>
      <c r="J1836" s="62"/>
      <c r="K1836" s="78"/>
      <c r="L1836" s="57"/>
      <c r="M1836" s="57"/>
    </row>
    <row r="1837" spans="1:13" ht="15" customHeight="1">
      <c r="A1837" s="73"/>
      <c r="B1837" s="2"/>
      <c r="C1837" s="2"/>
      <c r="D1837" s="2"/>
      <c r="E1837" s="4"/>
      <c r="F1837" s="4"/>
      <c r="G1837" s="4"/>
      <c r="H1837" s="61"/>
      <c r="I1837" s="62"/>
      <c r="J1837" s="62"/>
      <c r="K1837" s="78"/>
      <c r="L1837" s="57"/>
      <c r="M1837" s="57"/>
    </row>
    <row r="1838" spans="1:13" ht="15" customHeight="1">
      <c r="A1838" s="73"/>
      <c r="B1838" s="2"/>
      <c r="C1838" s="2"/>
      <c r="D1838" s="2"/>
      <c r="E1838" s="4"/>
      <c r="F1838" s="4"/>
      <c r="G1838" s="4"/>
      <c r="H1838" s="61"/>
      <c r="I1838" s="62"/>
      <c r="J1838" s="62"/>
      <c r="K1838" s="78"/>
      <c r="L1838" s="57"/>
      <c r="M1838" s="57"/>
    </row>
    <row r="1839" spans="1:13" ht="15" customHeight="1">
      <c r="A1839" s="73"/>
      <c r="B1839" s="2"/>
      <c r="C1839" s="2"/>
      <c r="D1839" s="2"/>
      <c r="E1839" s="4"/>
      <c r="F1839" s="4"/>
      <c r="G1839" s="4"/>
      <c r="H1839" s="61"/>
      <c r="I1839" s="62"/>
      <c r="J1839" s="62"/>
      <c r="K1839" s="78"/>
      <c r="L1839" s="57"/>
      <c r="M1839" s="57"/>
    </row>
    <row r="1840" spans="1:13" ht="15" customHeight="1">
      <c r="A1840" s="73"/>
      <c r="B1840" s="2"/>
      <c r="C1840" s="2"/>
      <c r="D1840" s="2"/>
      <c r="E1840" s="4"/>
      <c r="F1840" s="4"/>
      <c r="G1840" s="4"/>
      <c r="H1840" s="61"/>
      <c r="I1840" s="62"/>
      <c r="J1840" s="62"/>
      <c r="K1840" s="78"/>
      <c r="L1840" s="57"/>
      <c r="M1840" s="57"/>
    </row>
    <row r="1841" spans="1:13" ht="15" customHeight="1">
      <c r="A1841" s="73"/>
      <c r="B1841" s="2"/>
      <c r="C1841" s="2"/>
      <c r="D1841" s="2"/>
      <c r="E1841" s="4"/>
      <c r="F1841" s="4"/>
      <c r="G1841" s="4"/>
      <c r="H1841" s="61"/>
      <c r="I1841" s="62"/>
      <c r="J1841" s="62"/>
      <c r="K1841" s="78"/>
      <c r="L1841" s="57"/>
      <c r="M1841" s="57"/>
    </row>
    <row r="1842" spans="1:13" ht="15" customHeight="1">
      <c r="A1842" s="73"/>
      <c r="B1842" s="2"/>
      <c r="C1842" s="2"/>
      <c r="D1842" s="2"/>
      <c r="E1842" s="4"/>
      <c r="F1842" s="4"/>
      <c r="G1842" s="4"/>
      <c r="H1842" s="61"/>
      <c r="I1842" s="62"/>
      <c r="J1842" s="62"/>
      <c r="K1842" s="78"/>
      <c r="L1842" s="57"/>
      <c r="M1842" s="57"/>
    </row>
    <row r="1843" spans="1:13" ht="15" customHeight="1">
      <c r="A1843" s="73"/>
      <c r="B1843" s="2"/>
      <c r="C1843" s="2"/>
      <c r="D1843" s="2"/>
      <c r="E1843" s="4"/>
      <c r="F1843" s="4"/>
      <c r="G1843" s="4"/>
      <c r="H1843" s="61"/>
      <c r="I1843" s="62"/>
      <c r="J1843" s="62"/>
      <c r="K1843" s="78"/>
      <c r="L1843" s="57"/>
      <c r="M1843" s="57"/>
    </row>
    <row r="1844" spans="1:13" ht="15" customHeight="1">
      <c r="A1844" s="73"/>
      <c r="B1844" s="2"/>
      <c r="C1844" s="2"/>
      <c r="D1844" s="2"/>
      <c r="E1844" s="4"/>
      <c r="F1844" s="4"/>
      <c r="G1844" s="4"/>
      <c r="H1844" s="61"/>
      <c r="I1844" s="62"/>
      <c r="J1844" s="62"/>
      <c r="K1844" s="78"/>
      <c r="L1844" s="57"/>
      <c r="M1844" s="57"/>
    </row>
    <row r="1845" spans="1:13" ht="15" customHeight="1">
      <c r="A1845" s="73"/>
      <c r="B1845" s="2"/>
      <c r="C1845" s="2"/>
      <c r="D1845" s="2"/>
      <c r="E1845" s="4"/>
      <c r="F1845" s="4"/>
      <c r="G1845" s="4"/>
      <c r="H1845" s="61"/>
      <c r="I1845" s="62"/>
      <c r="J1845" s="62"/>
      <c r="K1845" s="78"/>
      <c r="L1845" s="57"/>
      <c r="M1845" s="57"/>
    </row>
    <row r="1846" spans="1:13" ht="15" customHeight="1">
      <c r="A1846" s="73"/>
      <c r="B1846" s="2"/>
      <c r="C1846" s="2"/>
      <c r="D1846" s="2"/>
      <c r="E1846" s="4"/>
      <c r="F1846" s="4"/>
      <c r="G1846" s="4"/>
      <c r="H1846" s="61"/>
      <c r="I1846" s="62"/>
      <c r="J1846" s="62"/>
      <c r="K1846" s="78"/>
      <c r="L1846" s="57"/>
      <c r="M1846" s="57"/>
    </row>
    <row r="1847" spans="1:13" ht="15" customHeight="1">
      <c r="A1847" s="73"/>
      <c r="B1847" s="2"/>
      <c r="C1847" s="2"/>
      <c r="D1847" s="2"/>
      <c r="E1847" s="4"/>
      <c r="F1847" s="4"/>
      <c r="G1847" s="4"/>
      <c r="H1847" s="61"/>
      <c r="I1847" s="62"/>
      <c r="J1847" s="62"/>
      <c r="K1847" s="78"/>
      <c r="L1847" s="57"/>
      <c r="M1847" s="57"/>
    </row>
    <row r="1848" spans="1:13" ht="15" customHeight="1">
      <c r="A1848" s="73"/>
      <c r="B1848" s="2"/>
      <c r="C1848" s="2"/>
      <c r="D1848" s="2"/>
      <c r="E1848" s="4"/>
      <c r="F1848" s="4"/>
      <c r="G1848" s="4"/>
      <c r="H1848" s="61"/>
      <c r="I1848" s="62"/>
      <c r="J1848" s="62"/>
      <c r="K1848" s="78"/>
      <c r="L1848" s="57"/>
      <c r="M1848" s="57"/>
    </row>
    <row r="1849" spans="1:13" ht="15" customHeight="1">
      <c r="A1849" s="73"/>
      <c r="B1849" s="2"/>
      <c r="C1849" s="2"/>
      <c r="D1849" s="2"/>
      <c r="E1849" s="4"/>
      <c r="F1849" s="4"/>
      <c r="G1849" s="4"/>
      <c r="H1849" s="61"/>
      <c r="I1849" s="62"/>
      <c r="J1849" s="62"/>
      <c r="K1849" s="78"/>
      <c r="L1849" s="57"/>
      <c r="M1849" s="57"/>
    </row>
    <row r="1850" spans="1:13" ht="15" customHeight="1">
      <c r="A1850" s="73"/>
      <c r="B1850" s="2"/>
      <c r="C1850" s="2"/>
      <c r="D1850" s="2"/>
      <c r="E1850" s="4"/>
      <c r="F1850" s="4"/>
      <c r="G1850" s="4"/>
      <c r="H1850" s="61"/>
      <c r="I1850" s="62"/>
      <c r="J1850" s="62"/>
      <c r="K1850" s="78"/>
      <c r="L1850" s="57"/>
      <c r="M1850" s="57"/>
    </row>
    <row r="1851" spans="1:13" ht="15" customHeight="1">
      <c r="A1851" s="73"/>
      <c r="B1851" s="2"/>
      <c r="C1851" s="2"/>
      <c r="D1851" s="2"/>
      <c r="E1851" s="4"/>
      <c r="F1851" s="4"/>
      <c r="G1851" s="4"/>
      <c r="H1851" s="61"/>
      <c r="I1851" s="62"/>
      <c r="J1851" s="62"/>
      <c r="K1851" s="78"/>
      <c r="L1851" s="57"/>
      <c r="M1851" s="57"/>
    </row>
    <row r="1852" spans="1:13" ht="15" customHeight="1">
      <c r="A1852" s="73"/>
      <c r="B1852" s="2"/>
      <c r="C1852" s="2"/>
      <c r="D1852" s="2"/>
      <c r="E1852" s="4"/>
      <c r="F1852" s="4"/>
      <c r="G1852" s="4"/>
      <c r="H1852" s="61"/>
      <c r="I1852" s="62"/>
      <c r="J1852" s="62"/>
      <c r="K1852" s="78"/>
      <c r="L1852" s="57"/>
      <c r="M1852" s="57"/>
    </row>
    <row r="1853" spans="1:13" ht="15" customHeight="1">
      <c r="A1853" s="73"/>
      <c r="B1853" s="2"/>
      <c r="C1853" s="2"/>
      <c r="D1853" s="2"/>
      <c r="E1853" s="4"/>
      <c r="F1853" s="4"/>
      <c r="G1853" s="4"/>
      <c r="H1853" s="61"/>
      <c r="I1853" s="62"/>
      <c r="J1853" s="62"/>
      <c r="K1853" s="78"/>
      <c r="L1853" s="57"/>
      <c r="M1853" s="57"/>
    </row>
    <row r="1854" spans="1:13" ht="15" customHeight="1">
      <c r="A1854" s="73"/>
      <c r="B1854" s="2"/>
      <c r="C1854" s="2"/>
      <c r="D1854" s="2"/>
      <c r="E1854" s="4"/>
      <c r="F1854" s="4"/>
      <c r="G1854" s="4"/>
      <c r="H1854" s="61"/>
      <c r="I1854" s="62"/>
      <c r="J1854" s="62"/>
      <c r="K1854" s="78"/>
      <c r="L1854" s="57"/>
      <c r="M1854" s="57"/>
    </row>
    <row r="1855" spans="1:13" ht="15" customHeight="1">
      <c r="A1855" s="73"/>
      <c r="B1855" s="2"/>
      <c r="C1855" s="2"/>
      <c r="D1855" s="2"/>
      <c r="E1855" s="4"/>
      <c r="F1855" s="4"/>
      <c r="G1855" s="4"/>
      <c r="H1855" s="61"/>
      <c r="I1855" s="62"/>
      <c r="J1855" s="62"/>
      <c r="K1855" s="78"/>
      <c r="L1855" s="57"/>
      <c r="M1855" s="57"/>
    </row>
    <row r="1856" spans="1:13" ht="15" customHeight="1">
      <c r="A1856" s="73"/>
      <c r="B1856" s="2"/>
      <c r="C1856" s="2"/>
      <c r="D1856" s="2"/>
      <c r="E1856" s="4"/>
      <c r="F1856" s="4"/>
      <c r="G1856" s="4"/>
      <c r="H1856" s="61"/>
      <c r="I1856" s="62"/>
      <c r="J1856" s="62"/>
      <c r="K1856" s="78"/>
      <c r="L1856" s="57"/>
      <c r="M1856" s="57"/>
    </row>
    <row r="1857" spans="1:13" ht="15" customHeight="1">
      <c r="A1857" s="73"/>
      <c r="B1857" s="2"/>
      <c r="C1857" s="2"/>
      <c r="D1857" s="2"/>
      <c r="E1857" s="4"/>
      <c r="F1857" s="4"/>
      <c r="G1857" s="4"/>
      <c r="H1857" s="61"/>
      <c r="I1857" s="62"/>
      <c r="J1857" s="62"/>
      <c r="K1857" s="78"/>
      <c r="L1857" s="57"/>
      <c r="M1857" s="57"/>
    </row>
    <row r="1858" spans="1:13" ht="15" customHeight="1">
      <c r="A1858" s="73"/>
      <c r="B1858" s="2"/>
      <c r="C1858" s="2"/>
      <c r="D1858" s="2"/>
      <c r="E1858" s="4"/>
      <c r="F1858" s="4"/>
      <c r="G1858" s="4"/>
      <c r="H1858" s="61"/>
      <c r="I1858" s="62"/>
      <c r="J1858" s="62"/>
      <c r="K1858" s="78"/>
      <c r="L1858" s="57"/>
      <c r="M1858" s="57"/>
    </row>
    <row r="1859" spans="1:13" ht="15" customHeight="1">
      <c r="A1859" s="73"/>
      <c r="B1859" s="2"/>
      <c r="C1859" s="2"/>
      <c r="D1859" s="2"/>
      <c r="E1859" s="4"/>
      <c r="F1859" s="4"/>
      <c r="G1859" s="4"/>
      <c r="H1859" s="61"/>
      <c r="I1859" s="62"/>
      <c r="J1859" s="62"/>
      <c r="K1859" s="78"/>
      <c r="L1859" s="57"/>
      <c r="M1859" s="57"/>
    </row>
    <row r="1860" spans="1:13" ht="15" customHeight="1">
      <c r="A1860" s="73"/>
      <c r="B1860" s="2"/>
      <c r="C1860" s="2"/>
      <c r="D1860" s="2"/>
      <c r="E1860" s="4"/>
      <c r="F1860" s="4"/>
      <c r="G1860" s="4"/>
      <c r="H1860" s="61"/>
      <c r="I1860" s="62"/>
      <c r="J1860" s="62"/>
      <c r="K1860" s="78"/>
      <c r="L1860" s="57"/>
      <c r="M1860" s="57"/>
    </row>
    <row r="1861" spans="1:13" ht="15" customHeight="1">
      <c r="A1861" s="73"/>
      <c r="B1861" s="2"/>
      <c r="C1861" s="2"/>
      <c r="D1861" s="2"/>
      <c r="E1861" s="4"/>
      <c r="F1861" s="4"/>
      <c r="G1861" s="4"/>
      <c r="H1861" s="61"/>
      <c r="I1861" s="62"/>
      <c r="J1861" s="62"/>
      <c r="K1861" s="78"/>
      <c r="L1861" s="57"/>
      <c r="M1861" s="57"/>
    </row>
    <row r="1862" spans="1:13" ht="15" customHeight="1">
      <c r="A1862" s="73"/>
      <c r="B1862" s="2"/>
      <c r="C1862" s="2"/>
      <c r="D1862" s="2"/>
      <c r="E1862" s="4"/>
      <c r="F1862" s="4"/>
      <c r="G1862" s="4"/>
      <c r="H1862" s="61"/>
      <c r="I1862" s="62"/>
      <c r="J1862" s="62"/>
      <c r="K1862" s="78"/>
      <c r="L1862" s="57"/>
      <c r="M1862" s="57"/>
    </row>
    <row r="1863" spans="1:13" ht="15" customHeight="1">
      <c r="A1863" s="73"/>
      <c r="B1863" s="2"/>
      <c r="C1863" s="2"/>
      <c r="D1863" s="2"/>
      <c r="E1863" s="4"/>
      <c r="F1863" s="4"/>
      <c r="G1863" s="4"/>
      <c r="H1863" s="61"/>
      <c r="I1863" s="62"/>
      <c r="J1863" s="62"/>
      <c r="K1863" s="78"/>
      <c r="L1863" s="57"/>
      <c r="M1863" s="57"/>
    </row>
    <row r="1864" spans="1:13" ht="15" customHeight="1">
      <c r="A1864" s="73"/>
      <c r="B1864" s="2"/>
      <c r="C1864" s="2"/>
      <c r="D1864" s="2"/>
      <c r="E1864" s="4"/>
      <c r="F1864" s="4"/>
      <c r="G1864" s="4"/>
      <c r="H1864" s="61"/>
      <c r="I1864" s="62"/>
      <c r="J1864" s="62"/>
      <c r="K1864" s="78"/>
      <c r="L1864" s="57"/>
      <c r="M1864" s="57"/>
    </row>
    <row r="1865" spans="1:13" ht="15" customHeight="1">
      <c r="A1865" s="73"/>
      <c r="B1865" s="2"/>
      <c r="C1865" s="2"/>
      <c r="D1865" s="2"/>
      <c r="E1865" s="4"/>
      <c r="F1865" s="4"/>
      <c r="G1865" s="4"/>
      <c r="H1865" s="61"/>
      <c r="I1865" s="62"/>
      <c r="J1865" s="62"/>
      <c r="K1865" s="78"/>
      <c r="L1865" s="57"/>
      <c r="M1865" s="57"/>
    </row>
    <row r="1866" spans="1:13" ht="15" customHeight="1">
      <c r="A1866" s="73"/>
      <c r="B1866" s="2"/>
      <c r="C1866" s="2"/>
      <c r="D1866" s="2"/>
      <c r="E1866" s="4"/>
      <c r="F1866" s="4"/>
      <c r="G1866" s="4"/>
      <c r="H1866" s="61"/>
      <c r="I1866" s="62"/>
      <c r="J1866" s="62"/>
      <c r="K1866" s="78"/>
      <c r="L1866" s="57"/>
      <c r="M1866" s="57"/>
    </row>
    <row r="1867" spans="1:13" ht="15" customHeight="1">
      <c r="A1867" s="73"/>
      <c r="B1867" s="2"/>
      <c r="C1867" s="2"/>
      <c r="D1867" s="2"/>
      <c r="E1867" s="4"/>
      <c r="F1867" s="4"/>
      <c r="G1867" s="4"/>
      <c r="H1867" s="61"/>
      <c r="I1867" s="62"/>
      <c r="J1867" s="62"/>
      <c r="K1867" s="78"/>
      <c r="L1867" s="57"/>
      <c r="M1867" s="57"/>
    </row>
    <row r="1868" spans="1:13" ht="15" customHeight="1">
      <c r="A1868" s="73"/>
      <c r="B1868" s="2"/>
      <c r="C1868" s="2"/>
      <c r="D1868" s="2"/>
      <c r="E1868" s="4"/>
      <c r="F1868" s="4"/>
      <c r="G1868" s="4"/>
      <c r="H1868" s="61"/>
      <c r="I1868" s="62"/>
      <c r="J1868" s="62"/>
      <c r="K1868" s="78"/>
      <c r="L1868" s="57"/>
      <c r="M1868" s="57"/>
    </row>
    <row r="1869" spans="1:13" ht="15" customHeight="1">
      <c r="A1869" s="73"/>
      <c r="B1869" s="2"/>
      <c r="C1869" s="2"/>
      <c r="D1869" s="2"/>
      <c r="E1869" s="4"/>
      <c r="F1869" s="4"/>
      <c r="G1869" s="4"/>
      <c r="H1869" s="61"/>
      <c r="I1869" s="62"/>
      <c r="J1869" s="62"/>
      <c r="K1869" s="78"/>
      <c r="L1869" s="57"/>
      <c r="M1869" s="57"/>
    </row>
    <row r="1870" spans="1:13" ht="15" customHeight="1">
      <c r="A1870" s="73"/>
      <c r="B1870" s="2"/>
      <c r="C1870" s="2"/>
      <c r="D1870" s="2"/>
      <c r="E1870" s="4"/>
      <c r="F1870" s="4"/>
      <c r="G1870" s="4"/>
      <c r="H1870" s="61"/>
      <c r="I1870" s="62"/>
      <c r="J1870" s="62"/>
      <c r="K1870" s="78"/>
      <c r="L1870" s="57"/>
      <c r="M1870" s="57"/>
    </row>
    <row r="1871" spans="1:13" ht="15" customHeight="1">
      <c r="A1871" s="73"/>
      <c r="B1871" s="2"/>
      <c r="C1871" s="2"/>
      <c r="D1871" s="2"/>
      <c r="E1871" s="4"/>
      <c r="F1871" s="4"/>
      <c r="G1871" s="4"/>
      <c r="H1871" s="61"/>
      <c r="I1871" s="62"/>
      <c r="J1871" s="62"/>
      <c r="K1871" s="78"/>
      <c r="L1871" s="57"/>
      <c r="M1871" s="57"/>
    </row>
    <row r="1872" spans="1:13" ht="15" customHeight="1">
      <c r="A1872" s="73"/>
      <c r="B1872" s="2"/>
      <c r="C1872" s="2"/>
      <c r="D1872" s="2"/>
      <c r="E1872" s="4"/>
      <c r="F1872" s="4"/>
      <c r="G1872" s="4"/>
      <c r="H1872" s="61"/>
      <c r="I1872" s="62"/>
      <c r="J1872" s="62"/>
      <c r="K1872" s="78"/>
      <c r="L1872" s="57"/>
      <c r="M1872" s="57"/>
    </row>
    <row r="1873" spans="1:13" ht="15" customHeight="1">
      <c r="A1873" s="73"/>
      <c r="B1873" s="2"/>
      <c r="C1873" s="2"/>
      <c r="D1873" s="2"/>
      <c r="E1873" s="4"/>
      <c r="F1873" s="4"/>
      <c r="G1873" s="4"/>
      <c r="H1873" s="61"/>
      <c r="I1873" s="62"/>
      <c r="J1873" s="62"/>
      <c r="K1873" s="78"/>
      <c r="L1873" s="57"/>
      <c r="M1873" s="57"/>
    </row>
    <row r="1874" spans="1:13" ht="15" customHeight="1">
      <c r="A1874" s="73"/>
      <c r="B1874" s="2"/>
      <c r="C1874" s="2"/>
      <c r="D1874" s="2"/>
      <c r="E1874" s="4"/>
      <c r="F1874" s="4"/>
      <c r="G1874" s="4"/>
      <c r="H1874" s="61"/>
      <c r="I1874" s="62"/>
      <c r="J1874" s="62"/>
      <c r="K1874" s="78"/>
      <c r="L1874" s="57"/>
      <c r="M1874" s="57"/>
    </row>
    <row r="1875" spans="1:13" ht="15" customHeight="1">
      <c r="A1875" s="73"/>
      <c r="B1875" s="2"/>
      <c r="C1875" s="2"/>
      <c r="D1875" s="2"/>
      <c r="E1875" s="4"/>
      <c r="F1875" s="4"/>
      <c r="G1875" s="4"/>
      <c r="H1875" s="61"/>
      <c r="I1875" s="62"/>
      <c r="J1875" s="62"/>
      <c r="K1875" s="78"/>
      <c r="L1875" s="57"/>
      <c r="M1875" s="57"/>
    </row>
    <row r="1876" spans="1:13" ht="15" customHeight="1">
      <c r="A1876" s="73"/>
      <c r="B1876" s="2"/>
      <c r="C1876" s="2"/>
      <c r="D1876" s="2"/>
      <c r="E1876" s="4"/>
      <c r="F1876" s="4"/>
      <c r="G1876" s="4"/>
      <c r="H1876" s="61"/>
      <c r="I1876" s="62"/>
      <c r="J1876" s="62"/>
      <c r="K1876" s="78"/>
      <c r="L1876" s="57"/>
      <c r="M1876" s="57"/>
    </row>
    <row r="1877" spans="1:13" ht="15" customHeight="1">
      <c r="A1877" s="73"/>
      <c r="B1877" s="2"/>
      <c r="C1877" s="2"/>
      <c r="D1877" s="2"/>
      <c r="E1877" s="4"/>
      <c r="F1877" s="4"/>
      <c r="G1877" s="4"/>
      <c r="H1877" s="61"/>
      <c r="I1877" s="62"/>
      <c r="J1877" s="62"/>
      <c r="K1877" s="78"/>
      <c r="L1877" s="57"/>
      <c r="M1877" s="57"/>
    </row>
    <row r="1878" spans="1:13" ht="15" customHeight="1">
      <c r="A1878" s="73"/>
      <c r="B1878" s="2"/>
      <c r="C1878" s="2"/>
      <c r="D1878" s="2"/>
      <c r="E1878" s="4"/>
      <c r="F1878" s="4"/>
      <c r="G1878" s="4"/>
      <c r="H1878" s="61"/>
      <c r="I1878" s="62"/>
      <c r="J1878" s="62"/>
      <c r="K1878" s="78"/>
      <c r="L1878" s="57"/>
      <c r="M1878" s="57"/>
    </row>
    <row r="1879" spans="1:13" ht="15" customHeight="1">
      <c r="A1879" s="73"/>
      <c r="B1879" s="2"/>
      <c r="C1879" s="2"/>
      <c r="D1879" s="2"/>
      <c r="E1879" s="4"/>
      <c r="F1879" s="4"/>
      <c r="G1879" s="4"/>
      <c r="H1879" s="61"/>
      <c r="I1879" s="62"/>
      <c r="J1879" s="62"/>
      <c r="K1879" s="78"/>
      <c r="L1879" s="57"/>
      <c r="M1879" s="57"/>
    </row>
    <row r="1880" spans="1:13" ht="15" customHeight="1">
      <c r="A1880" s="73"/>
      <c r="B1880" s="2"/>
      <c r="C1880" s="2"/>
      <c r="D1880" s="2"/>
      <c r="E1880" s="4"/>
      <c r="F1880" s="4"/>
      <c r="G1880" s="4"/>
      <c r="H1880" s="61"/>
      <c r="I1880" s="62"/>
      <c r="J1880" s="62"/>
      <c r="K1880" s="78"/>
      <c r="L1880" s="57"/>
      <c r="M1880" s="57"/>
    </row>
    <row r="1881" spans="1:13" ht="15" customHeight="1">
      <c r="A1881" s="73"/>
      <c r="B1881" s="2"/>
      <c r="C1881" s="2"/>
      <c r="D1881" s="2"/>
      <c r="E1881" s="4"/>
      <c r="F1881" s="4"/>
      <c r="G1881" s="4"/>
      <c r="H1881" s="61"/>
      <c r="I1881" s="62"/>
      <c r="J1881" s="62"/>
      <c r="K1881" s="78"/>
      <c r="L1881" s="57"/>
      <c r="M1881" s="57"/>
    </row>
    <row r="1882" spans="1:13" ht="15" customHeight="1">
      <c r="A1882" s="73"/>
      <c r="B1882" s="2"/>
      <c r="C1882" s="2"/>
      <c r="D1882" s="2"/>
      <c r="E1882" s="4"/>
      <c r="F1882" s="4"/>
      <c r="G1882" s="4"/>
      <c r="H1882" s="61"/>
      <c r="I1882" s="62"/>
      <c r="J1882" s="62"/>
      <c r="K1882" s="78"/>
      <c r="L1882" s="57"/>
      <c r="M1882" s="57"/>
    </row>
    <row r="1883" spans="1:13" ht="15" customHeight="1">
      <c r="A1883" s="73"/>
      <c r="B1883" s="2"/>
      <c r="C1883" s="2"/>
      <c r="D1883" s="2"/>
      <c r="E1883" s="4"/>
      <c r="F1883" s="4"/>
      <c r="G1883" s="4"/>
      <c r="H1883" s="61"/>
      <c r="I1883" s="62"/>
      <c r="J1883" s="62"/>
      <c r="K1883" s="78"/>
      <c r="L1883" s="57"/>
      <c r="M1883" s="57"/>
    </row>
    <row r="1884" spans="1:13" ht="15" customHeight="1">
      <c r="A1884" s="73"/>
      <c r="B1884" s="2"/>
      <c r="C1884" s="2"/>
      <c r="D1884" s="2"/>
      <c r="E1884" s="4"/>
      <c r="F1884" s="4"/>
      <c r="G1884" s="4"/>
      <c r="H1884" s="61"/>
      <c r="I1884" s="62"/>
      <c r="J1884" s="62"/>
      <c r="K1884" s="78"/>
      <c r="L1884" s="57"/>
      <c r="M1884" s="57"/>
    </row>
    <row r="1885" spans="1:13" ht="15" customHeight="1">
      <c r="A1885" s="73"/>
      <c r="B1885" s="2"/>
      <c r="C1885" s="2"/>
      <c r="D1885" s="2"/>
      <c r="E1885" s="4"/>
      <c r="F1885" s="4"/>
      <c r="G1885" s="4"/>
      <c r="H1885" s="61"/>
      <c r="I1885" s="62"/>
      <c r="J1885" s="62"/>
      <c r="K1885" s="78"/>
      <c r="L1885" s="57"/>
      <c r="M1885" s="57"/>
    </row>
    <row r="1886" spans="1:13" ht="15" customHeight="1">
      <c r="A1886" s="73"/>
      <c r="B1886" s="2"/>
      <c r="C1886" s="2"/>
      <c r="D1886" s="2"/>
      <c r="E1886" s="4"/>
      <c r="F1886" s="4"/>
      <c r="G1886" s="4"/>
      <c r="H1886" s="61"/>
      <c r="I1886" s="62"/>
      <c r="J1886" s="62"/>
      <c r="K1886" s="78"/>
      <c r="L1886" s="57"/>
      <c r="M1886" s="57"/>
    </row>
    <row r="1887" spans="1:13" ht="15" customHeight="1">
      <c r="A1887" s="73"/>
      <c r="B1887" s="2"/>
      <c r="C1887" s="2"/>
      <c r="D1887" s="2"/>
      <c r="E1887" s="4"/>
      <c r="F1887" s="4"/>
      <c r="G1887" s="4"/>
      <c r="H1887" s="61"/>
      <c r="I1887" s="62"/>
      <c r="J1887" s="62"/>
      <c r="K1887" s="78"/>
      <c r="L1887" s="57"/>
      <c r="M1887" s="57"/>
    </row>
    <row r="1888" spans="1:13" ht="15" customHeight="1">
      <c r="A1888" s="73"/>
      <c r="B1888" s="2"/>
      <c r="C1888" s="2"/>
      <c r="D1888" s="2"/>
      <c r="E1888" s="4"/>
      <c r="F1888" s="4"/>
      <c r="G1888" s="4"/>
      <c r="H1888" s="61"/>
      <c r="I1888" s="62"/>
      <c r="J1888" s="62"/>
      <c r="K1888" s="78"/>
      <c r="L1888" s="57"/>
      <c r="M1888" s="57"/>
    </row>
    <row r="1889" spans="1:13" ht="15" customHeight="1">
      <c r="A1889" s="73"/>
      <c r="B1889" s="2"/>
      <c r="C1889" s="2"/>
      <c r="D1889" s="2"/>
      <c r="E1889" s="4"/>
      <c r="F1889" s="4"/>
      <c r="G1889" s="4"/>
      <c r="H1889" s="61"/>
      <c r="I1889" s="62"/>
      <c r="J1889" s="62"/>
      <c r="K1889" s="78"/>
      <c r="L1889" s="57"/>
      <c r="M1889" s="57"/>
    </row>
    <row r="1890" spans="1:13" ht="15" customHeight="1">
      <c r="A1890" s="73"/>
      <c r="B1890" s="2"/>
      <c r="C1890" s="2"/>
      <c r="D1890" s="2"/>
      <c r="E1890" s="4"/>
      <c r="F1890" s="4"/>
      <c r="G1890" s="4"/>
      <c r="H1890" s="61"/>
      <c r="I1890" s="62"/>
      <c r="J1890" s="62"/>
      <c r="K1890" s="78"/>
      <c r="L1890" s="57"/>
      <c r="M1890" s="57"/>
    </row>
    <row r="1891" spans="1:13" ht="15" customHeight="1">
      <c r="A1891" s="73"/>
      <c r="B1891" s="2"/>
      <c r="C1891" s="2"/>
      <c r="D1891" s="2"/>
      <c r="E1891" s="4"/>
      <c r="F1891" s="4"/>
      <c r="G1891" s="4"/>
      <c r="H1891" s="61"/>
      <c r="I1891" s="62"/>
      <c r="J1891" s="62"/>
      <c r="K1891" s="78"/>
      <c r="L1891" s="57"/>
      <c r="M1891" s="57"/>
    </row>
    <row r="1892" spans="1:13" ht="15" customHeight="1">
      <c r="A1892" s="73"/>
      <c r="B1892" s="2"/>
      <c r="C1892" s="2"/>
      <c r="D1892" s="2"/>
      <c r="E1892" s="4"/>
      <c r="F1892" s="4"/>
      <c r="G1892" s="4"/>
      <c r="H1892" s="61"/>
      <c r="I1892" s="62"/>
      <c r="J1892" s="62"/>
      <c r="K1892" s="78"/>
      <c r="L1892" s="57"/>
      <c r="M1892" s="57"/>
    </row>
    <row r="1893" spans="1:13" ht="15" customHeight="1">
      <c r="A1893" s="73"/>
      <c r="B1893" s="2"/>
      <c r="C1893" s="2"/>
      <c r="D1893" s="2"/>
      <c r="E1893" s="4"/>
      <c r="F1893" s="4"/>
      <c r="G1893" s="4"/>
      <c r="H1893" s="61"/>
      <c r="I1893" s="62"/>
      <c r="J1893" s="62"/>
      <c r="K1893" s="78"/>
      <c r="L1893" s="57"/>
      <c r="M1893" s="57"/>
    </row>
    <row r="1894" spans="1:13" ht="15" customHeight="1">
      <c r="A1894" s="73"/>
      <c r="B1894" s="2"/>
      <c r="C1894" s="2"/>
      <c r="D1894" s="2"/>
      <c r="E1894" s="4"/>
      <c r="F1894" s="4"/>
      <c r="G1894" s="4"/>
      <c r="H1894" s="61"/>
      <c r="I1894" s="62"/>
      <c r="J1894" s="62"/>
      <c r="K1894" s="78"/>
      <c r="L1894" s="57"/>
      <c r="M1894" s="57"/>
    </row>
    <row r="1895" spans="1:13" ht="15" customHeight="1">
      <c r="A1895" s="73"/>
      <c r="B1895" s="2"/>
      <c r="C1895" s="2"/>
      <c r="D1895" s="2"/>
      <c r="E1895" s="4"/>
      <c r="F1895" s="4"/>
      <c r="G1895" s="4"/>
      <c r="H1895" s="61"/>
      <c r="I1895" s="62"/>
      <c r="J1895" s="62"/>
      <c r="K1895" s="78"/>
      <c r="L1895" s="57"/>
      <c r="M1895" s="57"/>
    </row>
    <row r="1896" spans="1:13" ht="15" customHeight="1">
      <c r="A1896" s="73"/>
      <c r="B1896" s="2"/>
      <c r="C1896" s="2"/>
      <c r="D1896" s="2"/>
      <c r="E1896" s="4"/>
      <c r="F1896" s="4"/>
      <c r="G1896" s="4"/>
      <c r="H1896" s="61"/>
      <c r="I1896" s="62"/>
      <c r="J1896" s="62"/>
      <c r="K1896" s="78"/>
      <c r="L1896" s="57"/>
      <c r="M1896" s="57"/>
    </row>
    <row r="1897" spans="1:13" ht="15" customHeight="1">
      <c r="A1897" s="73"/>
      <c r="B1897" s="2"/>
      <c r="C1897" s="2"/>
      <c r="D1897" s="2"/>
      <c r="E1897" s="4"/>
      <c r="F1897" s="4"/>
      <c r="G1897" s="4"/>
      <c r="H1897" s="61"/>
      <c r="I1897" s="62"/>
      <c r="J1897" s="62"/>
      <c r="K1897" s="78"/>
      <c r="L1897" s="57"/>
      <c r="M1897" s="57"/>
    </row>
    <row r="1898" spans="1:13" ht="15" customHeight="1">
      <c r="A1898" s="73"/>
      <c r="B1898" s="2"/>
      <c r="C1898" s="2"/>
      <c r="D1898" s="2"/>
      <c r="E1898" s="4"/>
      <c r="F1898" s="4"/>
      <c r="G1898" s="4"/>
      <c r="H1898" s="61"/>
      <c r="I1898" s="62"/>
      <c r="J1898" s="62"/>
      <c r="K1898" s="78"/>
      <c r="L1898" s="57"/>
      <c r="M1898" s="57"/>
    </row>
    <row r="1899" spans="1:13" ht="15" customHeight="1">
      <c r="A1899" s="73"/>
      <c r="B1899" s="2"/>
      <c r="C1899" s="2"/>
      <c r="D1899" s="2"/>
      <c r="E1899" s="4"/>
      <c r="F1899" s="4"/>
      <c r="G1899" s="4"/>
      <c r="H1899" s="61"/>
      <c r="I1899" s="62"/>
      <c r="J1899" s="62"/>
      <c r="K1899" s="78"/>
      <c r="L1899" s="57"/>
      <c r="M1899" s="57"/>
    </row>
    <row r="1900" spans="1:13" ht="15" customHeight="1">
      <c r="A1900" s="73"/>
      <c r="B1900" s="2"/>
      <c r="C1900" s="2"/>
      <c r="D1900" s="2"/>
      <c r="E1900" s="4"/>
      <c r="F1900" s="4"/>
      <c r="G1900" s="4"/>
      <c r="H1900" s="61"/>
      <c r="I1900" s="62"/>
      <c r="J1900" s="62"/>
      <c r="K1900" s="78"/>
      <c r="L1900" s="57"/>
      <c r="M1900" s="57"/>
    </row>
    <row r="1901" spans="1:13" ht="15" customHeight="1">
      <c r="A1901" s="73"/>
      <c r="B1901" s="2"/>
      <c r="C1901" s="2"/>
      <c r="D1901" s="2"/>
      <c r="E1901" s="4"/>
      <c r="F1901" s="4"/>
      <c r="G1901" s="4"/>
      <c r="H1901" s="61"/>
      <c r="I1901" s="62"/>
      <c r="J1901" s="62"/>
      <c r="K1901" s="78"/>
      <c r="L1901" s="57"/>
      <c r="M1901" s="57"/>
    </row>
    <row r="1902" spans="1:13" ht="15" customHeight="1">
      <c r="A1902" s="73"/>
      <c r="B1902" s="2"/>
      <c r="C1902" s="2"/>
      <c r="D1902" s="2"/>
      <c r="E1902" s="4"/>
      <c r="F1902" s="4"/>
      <c r="G1902" s="4"/>
      <c r="H1902" s="61"/>
      <c r="I1902" s="62"/>
      <c r="J1902" s="62"/>
      <c r="K1902" s="78"/>
      <c r="L1902" s="57"/>
      <c r="M1902" s="57"/>
    </row>
    <row r="1903" spans="1:13" ht="15" customHeight="1">
      <c r="A1903" s="73"/>
      <c r="B1903" s="2"/>
      <c r="C1903" s="2"/>
      <c r="D1903" s="2"/>
      <c r="E1903" s="4"/>
      <c r="F1903" s="4"/>
      <c r="G1903" s="4"/>
      <c r="H1903" s="61"/>
      <c r="I1903" s="62"/>
      <c r="J1903" s="62"/>
      <c r="K1903" s="78"/>
      <c r="L1903" s="57"/>
      <c r="M1903" s="57"/>
    </row>
    <row r="1904" spans="1:13" ht="15" customHeight="1">
      <c r="A1904" s="73"/>
      <c r="B1904" s="2"/>
      <c r="C1904" s="2"/>
      <c r="D1904" s="2"/>
      <c r="E1904" s="4"/>
      <c r="F1904" s="4"/>
      <c r="G1904" s="4"/>
      <c r="H1904" s="61"/>
      <c r="I1904" s="62"/>
      <c r="J1904" s="62"/>
      <c r="K1904" s="78"/>
      <c r="L1904" s="57"/>
      <c r="M1904" s="57"/>
    </row>
    <row r="1905" spans="1:13" ht="15" customHeight="1">
      <c r="A1905" s="73"/>
      <c r="B1905" s="2"/>
      <c r="C1905" s="2"/>
      <c r="D1905" s="2"/>
      <c r="E1905" s="4"/>
      <c r="F1905" s="4"/>
      <c r="G1905" s="4"/>
      <c r="H1905" s="61"/>
      <c r="I1905" s="62"/>
      <c r="J1905" s="62"/>
      <c r="K1905" s="78"/>
      <c r="L1905" s="57"/>
      <c r="M1905" s="57"/>
    </row>
    <row r="1906" spans="1:13" ht="15" customHeight="1">
      <c r="A1906" s="73"/>
      <c r="B1906" s="2"/>
      <c r="C1906" s="2"/>
      <c r="D1906" s="2"/>
      <c r="E1906" s="4"/>
      <c r="F1906" s="4"/>
      <c r="G1906" s="4"/>
      <c r="H1906" s="61"/>
      <c r="I1906" s="62"/>
      <c r="J1906" s="62"/>
      <c r="K1906" s="78"/>
      <c r="L1906" s="57"/>
      <c r="M1906" s="57"/>
    </row>
    <row r="1907" spans="1:13" ht="15" customHeight="1">
      <c r="A1907" s="73"/>
      <c r="B1907" s="2"/>
      <c r="C1907" s="2"/>
      <c r="D1907" s="2"/>
      <c r="E1907" s="4"/>
      <c r="F1907" s="4"/>
      <c r="G1907" s="4"/>
      <c r="H1907" s="61"/>
      <c r="I1907" s="62"/>
      <c r="J1907" s="62"/>
      <c r="K1907" s="78"/>
      <c r="L1907" s="57"/>
      <c r="M1907" s="57"/>
    </row>
    <row r="1908" spans="1:13" ht="15" customHeight="1">
      <c r="A1908" s="73"/>
      <c r="B1908" s="2"/>
      <c r="C1908" s="2"/>
      <c r="D1908" s="2"/>
      <c r="E1908" s="4"/>
      <c r="F1908" s="4"/>
      <c r="G1908" s="4"/>
      <c r="H1908" s="61"/>
      <c r="I1908" s="62"/>
      <c r="J1908" s="62"/>
      <c r="K1908" s="78"/>
      <c r="L1908" s="57"/>
      <c r="M1908" s="57"/>
    </row>
    <row r="1909" spans="1:13" ht="15" customHeight="1">
      <c r="A1909" s="73"/>
      <c r="B1909" s="2"/>
      <c r="C1909" s="2"/>
      <c r="D1909" s="2"/>
      <c r="E1909" s="4"/>
      <c r="F1909" s="4"/>
      <c r="G1909" s="4"/>
      <c r="H1909" s="61"/>
      <c r="I1909" s="62"/>
      <c r="J1909" s="62"/>
      <c r="K1909" s="78"/>
      <c r="L1909" s="57"/>
      <c r="M1909" s="57"/>
    </row>
    <row r="1910" spans="1:13" ht="15" customHeight="1">
      <c r="A1910" s="73"/>
      <c r="B1910" s="2"/>
      <c r="C1910" s="2"/>
      <c r="D1910" s="2"/>
      <c r="E1910" s="4"/>
      <c r="F1910" s="4"/>
      <c r="G1910" s="4"/>
      <c r="H1910" s="61"/>
      <c r="I1910" s="62"/>
      <c r="J1910" s="62"/>
      <c r="K1910" s="78"/>
      <c r="L1910" s="57"/>
      <c r="M1910" s="57"/>
    </row>
    <row r="1911" spans="1:13" ht="15" customHeight="1">
      <c r="A1911" s="73"/>
      <c r="B1911" s="2"/>
      <c r="C1911" s="2"/>
      <c r="D1911" s="2"/>
      <c r="E1911" s="4"/>
      <c r="F1911" s="4"/>
      <c r="G1911" s="4"/>
      <c r="H1911" s="61"/>
      <c r="I1911" s="62"/>
      <c r="J1911" s="62"/>
      <c r="K1911" s="78"/>
      <c r="L1911" s="57"/>
      <c r="M1911" s="57"/>
    </row>
    <row r="1912" spans="1:13" ht="15" customHeight="1">
      <c r="A1912" s="73"/>
      <c r="B1912" s="2"/>
      <c r="C1912" s="2"/>
      <c r="D1912" s="2"/>
      <c r="E1912" s="4"/>
      <c r="F1912" s="4"/>
      <c r="G1912" s="4"/>
      <c r="H1912" s="61"/>
      <c r="I1912" s="62"/>
      <c r="J1912" s="62"/>
      <c r="K1912" s="78"/>
      <c r="L1912" s="57"/>
      <c r="M1912" s="57"/>
    </row>
    <row r="1913" spans="1:13" ht="15" customHeight="1">
      <c r="A1913" s="73"/>
      <c r="B1913" s="2"/>
      <c r="C1913" s="2"/>
      <c r="D1913" s="2"/>
      <c r="E1913" s="4"/>
      <c r="F1913" s="4"/>
      <c r="G1913" s="4"/>
      <c r="H1913" s="61"/>
      <c r="I1913" s="62"/>
      <c r="J1913" s="62"/>
      <c r="K1913" s="78"/>
      <c r="L1913" s="57"/>
      <c r="M1913" s="57"/>
    </row>
    <row r="1914" spans="1:13" ht="15" customHeight="1">
      <c r="A1914" s="73"/>
      <c r="B1914" s="2"/>
      <c r="C1914" s="2"/>
      <c r="D1914" s="2"/>
      <c r="E1914" s="4"/>
      <c r="F1914" s="4"/>
      <c r="G1914" s="4"/>
      <c r="H1914" s="61"/>
      <c r="I1914" s="62"/>
      <c r="J1914" s="62"/>
      <c r="K1914" s="78"/>
      <c r="L1914" s="57"/>
      <c r="M1914" s="57"/>
    </row>
    <row r="1915" spans="1:13" ht="15" customHeight="1">
      <c r="A1915" s="73"/>
      <c r="B1915" s="2"/>
      <c r="C1915" s="2"/>
      <c r="D1915" s="2"/>
      <c r="E1915" s="4"/>
      <c r="F1915" s="4"/>
      <c r="G1915" s="4"/>
      <c r="H1915" s="61"/>
      <c r="I1915" s="62"/>
      <c r="J1915" s="62"/>
      <c r="K1915" s="78"/>
      <c r="L1915" s="57"/>
      <c r="M1915" s="57"/>
    </row>
    <row r="1916" spans="1:13" ht="15" customHeight="1">
      <c r="A1916" s="73"/>
      <c r="B1916" s="2"/>
      <c r="C1916" s="2"/>
      <c r="D1916" s="2"/>
      <c r="E1916" s="4"/>
      <c r="F1916" s="4"/>
      <c r="G1916" s="4"/>
      <c r="H1916" s="61"/>
      <c r="I1916" s="62"/>
      <c r="J1916" s="62"/>
      <c r="K1916" s="78"/>
      <c r="L1916" s="57"/>
      <c r="M1916" s="57"/>
    </row>
    <row r="1917" spans="1:13" ht="15" customHeight="1">
      <c r="A1917" s="73"/>
      <c r="B1917" s="2"/>
      <c r="C1917" s="2"/>
      <c r="D1917" s="2"/>
      <c r="E1917" s="4"/>
      <c r="F1917" s="4"/>
      <c r="G1917" s="4"/>
      <c r="H1917" s="61"/>
      <c r="I1917" s="62"/>
      <c r="J1917" s="62"/>
      <c r="K1917" s="78"/>
      <c r="L1917" s="57"/>
      <c r="M1917" s="57"/>
    </row>
    <row r="1918" spans="1:13" ht="15" customHeight="1">
      <c r="A1918" s="73"/>
      <c r="B1918" s="2"/>
      <c r="C1918" s="2"/>
      <c r="D1918" s="2"/>
      <c r="E1918" s="4"/>
      <c r="F1918" s="4"/>
      <c r="G1918" s="4"/>
      <c r="H1918" s="61"/>
      <c r="I1918" s="62"/>
      <c r="J1918" s="62"/>
      <c r="K1918" s="78"/>
      <c r="L1918" s="57"/>
      <c r="M1918" s="57"/>
    </row>
    <row r="1919" spans="1:13" ht="15" customHeight="1">
      <c r="A1919" s="73"/>
      <c r="B1919" s="2"/>
      <c r="C1919" s="2"/>
      <c r="D1919" s="2"/>
      <c r="E1919" s="4"/>
      <c r="F1919" s="4"/>
      <c r="G1919" s="4"/>
      <c r="H1919" s="61"/>
      <c r="I1919" s="62"/>
      <c r="J1919" s="62"/>
      <c r="K1919" s="78"/>
      <c r="L1919" s="57"/>
      <c r="M1919" s="57"/>
    </row>
    <row r="1920" spans="1:13" ht="15" customHeight="1">
      <c r="A1920" s="73"/>
      <c r="B1920" s="2"/>
      <c r="C1920" s="2"/>
      <c r="D1920" s="2"/>
      <c r="E1920" s="4"/>
      <c r="F1920" s="4"/>
      <c r="G1920" s="4"/>
      <c r="H1920" s="61"/>
      <c r="I1920" s="62"/>
      <c r="J1920" s="62"/>
      <c r="K1920" s="78"/>
      <c r="L1920" s="57"/>
      <c r="M1920" s="57"/>
    </row>
    <row r="1921" spans="1:13" ht="15" customHeight="1">
      <c r="A1921" s="73"/>
      <c r="B1921" s="2"/>
      <c r="C1921" s="2"/>
      <c r="D1921" s="2"/>
      <c r="E1921" s="4"/>
      <c r="F1921" s="4"/>
      <c r="G1921" s="4"/>
      <c r="H1921" s="61"/>
      <c r="I1921" s="62"/>
      <c r="J1921" s="62"/>
      <c r="K1921" s="78"/>
      <c r="L1921" s="57"/>
      <c r="M1921" s="57"/>
    </row>
    <row r="1922" spans="1:13" ht="15" customHeight="1">
      <c r="A1922" s="73"/>
      <c r="B1922" s="2"/>
      <c r="C1922" s="2"/>
      <c r="D1922" s="2"/>
      <c r="E1922" s="4"/>
      <c r="F1922" s="4"/>
      <c r="G1922" s="4"/>
      <c r="H1922" s="61"/>
      <c r="I1922" s="62"/>
      <c r="J1922" s="62"/>
      <c r="K1922" s="78"/>
      <c r="L1922" s="57"/>
      <c r="M1922" s="57"/>
    </row>
    <row r="1923" spans="1:13" ht="15" customHeight="1">
      <c r="A1923" s="73"/>
      <c r="B1923" s="2"/>
      <c r="C1923" s="2"/>
      <c r="D1923" s="2"/>
      <c r="E1923" s="4"/>
      <c r="F1923" s="4"/>
      <c r="G1923" s="4"/>
      <c r="H1923" s="61"/>
      <c r="I1923" s="62"/>
      <c r="J1923" s="62"/>
      <c r="K1923" s="78"/>
      <c r="L1923" s="57"/>
      <c r="M1923" s="57"/>
    </row>
    <row r="1924" spans="1:13" ht="15" customHeight="1">
      <c r="A1924" s="73"/>
      <c r="B1924" s="2"/>
      <c r="C1924" s="2"/>
      <c r="D1924" s="2"/>
      <c r="E1924" s="4"/>
      <c r="F1924" s="4"/>
      <c r="G1924" s="4"/>
      <c r="H1924" s="61"/>
      <c r="I1924" s="62"/>
      <c r="J1924" s="62"/>
      <c r="K1924" s="78"/>
      <c r="L1924" s="57"/>
      <c r="M1924" s="57"/>
    </row>
    <row r="1925" spans="1:13" ht="15" customHeight="1">
      <c r="A1925" s="73"/>
      <c r="B1925" s="2"/>
      <c r="C1925" s="2"/>
      <c r="D1925" s="2"/>
      <c r="E1925" s="4"/>
      <c r="F1925" s="4"/>
      <c r="G1925" s="4"/>
      <c r="H1925" s="61"/>
      <c r="I1925" s="62"/>
      <c r="J1925" s="62"/>
      <c r="K1925" s="78"/>
      <c r="L1925" s="57"/>
      <c r="M1925" s="57"/>
    </row>
    <row r="1926" spans="1:13" ht="15" customHeight="1">
      <c r="A1926" s="73"/>
      <c r="B1926" s="2"/>
      <c r="C1926" s="2"/>
      <c r="D1926" s="2"/>
      <c r="E1926" s="4"/>
      <c r="F1926" s="4"/>
      <c r="G1926" s="4"/>
      <c r="H1926" s="61"/>
      <c r="I1926" s="62"/>
      <c r="J1926" s="62"/>
      <c r="K1926" s="78"/>
      <c r="L1926" s="57"/>
      <c r="M1926" s="57"/>
    </row>
    <row r="1927" spans="1:13" ht="15" customHeight="1">
      <c r="A1927" s="73"/>
      <c r="B1927" s="2"/>
      <c r="C1927" s="2"/>
      <c r="D1927" s="2"/>
      <c r="E1927" s="4"/>
      <c r="F1927" s="4"/>
      <c r="G1927" s="4"/>
      <c r="H1927" s="61"/>
      <c r="I1927" s="62"/>
      <c r="J1927" s="62"/>
      <c r="K1927" s="78"/>
      <c r="L1927" s="57"/>
      <c r="M1927" s="57"/>
    </row>
    <row r="1928" spans="1:13" ht="15" customHeight="1">
      <c r="A1928" s="73"/>
      <c r="B1928" s="2"/>
      <c r="C1928" s="2"/>
      <c r="D1928" s="2"/>
      <c r="E1928" s="4"/>
      <c r="F1928" s="4"/>
      <c r="G1928" s="4"/>
      <c r="H1928" s="61"/>
      <c r="I1928" s="62"/>
      <c r="J1928" s="62"/>
      <c r="K1928" s="78"/>
      <c r="L1928" s="57"/>
      <c r="M1928" s="57"/>
    </row>
    <row r="1929" spans="1:13" ht="15" customHeight="1">
      <c r="A1929" s="73"/>
      <c r="B1929" s="2"/>
      <c r="C1929" s="2"/>
      <c r="D1929" s="2"/>
      <c r="E1929" s="4"/>
      <c r="F1929" s="4"/>
      <c r="G1929" s="4"/>
      <c r="H1929" s="61"/>
      <c r="I1929" s="62"/>
      <c r="J1929" s="62"/>
      <c r="K1929" s="78"/>
      <c r="L1929" s="57"/>
      <c r="M1929" s="57"/>
    </row>
    <row r="1930" spans="1:13" ht="15" customHeight="1">
      <c r="A1930" s="73"/>
      <c r="B1930" s="2"/>
      <c r="C1930" s="2"/>
      <c r="D1930" s="2"/>
      <c r="E1930" s="4"/>
      <c r="F1930" s="4"/>
      <c r="G1930" s="4"/>
      <c r="H1930" s="61"/>
      <c r="I1930" s="62"/>
      <c r="J1930" s="62"/>
      <c r="K1930" s="78"/>
      <c r="L1930" s="57"/>
      <c r="M1930" s="57"/>
    </row>
    <row r="1931" spans="1:13" ht="15" customHeight="1">
      <c r="A1931" s="73"/>
      <c r="B1931" s="2"/>
      <c r="C1931" s="2"/>
      <c r="D1931" s="2"/>
      <c r="E1931" s="4"/>
      <c r="F1931" s="4"/>
      <c r="G1931" s="4"/>
      <c r="H1931" s="61"/>
      <c r="I1931" s="62"/>
      <c r="J1931" s="62"/>
      <c r="K1931" s="78"/>
      <c r="L1931" s="57"/>
      <c r="M1931" s="57"/>
    </row>
    <row r="1932" spans="1:13" ht="15" customHeight="1">
      <c r="A1932" s="73"/>
      <c r="B1932" s="2"/>
      <c r="C1932" s="2"/>
      <c r="D1932" s="2"/>
      <c r="E1932" s="4"/>
      <c r="F1932" s="4"/>
      <c r="G1932" s="4"/>
      <c r="H1932" s="61"/>
      <c r="I1932" s="62"/>
      <c r="J1932" s="62"/>
      <c r="K1932" s="78"/>
      <c r="L1932" s="57"/>
      <c r="M1932" s="57"/>
    </row>
    <row r="1933" spans="1:13" ht="15" customHeight="1">
      <c r="A1933" s="73"/>
      <c r="B1933" s="2"/>
      <c r="C1933" s="2"/>
      <c r="D1933" s="2"/>
      <c r="E1933" s="4"/>
      <c r="F1933" s="4"/>
      <c r="G1933" s="4"/>
      <c r="H1933" s="61"/>
      <c r="I1933" s="62"/>
      <c r="J1933" s="62"/>
      <c r="K1933" s="78"/>
      <c r="L1933" s="57"/>
      <c r="M1933" s="57"/>
    </row>
    <row r="1934" spans="1:13" ht="15" customHeight="1">
      <c r="A1934" s="73"/>
      <c r="B1934" s="2"/>
      <c r="C1934" s="2"/>
      <c r="D1934" s="2"/>
      <c r="E1934" s="4"/>
      <c r="F1934" s="4"/>
      <c r="G1934" s="4"/>
      <c r="H1934" s="61"/>
      <c r="I1934" s="62"/>
      <c r="J1934" s="62"/>
      <c r="K1934" s="78"/>
      <c r="L1934" s="57"/>
      <c r="M1934" s="57"/>
    </row>
    <row r="1935" spans="1:13" ht="15" customHeight="1">
      <c r="A1935" s="73"/>
      <c r="B1935" s="2"/>
      <c r="C1935" s="2"/>
      <c r="D1935" s="2"/>
      <c r="E1935" s="4"/>
      <c r="F1935" s="4"/>
      <c r="G1935" s="4"/>
      <c r="H1935" s="61"/>
      <c r="I1935" s="62"/>
      <c r="J1935" s="62"/>
      <c r="K1935" s="78"/>
      <c r="L1935" s="57"/>
      <c r="M1935" s="57"/>
    </row>
    <row r="1936" spans="1:13" ht="15" customHeight="1">
      <c r="A1936" s="73"/>
      <c r="B1936" s="2"/>
      <c r="C1936" s="2"/>
      <c r="D1936" s="2"/>
      <c r="E1936" s="4"/>
      <c r="F1936" s="4"/>
      <c r="G1936" s="4"/>
      <c r="H1936" s="61"/>
      <c r="I1936" s="62"/>
      <c r="J1936" s="62"/>
      <c r="K1936" s="78"/>
      <c r="L1936" s="57"/>
      <c r="M1936" s="57"/>
    </row>
    <row r="1937" spans="1:13" ht="15" customHeight="1">
      <c r="A1937" s="73"/>
      <c r="B1937" s="2"/>
      <c r="C1937" s="2"/>
      <c r="D1937" s="2"/>
      <c r="E1937" s="4"/>
      <c r="F1937" s="4"/>
      <c r="G1937" s="4"/>
      <c r="H1937" s="61"/>
      <c r="I1937" s="62"/>
      <c r="J1937" s="62"/>
      <c r="K1937" s="78"/>
      <c r="L1937" s="57"/>
      <c r="M1937" s="57"/>
    </row>
    <row r="1938" spans="1:13" ht="15" customHeight="1">
      <c r="A1938" s="73"/>
      <c r="B1938" s="2"/>
      <c r="C1938" s="2"/>
      <c r="D1938" s="2"/>
      <c r="E1938" s="4"/>
      <c r="F1938" s="4"/>
      <c r="G1938" s="4"/>
      <c r="H1938" s="61"/>
      <c r="I1938" s="62"/>
      <c r="J1938" s="62"/>
      <c r="K1938" s="78"/>
      <c r="L1938" s="57"/>
      <c r="M1938" s="57"/>
    </row>
    <row r="1939" spans="1:13" ht="15" customHeight="1">
      <c r="A1939" s="73"/>
      <c r="B1939" s="2"/>
      <c r="C1939" s="2"/>
      <c r="D1939" s="2"/>
      <c r="E1939" s="4"/>
      <c r="F1939" s="4"/>
      <c r="G1939" s="4"/>
      <c r="H1939" s="61"/>
      <c r="I1939" s="62"/>
      <c r="J1939" s="62"/>
      <c r="K1939" s="78"/>
      <c r="L1939" s="57"/>
      <c r="M1939" s="57"/>
    </row>
    <row r="1940" spans="1:13" ht="15" customHeight="1">
      <c r="A1940" s="73"/>
      <c r="B1940" s="2"/>
      <c r="C1940" s="2"/>
      <c r="D1940" s="2"/>
      <c r="E1940" s="4"/>
      <c r="F1940" s="4"/>
      <c r="G1940" s="4"/>
      <c r="H1940" s="61"/>
      <c r="I1940" s="62"/>
      <c r="J1940" s="62"/>
      <c r="K1940" s="78"/>
      <c r="L1940" s="57"/>
      <c r="M1940" s="57"/>
    </row>
    <row r="1941" spans="1:13" ht="15" customHeight="1">
      <c r="A1941" s="73"/>
      <c r="B1941" s="2"/>
      <c r="C1941" s="2"/>
      <c r="D1941" s="2"/>
      <c r="E1941" s="4"/>
      <c r="F1941" s="4"/>
      <c r="G1941" s="4"/>
      <c r="H1941" s="61"/>
      <c r="I1941" s="62"/>
      <c r="J1941" s="62"/>
      <c r="K1941" s="78"/>
      <c r="L1941" s="57"/>
      <c r="M1941" s="57"/>
    </row>
    <row r="1942" spans="1:13" ht="15" customHeight="1">
      <c r="A1942" s="73"/>
      <c r="B1942" s="2"/>
      <c r="C1942" s="2"/>
      <c r="D1942" s="2"/>
      <c r="E1942" s="4"/>
      <c r="F1942" s="4"/>
      <c r="G1942" s="4"/>
      <c r="H1942" s="61"/>
      <c r="I1942" s="62"/>
      <c r="J1942" s="62"/>
      <c r="K1942" s="78"/>
      <c r="L1942" s="57"/>
      <c r="M1942" s="57"/>
    </row>
    <row r="1943" spans="1:13" ht="15" customHeight="1">
      <c r="A1943" s="73"/>
      <c r="B1943" s="2"/>
      <c r="C1943" s="2"/>
      <c r="D1943" s="2"/>
      <c r="E1943" s="4"/>
      <c r="F1943" s="4"/>
      <c r="G1943" s="4"/>
      <c r="H1943" s="61"/>
      <c r="I1943" s="62"/>
      <c r="J1943" s="62"/>
      <c r="K1943" s="78"/>
      <c r="L1943" s="57"/>
      <c r="M1943" s="57"/>
    </row>
    <row r="1944" spans="1:13" ht="15" customHeight="1">
      <c r="A1944" s="73"/>
      <c r="B1944" s="2"/>
      <c r="C1944" s="2"/>
      <c r="D1944" s="2"/>
      <c r="E1944" s="4"/>
      <c r="F1944" s="4"/>
      <c r="G1944" s="4"/>
      <c r="H1944" s="61"/>
      <c r="I1944" s="62"/>
      <c r="J1944" s="62"/>
      <c r="K1944" s="78"/>
      <c r="L1944" s="57"/>
      <c r="M1944" s="57"/>
    </row>
    <row r="1945" spans="1:13" ht="15" customHeight="1">
      <c r="A1945" s="73"/>
      <c r="B1945" s="2"/>
      <c r="C1945" s="2"/>
      <c r="D1945" s="2"/>
      <c r="E1945" s="4"/>
      <c r="F1945" s="4"/>
      <c r="G1945" s="4"/>
      <c r="H1945" s="61"/>
      <c r="I1945" s="62"/>
      <c r="J1945" s="62"/>
      <c r="K1945" s="78"/>
      <c r="L1945" s="57"/>
      <c r="M1945" s="57"/>
    </row>
    <row r="1946" spans="1:13" ht="15" customHeight="1">
      <c r="A1946" s="73"/>
      <c r="B1946" s="2"/>
      <c r="C1946" s="2"/>
      <c r="D1946" s="2"/>
      <c r="E1946" s="4"/>
      <c r="F1946" s="4"/>
      <c r="G1946" s="4"/>
      <c r="H1946" s="61"/>
      <c r="I1946" s="62"/>
      <c r="J1946" s="62"/>
      <c r="K1946" s="78"/>
      <c r="L1946" s="57"/>
      <c r="M1946" s="57"/>
    </row>
    <row r="1947" spans="1:13" ht="15" customHeight="1">
      <c r="A1947" s="73"/>
      <c r="B1947" s="2"/>
      <c r="C1947" s="2"/>
      <c r="D1947" s="2"/>
      <c r="E1947" s="4"/>
      <c r="F1947" s="4"/>
      <c r="G1947" s="4"/>
      <c r="H1947" s="61"/>
      <c r="I1947" s="62"/>
      <c r="J1947" s="62"/>
      <c r="K1947" s="78"/>
      <c r="L1947" s="57"/>
      <c r="M1947" s="57"/>
    </row>
    <row r="1948" spans="1:13" ht="15" customHeight="1">
      <c r="A1948" s="73"/>
      <c r="B1948" s="2"/>
      <c r="C1948" s="2"/>
      <c r="D1948" s="2"/>
      <c r="E1948" s="4"/>
      <c r="F1948" s="4"/>
      <c r="G1948" s="4"/>
      <c r="H1948" s="61"/>
      <c r="I1948" s="62"/>
      <c r="J1948" s="62"/>
      <c r="K1948" s="78"/>
      <c r="L1948" s="57"/>
      <c r="M1948" s="57"/>
    </row>
    <row r="1949" spans="1:13" ht="15" customHeight="1">
      <c r="A1949" s="73"/>
      <c r="B1949" s="2"/>
      <c r="C1949" s="2"/>
      <c r="D1949" s="2"/>
      <c r="E1949" s="4"/>
      <c r="F1949" s="4"/>
      <c r="G1949" s="4"/>
      <c r="H1949" s="61"/>
      <c r="I1949" s="62"/>
      <c r="J1949" s="62"/>
      <c r="K1949" s="78"/>
      <c r="L1949" s="57"/>
      <c r="M1949" s="57"/>
    </row>
    <row r="1950" spans="1:13" ht="15" customHeight="1">
      <c r="A1950" s="73"/>
      <c r="B1950" s="2"/>
      <c r="C1950" s="2"/>
      <c r="D1950" s="2"/>
      <c r="E1950" s="4"/>
      <c r="F1950" s="4"/>
      <c r="G1950" s="4"/>
      <c r="H1950" s="61"/>
      <c r="I1950" s="62"/>
      <c r="J1950" s="62"/>
      <c r="K1950" s="78"/>
      <c r="L1950" s="57"/>
      <c r="M1950" s="57"/>
    </row>
    <row r="1951" spans="1:13" ht="15" customHeight="1">
      <c r="A1951" s="73"/>
      <c r="B1951" s="2"/>
      <c r="C1951" s="2"/>
      <c r="D1951" s="2"/>
      <c r="E1951" s="4"/>
      <c r="F1951" s="4"/>
      <c r="G1951" s="4"/>
      <c r="H1951" s="61"/>
      <c r="I1951" s="62"/>
      <c r="J1951" s="62"/>
      <c r="K1951" s="78"/>
      <c r="L1951" s="57"/>
      <c r="M1951" s="57"/>
    </row>
    <row r="1952" spans="1:13" ht="15" customHeight="1">
      <c r="A1952" s="73"/>
      <c r="B1952" s="2"/>
      <c r="C1952" s="2"/>
      <c r="D1952" s="2"/>
      <c r="E1952" s="4"/>
      <c r="F1952" s="4"/>
      <c r="G1952" s="4"/>
      <c r="H1952" s="61"/>
      <c r="I1952" s="62"/>
      <c r="J1952" s="62"/>
      <c r="K1952" s="78"/>
      <c r="L1952" s="57"/>
      <c r="M1952" s="57"/>
    </row>
    <row r="1953" spans="1:13" ht="15" customHeight="1">
      <c r="A1953" s="73"/>
      <c r="B1953" s="2"/>
      <c r="C1953" s="2"/>
      <c r="D1953" s="2"/>
      <c r="E1953" s="4"/>
      <c r="F1953" s="4"/>
      <c r="G1953" s="4"/>
      <c r="H1953" s="61"/>
      <c r="I1953" s="62"/>
      <c r="J1953" s="62"/>
      <c r="K1953" s="78"/>
      <c r="L1953" s="57"/>
      <c r="M1953" s="57"/>
    </row>
    <row r="1954" spans="1:13" ht="15" customHeight="1">
      <c r="A1954" s="73"/>
      <c r="B1954" s="2"/>
      <c r="C1954" s="2"/>
      <c r="D1954" s="2"/>
      <c r="E1954" s="4"/>
      <c r="F1954" s="4"/>
      <c r="G1954" s="4"/>
      <c r="H1954" s="61"/>
      <c r="I1954" s="62"/>
      <c r="J1954" s="62"/>
      <c r="K1954" s="78"/>
      <c r="L1954" s="57"/>
      <c r="M1954" s="57"/>
    </row>
    <row r="1955" spans="1:13" ht="15" customHeight="1">
      <c r="A1955" s="73"/>
      <c r="B1955" s="2"/>
      <c r="C1955" s="2"/>
      <c r="D1955" s="2"/>
      <c r="E1955" s="4"/>
      <c r="F1955" s="4"/>
      <c r="G1955" s="4"/>
      <c r="H1955" s="61"/>
      <c r="I1955" s="62"/>
      <c r="J1955" s="62"/>
      <c r="K1955" s="78"/>
      <c r="L1955" s="57"/>
      <c r="M1955" s="57"/>
    </row>
    <row r="1956" spans="1:13" ht="15" customHeight="1">
      <c r="A1956" s="73"/>
      <c r="B1956" s="2"/>
      <c r="C1956" s="2"/>
      <c r="D1956" s="2"/>
      <c r="E1956" s="4"/>
      <c r="F1956" s="4"/>
      <c r="G1956" s="4"/>
      <c r="H1956" s="61"/>
      <c r="I1956" s="62"/>
      <c r="J1956" s="62"/>
      <c r="K1956" s="78"/>
      <c r="L1956" s="57"/>
      <c r="M1956" s="57"/>
    </row>
    <row r="1957" spans="1:13" ht="15" customHeight="1">
      <c r="A1957" s="73"/>
      <c r="B1957" s="2"/>
      <c r="C1957" s="2"/>
      <c r="D1957" s="2"/>
      <c r="E1957" s="4"/>
      <c r="F1957" s="4"/>
      <c r="G1957" s="4"/>
      <c r="H1957" s="61"/>
      <c r="I1957" s="62"/>
      <c r="J1957" s="62"/>
      <c r="K1957" s="78"/>
      <c r="L1957" s="57"/>
      <c r="M1957" s="57"/>
    </row>
    <row r="1958" spans="1:13" ht="15" customHeight="1">
      <c r="A1958" s="73"/>
      <c r="B1958" s="2"/>
      <c r="C1958" s="2"/>
      <c r="D1958" s="2"/>
      <c r="E1958" s="4"/>
      <c r="F1958" s="4"/>
      <c r="G1958" s="4"/>
      <c r="H1958" s="61"/>
      <c r="I1958" s="62"/>
      <c r="J1958" s="62"/>
      <c r="K1958" s="78"/>
      <c r="L1958" s="57"/>
      <c r="M1958" s="57"/>
    </row>
    <row r="1959" spans="1:13" ht="15" customHeight="1">
      <c r="A1959" s="73"/>
      <c r="B1959" s="2"/>
      <c r="C1959" s="2"/>
      <c r="D1959" s="2"/>
      <c r="E1959" s="4"/>
      <c r="F1959" s="4"/>
      <c r="G1959" s="4"/>
      <c r="H1959" s="61"/>
      <c r="I1959" s="62"/>
      <c r="J1959" s="62"/>
      <c r="K1959" s="78"/>
      <c r="L1959" s="57"/>
      <c r="M1959" s="57"/>
    </row>
    <row r="1960" spans="1:13" ht="15" customHeight="1">
      <c r="A1960" s="73"/>
      <c r="B1960" s="2"/>
      <c r="C1960" s="2"/>
      <c r="D1960" s="2"/>
      <c r="E1960" s="4"/>
      <c r="F1960" s="4"/>
      <c r="G1960" s="4"/>
      <c r="H1960" s="61"/>
      <c r="I1960" s="62"/>
      <c r="J1960" s="62"/>
      <c r="K1960" s="78"/>
      <c r="L1960" s="57"/>
      <c r="M1960" s="57"/>
    </row>
    <row r="1961" spans="1:13" ht="15" customHeight="1">
      <c r="A1961" s="73"/>
      <c r="B1961" s="2"/>
      <c r="C1961" s="2"/>
      <c r="D1961" s="2"/>
      <c r="E1961" s="4"/>
      <c r="F1961" s="4"/>
      <c r="G1961" s="4"/>
      <c r="H1961" s="61"/>
      <c r="I1961" s="62"/>
      <c r="J1961" s="62"/>
      <c r="K1961" s="78"/>
      <c r="L1961" s="57"/>
      <c r="M1961" s="57"/>
    </row>
    <row r="1962" spans="1:13" ht="15" customHeight="1">
      <c r="A1962" s="73"/>
      <c r="B1962" s="2"/>
      <c r="C1962" s="2"/>
      <c r="D1962" s="2"/>
      <c r="E1962" s="4"/>
      <c r="F1962" s="4"/>
      <c r="G1962" s="4"/>
      <c r="H1962" s="61"/>
      <c r="I1962" s="62"/>
      <c r="J1962" s="62"/>
      <c r="K1962" s="78"/>
      <c r="L1962" s="57"/>
      <c r="M1962" s="57"/>
    </row>
    <row r="1963" spans="1:13" ht="15" customHeight="1">
      <c r="A1963" s="73"/>
      <c r="B1963" s="2"/>
      <c r="C1963" s="2"/>
      <c r="D1963" s="2"/>
      <c r="E1963" s="4"/>
      <c r="F1963" s="4"/>
      <c r="G1963" s="4"/>
      <c r="H1963" s="61"/>
      <c r="I1963" s="62"/>
      <c r="J1963" s="62"/>
      <c r="K1963" s="78"/>
      <c r="L1963" s="57"/>
      <c r="M1963" s="57"/>
    </row>
    <row r="1964" spans="1:13" ht="15" customHeight="1">
      <c r="A1964" s="73"/>
      <c r="B1964" s="2"/>
      <c r="C1964" s="2"/>
      <c r="D1964" s="2"/>
      <c r="E1964" s="4"/>
      <c r="F1964" s="4"/>
      <c r="G1964" s="4"/>
      <c r="H1964" s="61"/>
      <c r="I1964" s="62"/>
      <c r="J1964" s="62"/>
      <c r="K1964" s="78"/>
      <c r="L1964" s="57"/>
      <c r="M1964" s="57"/>
    </row>
    <row r="1965" spans="1:13" ht="15" customHeight="1">
      <c r="A1965" s="73"/>
      <c r="B1965" s="2"/>
      <c r="C1965" s="2"/>
      <c r="D1965" s="2"/>
      <c r="E1965" s="4"/>
      <c r="F1965" s="4"/>
      <c r="G1965" s="4"/>
      <c r="H1965" s="61"/>
      <c r="I1965" s="62"/>
      <c r="J1965" s="62"/>
      <c r="K1965" s="78"/>
      <c r="L1965" s="57"/>
      <c r="M1965" s="57"/>
    </row>
    <row r="1966" spans="1:13" ht="15" customHeight="1">
      <c r="A1966" s="73"/>
      <c r="B1966" s="2"/>
      <c r="C1966" s="2"/>
      <c r="D1966" s="2"/>
      <c r="E1966" s="4"/>
      <c r="F1966" s="4"/>
      <c r="G1966" s="4"/>
      <c r="H1966" s="61"/>
      <c r="I1966" s="62"/>
      <c r="J1966" s="62"/>
      <c r="K1966" s="78"/>
      <c r="L1966" s="57"/>
      <c r="M1966" s="57"/>
    </row>
    <row r="1967" spans="1:13" ht="15" customHeight="1">
      <c r="A1967" s="73"/>
      <c r="B1967" s="2"/>
      <c r="C1967" s="2"/>
      <c r="D1967" s="2"/>
      <c r="E1967" s="4"/>
      <c r="F1967" s="4"/>
      <c r="G1967" s="4"/>
      <c r="H1967" s="61"/>
      <c r="I1967" s="62"/>
      <c r="J1967" s="62"/>
      <c r="K1967" s="78"/>
      <c r="L1967" s="57"/>
      <c r="M1967" s="57"/>
    </row>
    <row r="1968" spans="1:13" ht="15" customHeight="1">
      <c r="A1968" s="73"/>
      <c r="B1968" s="2"/>
      <c r="C1968" s="2"/>
      <c r="D1968" s="2"/>
      <c r="E1968" s="4"/>
      <c r="F1968" s="4"/>
      <c r="G1968" s="4"/>
      <c r="H1968" s="61"/>
      <c r="I1968" s="62"/>
      <c r="J1968" s="62"/>
      <c r="K1968" s="78"/>
      <c r="L1968" s="57"/>
      <c r="M1968" s="57"/>
    </row>
    <row r="1969" spans="1:13" ht="15" customHeight="1">
      <c r="A1969" s="73"/>
      <c r="B1969" s="2"/>
      <c r="C1969" s="2"/>
      <c r="D1969" s="2"/>
      <c r="E1969" s="4"/>
      <c r="F1969" s="4"/>
      <c r="G1969" s="4"/>
      <c r="H1969" s="61"/>
      <c r="I1969" s="62"/>
      <c r="J1969" s="62"/>
      <c r="K1969" s="78"/>
      <c r="L1969" s="57"/>
      <c r="M1969" s="57"/>
    </row>
    <row r="1970" spans="1:13" ht="15" customHeight="1">
      <c r="A1970" s="73"/>
      <c r="B1970" s="2"/>
      <c r="C1970" s="2"/>
      <c r="D1970" s="2"/>
      <c r="E1970" s="4"/>
      <c r="F1970" s="4"/>
      <c r="G1970" s="4"/>
      <c r="H1970" s="61"/>
      <c r="I1970" s="62"/>
      <c r="J1970" s="62"/>
      <c r="K1970" s="78"/>
      <c r="L1970" s="57"/>
      <c r="M1970" s="57"/>
    </row>
    <row r="1971" spans="1:13" ht="15" customHeight="1">
      <c r="A1971" s="73"/>
      <c r="B1971" s="2"/>
      <c r="C1971" s="2"/>
      <c r="D1971" s="2"/>
      <c r="E1971" s="4"/>
      <c r="F1971" s="4"/>
      <c r="G1971" s="4"/>
      <c r="H1971" s="61"/>
      <c r="I1971" s="62"/>
      <c r="J1971" s="62"/>
      <c r="K1971" s="78"/>
      <c r="L1971" s="57"/>
      <c r="M1971" s="57"/>
    </row>
    <row r="1972" spans="1:13" ht="15" customHeight="1">
      <c r="A1972" s="73"/>
      <c r="B1972" s="2"/>
      <c r="C1972" s="2"/>
      <c r="D1972" s="2"/>
      <c r="E1972" s="4"/>
      <c r="F1972" s="4"/>
      <c r="G1972" s="4"/>
      <c r="H1972" s="61"/>
      <c r="I1972" s="62"/>
      <c r="J1972" s="62"/>
      <c r="K1972" s="78"/>
      <c r="L1972" s="57"/>
      <c r="M1972" s="57"/>
    </row>
    <row r="1973" spans="1:13" ht="15" customHeight="1">
      <c r="A1973" s="73"/>
      <c r="B1973" s="2"/>
      <c r="C1973" s="2"/>
      <c r="D1973" s="2"/>
      <c r="E1973" s="4"/>
      <c r="F1973" s="4"/>
      <c r="G1973" s="4"/>
      <c r="H1973" s="61"/>
      <c r="I1973" s="62"/>
      <c r="J1973" s="62"/>
      <c r="K1973" s="78"/>
      <c r="L1973" s="57"/>
      <c r="M1973" s="57"/>
    </row>
    <row r="1974" spans="1:13" ht="15" customHeight="1">
      <c r="A1974" s="73"/>
      <c r="B1974" s="2"/>
      <c r="C1974" s="2"/>
      <c r="D1974" s="2"/>
      <c r="E1974" s="4"/>
      <c r="F1974" s="4"/>
      <c r="G1974" s="4"/>
      <c r="H1974" s="61"/>
      <c r="I1974" s="62"/>
      <c r="J1974" s="62"/>
      <c r="K1974" s="78"/>
      <c r="L1974" s="57"/>
      <c r="M1974" s="57"/>
    </row>
    <row r="1975" spans="1:13" ht="15" customHeight="1">
      <c r="A1975" s="73"/>
      <c r="B1975" s="2"/>
      <c r="C1975" s="2"/>
      <c r="D1975" s="2"/>
      <c r="E1975" s="4"/>
      <c r="F1975" s="4"/>
      <c r="G1975" s="4"/>
      <c r="H1975" s="61"/>
      <c r="I1975" s="62"/>
      <c r="J1975" s="62"/>
      <c r="K1975" s="78"/>
      <c r="L1975" s="57"/>
      <c r="M1975" s="57"/>
    </row>
    <row r="1976" spans="1:13" ht="15" customHeight="1">
      <c r="A1976" s="73"/>
      <c r="B1976" s="2"/>
      <c r="C1976" s="2"/>
      <c r="D1976" s="2"/>
      <c r="E1976" s="4"/>
      <c r="F1976" s="4"/>
      <c r="G1976" s="4"/>
      <c r="H1976" s="61"/>
      <c r="I1976" s="62"/>
      <c r="J1976" s="62"/>
      <c r="K1976" s="78"/>
      <c r="L1976" s="57"/>
      <c r="M1976" s="57"/>
    </row>
    <row r="1977" spans="1:13" ht="15" customHeight="1">
      <c r="A1977" s="73"/>
      <c r="B1977" s="2"/>
      <c r="C1977" s="2"/>
      <c r="D1977" s="2"/>
      <c r="E1977" s="4"/>
      <c r="F1977" s="4"/>
      <c r="G1977" s="4"/>
      <c r="H1977" s="61"/>
      <c r="I1977" s="62"/>
      <c r="J1977" s="62"/>
      <c r="K1977" s="78"/>
      <c r="L1977" s="57"/>
      <c r="M1977" s="57"/>
    </row>
    <row r="1978" spans="1:13" ht="15" customHeight="1">
      <c r="A1978" s="73"/>
      <c r="B1978" s="2"/>
      <c r="C1978" s="2"/>
      <c r="D1978" s="2"/>
      <c r="E1978" s="4"/>
      <c r="F1978" s="4"/>
      <c r="G1978" s="4"/>
      <c r="H1978" s="61"/>
      <c r="I1978" s="62"/>
      <c r="J1978" s="62"/>
      <c r="K1978" s="78"/>
      <c r="L1978" s="57"/>
      <c r="M1978" s="57"/>
    </row>
    <row r="1979" spans="1:13" ht="15" customHeight="1">
      <c r="A1979" s="73"/>
      <c r="B1979" s="2"/>
      <c r="C1979" s="2"/>
      <c r="D1979" s="2"/>
      <c r="E1979" s="4"/>
      <c r="F1979" s="4"/>
      <c r="G1979" s="4"/>
      <c r="H1979" s="61"/>
      <c r="I1979" s="62"/>
      <c r="J1979" s="62"/>
      <c r="K1979" s="78"/>
      <c r="L1979" s="57"/>
      <c r="M1979" s="57"/>
    </row>
    <row r="1980" spans="1:13" ht="15" customHeight="1">
      <c r="A1980" s="73"/>
      <c r="B1980" s="2"/>
      <c r="C1980" s="2"/>
      <c r="D1980" s="2"/>
      <c r="E1980" s="4"/>
      <c r="F1980" s="4"/>
      <c r="G1980" s="4"/>
      <c r="H1980" s="61"/>
      <c r="I1980" s="62"/>
      <c r="J1980" s="62"/>
      <c r="K1980" s="78"/>
      <c r="L1980" s="57"/>
      <c r="M1980" s="57"/>
    </row>
    <row r="1981" spans="1:13" ht="15" customHeight="1">
      <c r="A1981" s="73"/>
      <c r="B1981" s="2"/>
      <c r="C1981" s="2"/>
      <c r="D1981" s="2"/>
      <c r="E1981" s="4"/>
      <c r="F1981" s="4"/>
      <c r="G1981" s="4"/>
      <c r="H1981" s="61"/>
      <c r="I1981" s="62"/>
      <c r="J1981" s="62"/>
      <c r="K1981" s="78"/>
      <c r="L1981" s="57"/>
      <c r="M1981" s="57"/>
    </row>
    <row r="1982" spans="1:13" ht="15" customHeight="1">
      <c r="A1982" s="73"/>
      <c r="B1982" s="2"/>
      <c r="C1982" s="2"/>
      <c r="D1982" s="2"/>
      <c r="E1982" s="4"/>
      <c r="F1982" s="4"/>
      <c r="G1982" s="4"/>
      <c r="H1982" s="61"/>
      <c r="I1982" s="62"/>
      <c r="J1982" s="62"/>
      <c r="K1982" s="78"/>
      <c r="L1982" s="57"/>
      <c r="M1982" s="57"/>
    </row>
    <row r="1983" spans="1:13" ht="15" customHeight="1">
      <c r="A1983" s="73"/>
      <c r="B1983" s="2"/>
      <c r="C1983" s="2"/>
      <c r="D1983" s="2"/>
      <c r="E1983" s="4"/>
      <c r="F1983" s="4"/>
      <c r="G1983" s="4"/>
      <c r="H1983" s="61"/>
      <c r="I1983" s="62"/>
      <c r="J1983" s="62"/>
      <c r="K1983" s="78"/>
      <c r="L1983" s="57"/>
      <c r="M1983" s="57"/>
    </row>
    <row r="1984" spans="1:13" ht="15" customHeight="1">
      <c r="A1984" s="73"/>
      <c r="B1984" s="2"/>
      <c r="C1984" s="2"/>
      <c r="D1984" s="2"/>
      <c r="E1984" s="4"/>
      <c r="F1984" s="4"/>
      <c r="G1984" s="4"/>
      <c r="H1984" s="61"/>
      <c r="I1984" s="62"/>
      <c r="J1984" s="62"/>
      <c r="K1984" s="78"/>
      <c r="L1984" s="57"/>
      <c r="M1984" s="57"/>
    </row>
    <row r="1985" spans="1:13" ht="15" customHeight="1">
      <c r="A1985" s="73"/>
      <c r="B1985" s="2"/>
      <c r="C1985" s="2"/>
      <c r="D1985" s="2"/>
      <c r="E1985" s="4"/>
      <c r="F1985" s="4"/>
      <c r="G1985" s="4"/>
      <c r="H1985" s="61"/>
      <c r="I1985" s="62"/>
      <c r="J1985" s="62"/>
      <c r="K1985" s="78"/>
      <c r="L1985" s="57"/>
      <c r="M1985" s="57"/>
    </row>
    <row r="1986" spans="1:13" ht="15" customHeight="1">
      <c r="A1986" s="73"/>
      <c r="B1986" s="2"/>
      <c r="C1986" s="2"/>
      <c r="D1986" s="2"/>
      <c r="E1986" s="4"/>
      <c r="F1986" s="4"/>
      <c r="G1986" s="4"/>
      <c r="H1986" s="61"/>
      <c r="I1986" s="62"/>
      <c r="J1986" s="62"/>
      <c r="K1986" s="78"/>
      <c r="L1986" s="57"/>
      <c r="M1986" s="57"/>
    </row>
    <row r="1987" spans="1:13" ht="15" customHeight="1">
      <c r="A1987" s="73"/>
      <c r="B1987" s="2"/>
      <c r="C1987" s="2"/>
      <c r="D1987" s="2"/>
      <c r="E1987" s="4"/>
      <c r="F1987" s="4"/>
      <c r="G1987" s="4"/>
      <c r="H1987" s="61"/>
      <c r="I1987" s="62"/>
      <c r="J1987" s="62"/>
      <c r="K1987" s="78"/>
      <c r="L1987" s="57"/>
      <c r="M1987" s="57"/>
    </row>
    <row r="1988" spans="1:13" ht="15" customHeight="1">
      <c r="A1988" s="73"/>
      <c r="B1988" s="2"/>
      <c r="C1988" s="2"/>
      <c r="D1988" s="2"/>
      <c r="E1988" s="4"/>
      <c r="F1988" s="4"/>
      <c r="G1988" s="4"/>
      <c r="H1988" s="61"/>
      <c r="I1988" s="62"/>
      <c r="J1988" s="62"/>
      <c r="K1988" s="78"/>
      <c r="L1988" s="57"/>
      <c r="M1988" s="57"/>
    </row>
    <row r="1989" spans="1:13" ht="15" customHeight="1">
      <c r="A1989" s="73"/>
      <c r="B1989" s="2"/>
      <c r="C1989" s="2"/>
      <c r="D1989" s="2"/>
      <c r="E1989" s="4"/>
      <c r="F1989" s="4"/>
      <c r="G1989" s="4"/>
      <c r="H1989" s="61"/>
      <c r="I1989" s="62"/>
      <c r="J1989" s="62"/>
      <c r="K1989" s="78"/>
      <c r="L1989" s="57"/>
      <c r="M1989" s="57"/>
    </row>
    <row r="1990" spans="1:13" ht="15" customHeight="1">
      <c r="A1990" s="73"/>
      <c r="B1990" s="2"/>
      <c r="C1990" s="2"/>
      <c r="D1990" s="2"/>
      <c r="E1990" s="4"/>
      <c r="F1990" s="4"/>
      <c r="G1990" s="4"/>
      <c r="H1990" s="61"/>
      <c r="I1990" s="62"/>
      <c r="J1990" s="62"/>
      <c r="K1990" s="78"/>
      <c r="L1990" s="57"/>
      <c r="M1990" s="57"/>
    </row>
    <row r="1991" spans="1:13" ht="15" customHeight="1">
      <c r="A1991" s="73"/>
      <c r="B1991" s="2"/>
      <c r="C1991" s="2"/>
      <c r="D1991" s="2"/>
      <c r="E1991" s="4"/>
      <c r="F1991" s="4"/>
      <c r="G1991" s="4"/>
      <c r="H1991" s="61"/>
      <c r="I1991" s="62"/>
      <c r="J1991" s="62"/>
      <c r="K1991" s="78"/>
      <c r="L1991" s="57"/>
      <c r="M1991" s="57"/>
    </row>
    <row r="1992" spans="1:13" ht="15" customHeight="1">
      <c r="A1992" s="73"/>
      <c r="B1992" s="2"/>
      <c r="C1992" s="2"/>
      <c r="D1992" s="2"/>
      <c r="E1992" s="4"/>
      <c r="F1992" s="4"/>
      <c r="G1992" s="4"/>
      <c r="H1992" s="61"/>
      <c r="I1992" s="62"/>
      <c r="J1992" s="62"/>
      <c r="K1992" s="78"/>
      <c r="L1992" s="57"/>
      <c r="M1992" s="57"/>
    </row>
    <row r="1993" spans="1:13" ht="15" customHeight="1">
      <c r="A1993" s="73"/>
      <c r="B1993" s="2"/>
      <c r="C1993" s="2"/>
      <c r="D1993" s="2"/>
      <c r="E1993" s="4"/>
      <c r="F1993" s="4"/>
      <c r="G1993" s="4"/>
      <c r="H1993" s="61"/>
      <c r="I1993" s="62"/>
      <c r="J1993" s="62"/>
      <c r="K1993" s="78"/>
      <c r="L1993" s="57"/>
      <c r="M1993" s="57"/>
    </row>
    <row r="1994" spans="1:13" ht="15" customHeight="1">
      <c r="A1994" s="73"/>
      <c r="B1994" s="2"/>
      <c r="C1994" s="2"/>
      <c r="D1994" s="2"/>
      <c r="E1994" s="4"/>
      <c r="F1994" s="4"/>
      <c r="G1994" s="4"/>
      <c r="H1994" s="61"/>
      <c r="I1994" s="62"/>
      <c r="J1994" s="62"/>
      <c r="K1994" s="78"/>
      <c r="L1994" s="57"/>
      <c r="M1994" s="57"/>
    </row>
    <row r="1995" spans="1:13" ht="15" customHeight="1">
      <c r="A1995" s="73"/>
      <c r="B1995" s="2"/>
      <c r="C1995" s="2"/>
      <c r="D1995" s="2"/>
      <c r="E1995" s="4"/>
      <c r="F1995" s="4"/>
      <c r="G1995" s="4"/>
      <c r="H1995" s="61"/>
      <c r="I1995" s="62"/>
      <c r="J1995" s="62"/>
      <c r="K1995" s="78"/>
      <c r="L1995" s="57"/>
      <c r="M1995" s="57"/>
    </row>
    <row r="1996" spans="1:13" ht="15" customHeight="1">
      <c r="A1996" s="73"/>
      <c r="B1996" s="2"/>
      <c r="C1996" s="2"/>
      <c r="D1996" s="2"/>
      <c r="E1996" s="4"/>
      <c r="F1996" s="4"/>
      <c r="G1996" s="4"/>
      <c r="H1996" s="61"/>
      <c r="I1996" s="62"/>
      <c r="J1996" s="62"/>
      <c r="K1996" s="78"/>
      <c r="L1996" s="57"/>
      <c r="M1996" s="57"/>
    </row>
    <row r="1997" spans="1:13" ht="15" customHeight="1">
      <c r="A1997" s="73"/>
      <c r="B1997" s="2"/>
      <c r="C1997" s="2"/>
      <c r="D1997" s="2"/>
      <c r="E1997" s="4"/>
      <c r="F1997" s="4"/>
      <c r="G1997" s="4"/>
      <c r="H1997" s="61"/>
      <c r="I1997" s="62"/>
      <c r="J1997" s="62"/>
      <c r="K1997" s="78"/>
      <c r="L1997" s="57"/>
      <c r="M1997" s="57"/>
    </row>
    <row r="1998" spans="1:13" ht="15" customHeight="1">
      <c r="A1998" s="73"/>
      <c r="B1998" s="2"/>
      <c r="C1998" s="2"/>
      <c r="D1998" s="2"/>
      <c r="E1998" s="4"/>
      <c r="F1998" s="4"/>
      <c r="G1998" s="4"/>
      <c r="H1998" s="61"/>
      <c r="I1998" s="62"/>
      <c r="J1998" s="62"/>
      <c r="K1998" s="78"/>
      <c r="L1998" s="57"/>
      <c r="M1998" s="57"/>
    </row>
    <row r="1999" spans="1:13" ht="15" customHeight="1">
      <c r="A1999" s="73"/>
      <c r="B1999" s="2"/>
      <c r="C1999" s="2"/>
      <c r="D1999" s="2"/>
      <c r="E1999" s="4"/>
      <c r="F1999" s="4"/>
      <c r="G1999" s="4"/>
      <c r="H1999" s="61"/>
      <c r="I1999" s="62"/>
      <c r="J1999" s="62"/>
      <c r="K1999" s="78"/>
      <c r="L1999" s="57"/>
      <c r="M1999" s="57"/>
    </row>
    <row r="2000" spans="1:13" ht="15" customHeight="1">
      <c r="A2000" s="73"/>
      <c r="B2000" s="2"/>
      <c r="C2000" s="2"/>
      <c r="D2000" s="2"/>
      <c r="E2000" s="4"/>
      <c r="F2000" s="4"/>
      <c r="G2000" s="4"/>
      <c r="H2000" s="61"/>
      <c r="I2000" s="62"/>
      <c r="J2000" s="62"/>
      <c r="K2000" s="78"/>
      <c r="L2000" s="57"/>
      <c r="M2000" s="57"/>
    </row>
    <row r="2001" spans="1:13" ht="15" customHeight="1">
      <c r="A2001" s="73"/>
      <c r="B2001" s="2"/>
      <c r="C2001" s="2"/>
      <c r="D2001" s="2"/>
      <c r="E2001" s="4"/>
      <c r="F2001" s="4"/>
      <c r="G2001" s="4"/>
      <c r="H2001" s="61"/>
      <c r="I2001" s="62"/>
      <c r="J2001" s="62"/>
      <c r="K2001" s="78"/>
      <c r="L2001" s="57"/>
      <c r="M2001" s="57"/>
    </row>
    <row r="2002" spans="1:13" ht="15" customHeight="1">
      <c r="A2002" s="73"/>
      <c r="B2002" s="2"/>
      <c r="C2002" s="2"/>
      <c r="D2002" s="2"/>
      <c r="E2002" s="4"/>
      <c r="F2002" s="4"/>
      <c r="G2002" s="4"/>
      <c r="H2002" s="61"/>
      <c r="I2002" s="62"/>
      <c r="J2002" s="62"/>
      <c r="K2002" s="78"/>
      <c r="L2002" s="57"/>
      <c r="M2002" s="57"/>
    </row>
    <row r="2003" spans="1:13" ht="15" customHeight="1">
      <c r="A2003" s="73"/>
      <c r="B2003" s="2"/>
      <c r="C2003" s="2"/>
      <c r="D2003" s="2"/>
      <c r="E2003" s="4"/>
      <c r="F2003" s="4"/>
      <c r="G2003" s="4"/>
      <c r="H2003" s="61"/>
      <c r="I2003" s="62"/>
      <c r="J2003" s="62"/>
      <c r="K2003" s="78"/>
      <c r="L2003" s="57"/>
      <c r="M2003" s="57"/>
    </row>
    <row r="2004" spans="1:13" ht="15" customHeight="1">
      <c r="A2004" s="73"/>
      <c r="B2004" s="2"/>
      <c r="C2004" s="2"/>
      <c r="D2004" s="2"/>
      <c r="E2004" s="4"/>
      <c r="F2004" s="4"/>
      <c r="G2004" s="4"/>
      <c r="H2004" s="61"/>
      <c r="I2004" s="62"/>
      <c r="J2004" s="62"/>
      <c r="K2004" s="78"/>
      <c r="L2004" s="57"/>
      <c r="M2004" s="57"/>
    </row>
    <row r="2005" spans="1:13" ht="15" customHeight="1">
      <c r="A2005" s="73"/>
      <c r="B2005" s="2"/>
      <c r="C2005" s="2"/>
      <c r="D2005" s="2"/>
      <c r="E2005" s="4"/>
      <c r="F2005" s="4"/>
      <c r="G2005" s="4"/>
      <c r="H2005" s="61"/>
      <c r="I2005" s="62"/>
      <c r="J2005" s="62"/>
      <c r="K2005" s="78"/>
      <c r="L2005" s="57"/>
      <c r="M2005" s="57"/>
    </row>
    <row r="2006" spans="1:13" ht="15" customHeight="1">
      <c r="A2006" s="73"/>
      <c r="B2006" s="2"/>
      <c r="C2006" s="2"/>
      <c r="D2006" s="2"/>
      <c r="E2006" s="4"/>
      <c r="F2006" s="4"/>
      <c r="G2006" s="4"/>
      <c r="H2006" s="61"/>
      <c r="I2006" s="62"/>
      <c r="J2006" s="62"/>
      <c r="K2006" s="78"/>
      <c r="L2006" s="57"/>
      <c r="M2006" s="57"/>
    </row>
    <row r="2007" spans="1:13" ht="15" customHeight="1">
      <c r="A2007" s="73"/>
      <c r="B2007" s="2"/>
      <c r="C2007" s="2"/>
      <c r="D2007" s="2"/>
      <c r="E2007" s="4"/>
      <c r="F2007" s="4"/>
      <c r="G2007" s="4"/>
      <c r="H2007" s="61"/>
      <c r="I2007" s="62"/>
      <c r="J2007" s="62"/>
      <c r="K2007" s="78"/>
      <c r="L2007" s="57"/>
      <c r="M2007" s="57"/>
    </row>
    <row r="2008" spans="1:13" ht="15" customHeight="1">
      <c r="A2008" s="73"/>
      <c r="B2008" s="2"/>
      <c r="C2008" s="2"/>
      <c r="D2008" s="2"/>
      <c r="E2008" s="4"/>
      <c r="F2008" s="4"/>
      <c r="G2008" s="4"/>
      <c r="H2008" s="61"/>
      <c r="I2008" s="62"/>
      <c r="J2008" s="62"/>
      <c r="K2008" s="78"/>
      <c r="L2008" s="57"/>
      <c r="M2008" s="57"/>
    </row>
    <row r="2009" spans="1:13" ht="15" customHeight="1">
      <c r="A2009" s="73"/>
      <c r="B2009" s="2"/>
      <c r="C2009" s="2"/>
      <c r="D2009" s="2"/>
      <c r="E2009" s="4"/>
      <c r="F2009" s="4"/>
      <c r="G2009" s="4"/>
      <c r="H2009" s="61"/>
      <c r="I2009" s="62"/>
      <c r="J2009" s="62"/>
      <c r="K2009" s="78"/>
      <c r="L2009" s="57"/>
      <c r="M2009" s="57"/>
    </row>
    <row r="2010" spans="1:13" ht="15" customHeight="1">
      <c r="A2010" s="73"/>
      <c r="B2010" s="2"/>
      <c r="C2010" s="2"/>
      <c r="D2010" s="2"/>
      <c r="E2010" s="4"/>
      <c r="F2010" s="4"/>
      <c r="G2010" s="4"/>
      <c r="H2010" s="61"/>
      <c r="I2010" s="62"/>
      <c r="J2010" s="62"/>
      <c r="K2010" s="78"/>
      <c r="L2010" s="57"/>
      <c r="M2010" s="57"/>
    </row>
    <row r="2011" spans="1:13" ht="15" customHeight="1">
      <c r="A2011" s="73"/>
      <c r="B2011" s="2"/>
      <c r="C2011" s="2"/>
      <c r="D2011" s="2"/>
      <c r="E2011" s="4"/>
      <c r="F2011" s="4"/>
      <c r="G2011" s="4"/>
      <c r="H2011" s="61"/>
      <c r="I2011" s="62"/>
      <c r="J2011" s="62"/>
      <c r="K2011" s="78"/>
      <c r="L2011" s="57"/>
      <c r="M2011" s="57"/>
    </row>
    <row r="2012" spans="1:13" ht="15" customHeight="1">
      <c r="A2012" s="73"/>
      <c r="B2012" s="2"/>
      <c r="C2012" s="2"/>
      <c r="D2012" s="2"/>
      <c r="E2012" s="4"/>
      <c r="F2012" s="4"/>
      <c r="G2012" s="4"/>
      <c r="H2012" s="61"/>
      <c r="I2012" s="62"/>
      <c r="J2012" s="62"/>
      <c r="K2012" s="78"/>
      <c r="L2012" s="57"/>
      <c r="M2012" s="57"/>
    </row>
    <row r="2013" spans="1:13" ht="15" customHeight="1">
      <c r="A2013" s="73"/>
      <c r="B2013" s="2"/>
      <c r="C2013" s="2"/>
      <c r="D2013" s="2"/>
      <c r="E2013" s="4"/>
      <c r="F2013" s="4"/>
      <c r="G2013" s="4"/>
      <c r="H2013" s="61"/>
      <c r="I2013" s="62"/>
      <c r="J2013" s="62"/>
      <c r="K2013" s="78"/>
      <c r="L2013" s="57"/>
      <c r="M2013" s="57"/>
    </row>
    <row r="2014" spans="1:13" ht="15" customHeight="1">
      <c r="A2014" s="73"/>
      <c r="B2014" s="2"/>
      <c r="C2014" s="2"/>
      <c r="D2014" s="2"/>
      <c r="E2014" s="4"/>
      <c r="F2014" s="4"/>
      <c r="G2014" s="4"/>
      <c r="H2014" s="61"/>
      <c r="I2014" s="62"/>
      <c r="J2014" s="62"/>
      <c r="K2014" s="78"/>
      <c r="L2014" s="57"/>
      <c r="M2014" s="57"/>
    </row>
    <row r="2015" spans="1:13" ht="15" customHeight="1">
      <c r="A2015" s="73"/>
      <c r="B2015" s="2"/>
      <c r="C2015" s="2"/>
      <c r="D2015" s="2"/>
      <c r="E2015" s="4"/>
      <c r="F2015" s="4"/>
      <c r="G2015" s="4"/>
      <c r="H2015" s="61"/>
      <c r="I2015" s="62"/>
      <c r="J2015" s="62"/>
      <c r="K2015" s="78"/>
      <c r="L2015" s="57"/>
      <c r="M2015" s="57"/>
    </row>
    <row r="2016" spans="1:13" ht="15" customHeight="1">
      <c r="A2016" s="73"/>
      <c r="B2016" s="2"/>
      <c r="C2016" s="2"/>
      <c r="D2016" s="2"/>
      <c r="E2016" s="4"/>
      <c r="F2016" s="4"/>
      <c r="G2016" s="4"/>
      <c r="H2016" s="61"/>
      <c r="I2016" s="62"/>
      <c r="J2016" s="62"/>
      <c r="K2016" s="78"/>
      <c r="L2016" s="57"/>
      <c r="M2016" s="57"/>
    </row>
    <row r="2017" spans="1:13" ht="15" customHeight="1">
      <c r="A2017" s="73"/>
      <c r="B2017" s="2"/>
      <c r="C2017" s="2"/>
      <c r="D2017" s="2"/>
      <c r="E2017" s="4"/>
      <c r="F2017" s="4"/>
      <c r="G2017" s="4"/>
      <c r="H2017" s="61"/>
      <c r="I2017" s="62"/>
      <c r="J2017" s="62"/>
      <c r="K2017" s="78"/>
      <c r="L2017" s="57"/>
      <c r="M2017" s="57"/>
    </row>
    <row r="2018" spans="1:13" ht="15" customHeight="1">
      <c r="A2018" s="73"/>
      <c r="B2018" s="2"/>
      <c r="C2018" s="2"/>
      <c r="D2018" s="2"/>
      <c r="E2018" s="4"/>
      <c r="F2018" s="4"/>
      <c r="G2018" s="4"/>
      <c r="H2018" s="61"/>
      <c r="I2018" s="62"/>
      <c r="J2018" s="62"/>
      <c r="K2018" s="78"/>
      <c r="L2018" s="57"/>
      <c r="M2018" s="57"/>
    </row>
    <row r="2019" spans="1:13" ht="15" customHeight="1">
      <c r="A2019" s="73"/>
      <c r="B2019" s="2"/>
      <c r="C2019" s="2"/>
      <c r="D2019" s="2"/>
      <c r="E2019" s="4"/>
      <c r="F2019" s="4"/>
      <c r="G2019" s="4"/>
      <c r="H2019" s="61"/>
      <c r="I2019" s="62"/>
      <c r="J2019" s="62"/>
      <c r="K2019" s="78"/>
      <c r="L2019" s="57"/>
      <c r="M2019" s="57"/>
    </row>
    <row r="2020" spans="1:13" ht="15" customHeight="1">
      <c r="A2020" s="73"/>
      <c r="B2020" s="2"/>
      <c r="C2020" s="2"/>
      <c r="D2020" s="2"/>
      <c r="E2020" s="4"/>
      <c r="F2020" s="4"/>
      <c r="G2020" s="4"/>
      <c r="H2020" s="61"/>
      <c r="I2020" s="62"/>
      <c r="J2020" s="62"/>
      <c r="K2020" s="78"/>
      <c r="L2020" s="57"/>
      <c r="M2020" s="57"/>
    </row>
    <row r="2021" spans="1:13" ht="15" customHeight="1">
      <c r="A2021" s="73"/>
      <c r="B2021" s="2"/>
      <c r="C2021" s="2"/>
      <c r="D2021" s="2"/>
      <c r="E2021" s="4"/>
      <c r="F2021" s="4"/>
      <c r="G2021" s="4"/>
      <c r="H2021" s="61"/>
      <c r="I2021" s="62"/>
      <c r="J2021" s="62"/>
      <c r="K2021" s="78"/>
      <c r="L2021" s="57"/>
      <c r="M2021" s="57"/>
    </row>
    <row r="2022" spans="1:13" ht="15" customHeight="1">
      <c r="A2022" s="73"/>
      <c r="B2022" s="2"/>
      <c r="C2022" s="2"/>
      <c r="D2022" s="2"/>
      <c r="E2022" s="4"/>
      <c r="F2022" s="4"/>
      <c r="G2022" s="4"/>
      <c r="H2022" s="61"/>
      <c r="I2022" s="62"/>
      <c r="J2022" s="62"/>
      <c r="K2022" s="78"/>
      <c r="L2022" s="57"/>
      <c r="M2022" s="57"/>
    </row>
    <row r="2023" spans="1:13" ht="15" customHeight="1">
      <c r="A2023" s="73"/>
      <c r="B2023" s="2"/>
      <c r="C2023" s="2"/>
      <c r="D2023" s="2"/>
      <c r="E2023" s="4"/>
      <c r="F2023" s="4"/>
      <c r="G2023" s="4"/>
      <c r="H2023" s="61"/>
      <c r="I2023" s="62"/>
      <c r="J2023" s="62"/>
      <c r="K2023" s="78"/>
      <c r="L2023" s="57"/>
      <c r="M2023" s="57"/>
    </row>
    <row r="2024" spans="1:13" ht="15" customHeight="1">
      <c r="A2024" s="73"/>
      <c r="B2024" s="2"/>
      <c r="C2024" s="2"/>
      <c r="D2024" s="2"/>
      <c r="E2024" s="4"/>
      <c r="F2024" s="4"/>
      <c r="G2024" s="4"/>
      <c r="H2024" s="61"/>
      <c r="I2024" s="62"/>
      <c r="J2024" s="62"/>
      <c r="K2024" s="78"/>
      <c r="L2024" s="57"/>
      <c r="M2024" s="57"/>
    </row>
    <row r="2025" spans="1:13" ht="15" customHeight="1">
      <c r="A2025" s="73"/>
      <c r="B2025" s="2"/>
      <c r="C2025" s="2"/>
      <c r="D2025" s="2"/>
      <c r="E2025" s="4"/>
      <c r="F2025" s="4"/>
      <c r="G2025" s="4"/>
      <c r="H2025" s="61"/>
      <c r="I2025" s="62"/>
      <c r="J2025" s="62"/>
      <c r="K2025" s="78"/>
      <c r="L2025" s="57"/>
      <c r="M2025" s="57"/>
    </row>
    <row r="2026" spans="1:13" ht="15" customHeight="1">
      <c r="A2026" s="73"/>
      <c r="B2026" s="2"/>
      <c r="C2026" s="2"/>
      <c r="D2026" s="2"/>
      <c r="E2026" s="4"/>
      <c r="F2026" s="4"/>
      <c r="G2026" s="4"/>
      <c r="H2026" s="61"/>
      <c r="I2026" s="62"/>
      <c r="J2026" s="62"/>
      <c r="K2026" s="78"/>
      <c r="L2026" s="57"/>
      <c r="M2026" s="57"/>
    </row>
    <row r="2027" spans="1:13" ht="15" customHeight="1">
      <c r="A2027" s="73"/>
      <c r="B2027" s="2"/>
      <c r="C2027" s="2"/>
      <c r="D2027" s="2"/>
      <c r="E2027" s="4"/>
      <c r="F2027" s="4"/>
      <c r="G2027" s="4"/>
      <c r="H2027" s="61"/>
      <c r="I2027" s="62"/>
      <c r="J2027" s="62"/>
      <c r="K2027" s="78"/>
      <c r="L2027" s="57"/>
      <c r="M2027" s="57"/>
    </row>
    <row r="2028" spans="1:13" ht="15" customHeight="1">
      <c r="A2028" s="73"/>
      <c r="B2028" s="2"/>
      <c r="C2028" s="2"/>
      <c r="D2028" s="2"/>
      <c r="E2028" s="4"/>
      <c r="F2028" s="4"/>
      <c r="G2028" s="4"/>
      <c r="H2028" s="61"/>
      <c r="I2028" s="62"/>
      <c r="J2028" s="62"/>
      <c r="K2028" s="78"/>
      <c r="L2028" s="57"/>
      <c r="M2028" s="57"/>
    </row>
    <row r="2029" spans="1:13" ht="15" customHeight="1">
      <c r="A2029" s="73"/>
      <c r="B2029" s="2"/>
      <c r="C2029" s="2"/>
      <c r="D2029" s="2"/>
      <c r="E2029" s="4"/>
      <c r="F2029" s="4"/>
      <c r="G2029" s="4"/>
      <c r="H2029" s="61"/>
      <c r="I2029" s="62"/>
      <c r="J2029" s="62"/>
      <c r="K2029" s="78"/>
      <c r="L2029" s="57"/>
      <c r="M2029" s="57"/>
    </row>
    <row r="2030" spans="1:13" ht="15" customHeight="1">
      <c r="A2030" s="73"/>
      <c r="B2030" s="2"/>
      <c r="C2030" s="2"/>
      <c r="D2030" s="2"/>
      <c r="E2030" s="4"/>
      <c r="F2030" s="4"/>
      <c r="G2030" s="4"/>
      <c r="H2030" s="61"/>
      <c r="I2030" s="62"/>
      <c r="J2030" s="62"/>
      <c r="K2030" s="78"/>
      <c r="L2030" s="57"/>
      <c r="M2030" s="57"/>
    </row>
    <row r="2031" spans="1:13" ht="15" customHeight="1">
      <c r="A2031" s="73"/>
      <c r="B2031" s="2"/>
      <c r="C2031" s="2"/>
      <c r="D2031" s="2"/>
      <c r="E2031" s="4"/>
      <c r="F2031" s="4"/>
      <c r="G2031" s="4"/>
      <c r="H2031" s="61"/>
      <c r="I2031" s="62"/>
      <c r="J2031" s="62"/>
      <c r="K2031" s="78"/>
      <c r="L2031" s="57"/>
      <c r="M2031" s="57"/>
    </row>
    <row r="2032" spans="1:13" ht="15" customHeight="1">
      <c r="A2032" s="73"/>
      <c r="B2032" s="2"/>
      <c r="C2032" s="2"/>
      <c r="D2032" s="2"/>
      <c r="E2032" s="4"/>
      <c r="F2032" s="4"/>
      <c r="G2032" s="4"/>
      <c r="H2032" s="61"/>
      <c r="I2032" s="62"/>
      <c r="J2032" s="62"/>
      <c r="K2032" s="78"/>
      <c r="L2032" s="57"/>
      <c r="M2032" s="57"/>
    </row>
    <row r="2033" spans="1:13" ht="15" customHeight="1">
      <c r="A2033" s="73"/>
      <c r="B2033" s="2"/>
      <c r="C2033" s="2"/>
      <c r="D2033" s="2"/>
      <c r="E2033" s="4"/>
      <c r="F2033" s="4"/>
      <c r="G2033" s="4"/>
      <c r="H2033" s="61"/>
      <c r="I2033" s="62"/>
      <c r="J2033" s="62"/>
      <c r="K2033" s="78"/>
      <c r="L2033" s="57"/>
      <c r="M2033" s="57"/>
    </row>
    <row r="2034" spans="1:13" ht="15" customHeight="1">
      <c r="A2034" s="73"/>
      <c r="B2034" s="2"/>
      <c r="C2034" s="2"/>
      <c r="D2034" s="2"/>
      <c r="E2034" s="4"/>
      <c r="F2034" s="4"/>
      <c r="G2034" s="4"/>
      <c r="H2034" s="61"/>
      <c r="I2034" s="62"/>
      <c r="J2034" s="62"/>
      <c r="K2034" s="78"/>
      <c r="L2034" s="57"/>
      <c r="M2034" s="57"/>
    </row>
    <row r="2035" spans="1:13" ht="15" customHeight="1">
      <c r="A2035" s="73"/>
      <c r="B2035" s="2"/>
      <c r="C2035" s="2"/>
      <c r="D2035" s="2"/>
      <c r="E2035" s="4"/>
      <c r="F2035" s="4"/>
      <c r="G2035" s="4"/>
      <c r="H2035" s="61"/>
      <c r="I2035" s="62"/>
      <c r="J2035" s="62"/>
      <c r="K2035" s="78"/>
      <c r="L2035" s="57"/>
      <c r="M2035" s="57"/>
    </row>
    <row r="2036" spans="1:13" ht="15" customHeight="1">
      <c r="A2036" s="73"/>
      <c r="B2036" s="2"/>
      <c r="C2036" s="2"/>
      <c r="D2036" s="2"/>
      <c r="E2036" s="4"/>
      <c r="F2036" s="4"/>
      <c r="G2036" s="4"/>
      <c r="H2036" s="61"/>
      <c r="I2036" s="62"/>
      <c r="J2036" s="62"/>
      <c r="K2036" s="78"/>
      <c r="L2036" s="57"/>
      <c r="M2036" s="57"/>
    </row>
    <row r="2037" spans="1:13" ht="15" customHeight="1">
      <c r="A2037" s="73"/>
      <c r="B2037" s="2"/>
      <c r="C2037" s="2"/>
      <c r="D2037" s="2"/>
      <c r="E2037" s="4"/>
      <c r="F2037" s="4"/>
      <c r="G2037" s="4"/>
      <c r="H2037" s="61"/>
      <c r="I2037" s="62"/>
      <c r="J2037" s="62"/>
      <c r="K2037" s="78"/>
      <c r="L2037" s="57"/>
      <c r="M2037" s="57"/>
    </row>
    <row r="2038" spans="1:13" ht="15" customHeight="1">
      <c r="A2038" s="73"/>
      <c r="B2038" s="2"/>
      <c r="C2038" s="2"/>
      <c r="D2038" s="2"/>
      <c r="E2038" s="4"/>
      <c r="F2038" s="4"/>
      <c r="G2038" s="4"/>
      <c r="H2038" s="61"/>
      <c r="I2038" s="62"/>
      <c r="J2038" s="62"/>
      <c r="K2038" s="78"/>
      <c r="L2038" s="57"/>
      <c r="M2038" s="57"/>
    </row>
    <row r="2039" spans="1:13" ht="15" customHeight="1">
      <c r="A2039" s="73"/>
      <c r="B2039" s="2"/>
      <c r="C2039" s="2"/>
      <c r="D2039" s="2"/>
      <c r="E2039" s="4"/>
      <c r="F2039" s="4"/>
      <c r="G2039" s="4"/>
      <c r="H2039" s="61"/>
      <c r="I2039" s="62"/>
      <c r="J2039" s="62"/>
      <c r="K2039" s="78"/>
      <c r="L2039" s="57"/>
      <c r="M2039" s="57"/>
    </row>
    <row r="2040" spans="1:13" ht="15" customHeight="1">
      <c r="A2040" s="73"/>
      <c r="B2040" s="2"/>
      <c r="C2040" s="2"/>
      <c r="D2040" s="2"/>
      <c r="E2040" s="4"/>
      <c r="F2040" s="4"/>
      <c r="G2040" s="4"/>
      <c r="H2040" s="61"/>
      <c r="I2040" s="62"/>
      <c r="J2040" s="62"/>
      <c r="K2040" s="78"/>
      <c r="L2040" s="57"/>
      <c r="M2040" s="57"/>
    </row>
    <row r="2041" spans="1:13" ht="15" customHeight="1">
      <c r="A2041" s="73"/>
      <c r="B2041" s="2"/>
      <c r="C2041" s="2"/>
      <c r="D2041" s="2"/>
      <c r="E2041" s="4"/>
      <c r="F2041" s="4"/>
      <c r="G2041" s="4"/>
      <c r="H2041" s="61"/>
      <c r="I2041" s="62"/>
      <c r="J2041" s="62"/>
      <c r="K2041" s="78"/>
      <c r="L2041" s="57"/>
      <c r="M2041" s="57"/>
    </row>
    <row r="2042" spans="1:13" ht="15" customHeight="1">
      <c r="A2042" s="73"/>
      <c r="B2042" s="2"/>
      <c r="C2042" s="2"/>
      <c r="D2042" s="2"/>
      <c r="E2042" s="4"/>
      <c r="F2042" s="4"/>
      <c r="G2042" s="4"/>
      <c r="H2042" s="61"/>
      <c r="I2042" s="62"/>
      <c r="J2042" s="62"/>
      <c r="K2042" s="78"/>
      <c r="L2042" s="57"/>
      <c r="M2042" s="57"/>
    </row>
    <row r="2043" spans="1:13" ht="15" customHeight="1">
      <c r="A2043" s="73"/>
      <c r="B2043" s="2"/>
      <c r="C2043" s="2"/>
      <c r="D2043" s="2"/>
      <c r="E2043" s="4"/>
      <c r="F2043" s="4"/>
      <c r="G2043" s="4"/>
      <c r="H2043" s="61"/>
      <c r="I2043" s="62"/>
      <c r="J2043" s="62"/>
      <c r="K2043" s="78"/>
      <c r="L2043" s="57"/>
      <c r="M2043" s="57"/>
    </row>
    <row r="2044" spans="1:13" ht="15" customHeight="1">
      <c r="A2044" s="73"/>
      <c r="B2044" s="2"/>
      <c r="C2044" s="2"/>
      <c r="D2044" s="2"/>
      <c r="E2044" s="4"/>
      <c r="F2044" s="4"/>
      <c r="G2044" s="4"/>
      <c r="H2044" s="61"/>
      <c r="I2044" s="62"/>
      <c r="J2044" s="62"/>
      <c r="K2044" s="78"/>
      <c r="L2044" s="57"/>
      <c r="M2044" s="57"/>
    </row>
    <row r="2045" spans="1:13" ht="15" customHeight="1">
      <c r="A2045" s="73"/>
      <c r="B2045" s="2"/>
      <c r="C2045" s="2"/>
      <c r="D2045" s="2"/>
      <c r="E2045" s="4"/>
      <c r="F2045" s="4"/>
      <c r="G2045" s="4"/>
      <c r="H2045" s="61"/>
      <c r="I2045" s="62"/>
      <c r="J2045" s="62"/>
      <c r="K2045" s="78"/>
      <c r="L2045" s="57"/>
      <c r="M2045" s="57"/>
    </row>
    <row r="2046" spans="1:13" ht="15" customHeight="1">
      <c r="A2046" s="73"/>
      <c r="B2046" s="2"/>
      <c r="C2046" s="2"/>
      <c r="D2046" s="2"/>
      <c r="E2046" s="4"/>
      <c r="F2046" s="4"/>
      <c r="G2046" s="4"/>
      <c r="H2046" s="61"/>
      <c r="I2046" s="62"/>
      <c r="J2046" s="62"/>
      <c r="K2046" s="78"/>
      <c r="L2046" s="57"/>
      <c r="M2046" s="57"/>
    </row>
    <row r="2047" spans="1:13" ht="15" customHeight="1">
      <c r="A2047" s="73"/>
      <c r="B2047" s="2"/>
      <c r="C2047" s="2"/>
      <c r="D2047" s="2"/>
      <c r="E2047" s="4"/>
      <c r="F2047" s="4"/>
      <c r="G2047" s="4"/>
      <c r="H2047" s="61"/>
      <c r="I2047" s="62"/>
      <c r="J2047" s="62"/>
      <c r="K2047" s="78"/>
      <c r="L2047" s="57"/>
      <c r="M2047" s="57"/>
    </row>
    <row r="2048" spans="1:13" ht="15" customHeight="1">
      <c r="A2048" s="73"/>
      <c r="B2048" s="2"/>
      <c r="C2048" s="2"/>
      <c r="D2048" s="2"/>
      <c r="E2048" s="4"/>
      <c r="F2048" s="4"/>
      <c r="G2048" s="4"/>
      <c r="H2048" s="61"/>
      <c r="I2048" s="62"/>
      <c r="J2048" s="62"/>
      <c r="K2048" s="78"/>
      <c r="L2048" s="57"/>
      <c r="M2048" s="57"/>
    </row>
    <row r="2049" spans="1:13" ht="15" customHeight="1">
      <c r="A2049" s="73"/>
      <c r="B2049" s="2"/>
      <c r="C2049" s="2"/>
      <c r="D2049" s="2"/>
      <c r="E2049" s="4"/>
      <c r="F2049" s="4"/>
      <c r="G2049" s="4"/>
      <c r="H2049" s="61"/>
      <c r="I2049" s="62"/>
      <c r="J2049" s="62"/>
      <c r="K2049" s="78"/>
      <c r="L2049" s="57"/>
      <c r="M2049" s="57"/>
    </row>
    <row r="2050" spans="1:13" ht="15" customHeight="1">
      <c r="A2050" s="73"/>
      <c r="B2050" s="2"/>
      <c r="C2050" s="2"/>
      <c r="D2050" s="2"/>
      <c r="E2050" s="4"/>
      <c r="F2050" s="4"/>
      <c r="G2050" s="4"/>
      <c r="H2050" s="61"/>
      <c r="I2050" s="62"/>
      <c r="J2050" s="62"/>
      <c r="K2050" s="78"/>
      <c r="L2050" s="57"/>
      <c r="M2050" s="57"/>
    </row>
    <row r="2051" spans="1:13" ht="15" customHeight="1">
      <c r="A2051" s="73"/>
      <c r="B2051" s="2"/>
      <c r="C2051" s="2"/>
      <c r="D2051" s="2"/>
      <c r="E2051" s="4"/>
      <c r="F2051" s="4"/>
      <c r="G2051" s="4"/>
      <c r="H2051" s="61"/>
      <c r="I2051" s="62"/>
      <c r="J2051" s="62"/>
      <c r="K2051" s="78"/>
      <c r="L2051" s="57"/>
      <c r="M2051" s="57"/>
    </row>
    <row r="2052" spans="1:13" ht="15" customHeight="1">
      <c r="A2052" s="73"/>
      <c r="B2052" s="2"/>
      <c r="C2052" s="2"/>
      <c r="D2052" s="2"/>
      <c r="E2052" s="4"/>
      <c r="F2052" s="4"/>
      <c r="G2052" s="4"/>
      <c r="H2052" s="61"/>
      <c r="I2052" s="62"/>
      <c r="J2052" s="62"/>
      <c r="K2052" s="78"/>
      <c r="L2052" s="57"/>
      <c r="M2052" s="57"/>
    </row>
    <row r="2053" spans="1:13" ht="15" customHeight="1">
      <c r="A2053" s="73"/>
      <c r="B2053" s="2"/>
      <c r="C2053" s="2"/>
      <c r="D2053" s="2"/>
      <c r="E2053" s="4"/>
      <c r="F2053" s="4"/>
      <c r="G2053" s="4"/>
      <c r="H2053" s="61"/>
      <c r="I2053" s="62"/>
      <c r="J2053" s="62"/>
      <c r="K2053" s="78"/>
      <c r="L2053" s="57"/>
      <c r="M2053" s="57"/>
    </row>
    <row r="2054" spans="1:13" ht="15" customHeight="1">
      <c r="A2054" s="73"/>
      <c r="B2054" s="2"/>
      <c r="C2054" s="2"/>
      <c r="D2054" s="2"/>
      <c r="E2054" s="4"/>
      <c r="F2054" s="4"/>
      <c r="G2054" s="4"/>
      <c r="H2054" s="61"/>
      <c r="I2054" s="62"/>
      <c r="J2054" s="62"/>
      <c r="K2054" s="78"/>
      <c r="L2054" s="57"/>
      <c r="M2054" s="57"/>
    </row>
    <row r="2055" spans="1:13" ht="15" customHeight="1">
      <c r="A2055" s="73"/>
      <c r="B2055" s="2"/>
      <c r="C2055" s="2"/>
      <c r="D2055" s="2"/>
      <c r="E2055" s="4"/>
      <c r="F2055" s="4"/>
      <c r="G2055" s="4"/>
      <c r="H2055" s="61"/>
      <c r="I2055" s="62"/>
      <c r="J2055" s="62"/>
      <c r="K2055" s="78"/>
      <c r="L2055" s="57"/>
      <c r="M2055" s="57"/>
    </row>
    <row r="2056" spans="1:13" ht="15" customHeight="1">
      <c r="A2056" s="73"/>
      <c r="B2056" s="2"/>
      <c r="C2056" s="2"/>
      <c r="D2056" s="2"/>
      <c r="E2056" s="4"/>
      <c r="F2056" s="4"/>
      <c r="G2056" s="4"/>
      <c r="H2056" s="61"/>
      <c r="I2056" s="62"/>
      <c r="J2056" s="62"/>
      <c r="K2056" s="78"/>
      <c r="L2056" s="57"/>
      <c r="M2056" s="57"/>
    </row>
    <row r="2057" spans="1:13" ht="15" customHeight="1">
      <c r="A2057" s="73"/>
      <c r="B2057" s="2"/>
      <c r="C2057" s="2"/>
      <c r="D2057" s="2"/>
      <c r="E2057" s="4"/>
      <c r="F2057" s="4"/>
      <c r="G2057" s="4"/>
      <c r="H2057" s="61"/>
      <c r="I2057" s="62"/>
      <c r="J2057" s="62"/>
      <c r="K2057" s="78"/>
      <c r="L2057" s="57"/>
      <c r="M2057" s="57"/>
    </row>
    <row r="2058" spans="1:13" ht="15" customHeight="1">
      <c r="A2058" s="73"/>
      <c r="B2058" s="2"/>
      <c r="C2058" s="2"/>
      <c r="D2058" s="2"/>
      <c r="E2058" s="4"/>
      <c r="F2058" s="4"/>
      <c r="G2058" s="4"/>
      <c r="H2058" s="61"/>
      <c r="I2058" s="62"/>
      <c r="J2058" s="62"/>
      <c r="K2058" s="78"/>
      <c r="L2058" s="57"/>
      <c r="M2058" s="57"/>
    </row>
    <row r="2059" spans="1:13" ht="15" customHeight="1">
      <c r="A2059" s="73"/>
      <c r="B2059" s="2"/>
      <c r="C2059" s="2"/>
      <c r="D2059" s="2"/>
      <c r="E2059" s="4"/>
      <c r="F2059" s="4"/>
      <c r="G2059" s="4"/>
      <c r="H2059" s="61"/>
      <c r="I2059" s="62"/>
      <c r="J2059" s="62"/>
      <c r="K2059" s="78"/>
      <c r="L2059" s="57"/>
      <c r="M2059" s="57"/>
    </row>
    <row r="2060" spans="1:13" ht="15" customHeight="1">
      <c r="A2060" s="73"/>
      <c r="B2060" s="2"/>
      <c r="C2060" s="2"/>
      <c r="D2060" s="2"/>
      <c r="E2060" s="4"/>
      <c r="F2060" s="4"/>
      <c r="G2060" s="4"/>
      <c r="H2060" s="61"/>
      <c r="I2060" s="62"/>
      <c r="J2060" s="62"/>
      <c r="K2060" s="78"/>
      <c r="L2060" s="57"/>
      <c r="M2060" s="57"/>
    </row>
    <row r="2061" spans="1:13" ht="15" customHeight="1">
      <c r="A2061" s="73"/>
      <c r="B2061" s="2"/>
      <c r="C2061" s="2"/>
      <c r="D2061" s="2"/>
      <c r="E2061" s="4"/>
      <c r="F2061" s="4"/>
      <c r="G2061" s="4"/>
      <c r="H2061" s="61"/>
      <c r="I2061" s="62"/>
      <c r="J2061" s="62"/>
      <c r="K2061" s="78"/>
      <c r="L2061" s="57"/>
      <c r="M2061" s="57"/>
    </row>
    <row r="2062" spans="1:13" ht="15" customHeight="1">
      <c r="A2062" s="73"/>
      <c r="B2062" s="2"/>
      <c r="C2062" s="2"/>
      <c r="D2062" s="2"/>
      <c r="E2062" s="4"/>
      <c r="F2062" s="4"/>
      <c r="G2062" s="4"/>
      <c r="H2062" s="61"/>
      <c r="I2062" s="62"/>
      <c r="J2062" s="62"/>
      <c r="K2062" s="78"/>
      <c r="L2062" s="57"/>
      <c r="M2062" s="57"/>
    </row>
    <row r="2063" spans="1:13" ht="15" customHeight="1">
      <c r="A2063" s="73"/>
      <c r="B2063" s="2"/>
      <c r="C2063" s="2"/>
      <c r="D2063" s="2"/>
      <c r="E2063" s="4"/>
      <c r="F2063" s="4"/>
      <c r="G2063" s="4"/>
      <c r="H2063" s="61"/>
      <c r="I2063" s="62"/>
      <c r="J2063" s="62"/>
      <c r="K2063" s="78"/>
      <c r="L2063" s="57"/>
      <c r="M2063" s="57"/>
    </row>
    <row r="2064" spans="1:13" ht="15" customHeight="1">
      <c r="A2064" s="73"/>
      <c r="B2064" s="2"/>
      <c r="C2064" s="2"/>
      <c r="D2064" s="2"/>
      <c r="E2064" s="4"/>
      <c r="F2064" s="4"/>
      <c r="G2064" s="4"/>
      <c r="H2064" s="61"/>
      <c r="I2064" s="62"/>
      <c r="J2064" s="62"/>
      <c r="K2064" s="78"/>
      <c r="L2064" s="57"/>
      <c r="M2064" s="57"/>
    </row>
    <row r="2065" spans="1:13" ht="15" customHeight="1">
      <c r="A2065" s="73"/>
      <c r="B2065" s="2"/>
      <c r="C2065" s="2"/>
      <c r="D2065" s="2"/>
      <c r="E2065" s="4"/>
      <c r="F2065" s="4"/>
      <c r="G2065" s="4"/>
      <c r="H2065" s="61"/>
      <c r="I2065" s="62"/>
      <c r="J2065" s="62"/>
      <c r="K2065" s="78"/>
      <c r="L2065" s="57"/>
      <c r="M2065" s="57"/>
    </row>
    <row r="2066" spans="1:13" ht="15" customHeight="1">
      <c r="A2066" s="73"/>
      <c r="B2066" s="2"/>
      <c r="C2066" s="2"/>
      <c r="D2066" s="2"/>
      <c r="E2066" s="4"/>
      <c r="F2066" s="4"/>
      <c r="G2066" s="4"/>
      <c r="H2066" s="61"/>
      <c r="I2066" s="62"/>
      <c r="J2066" s="62"/>
      <c r="K2066" s="78"/>
      <c r="L2066" s="57"/>
      <c r="M2066" s="57"/>
    </row>
    <row r="2067" spans="1:13" ht="15" customHeight="1">
      <c r="A2067" s="73"/>
      <c r="B2067" s="2"/>
      <c r="C2067" s="2"/>
      <c r="D2067" s="2"/>
      <c r="E2067" s="4"/>
      <c r="F2067" s="4"/>
      <c r="G2067" s="4"/>
      <c r="H2067" s="61"/>
      <c r="I2067" s="62"/>
      <c r="J2067" s="62"/>
      <c r="K2067" s="78"/>
      <c r="L2067" s="57"/>
      <c r="M2067" s="57"/>
    </row>
    <row r="2068" spans="1:13" ht="15" customHeight="1">
      <c r="A2068" s="73"/>
      <c r="B2068" s="2"/>
      <c r="C2068" s="2"/>
      <c r="D2068" s="2"/>
      <c r="E2068" s="4"/>
      <c r="F2068" s="4"/>
      <c r="G2068" s="4"/>
      <c r="H2068" s="61"/>
      <c r="I2068" s="62"/>
      <c r="J2068" s="62"/>
      <c r="K2068" s="78"/>
      <c r="L2068" s="57"/>
      <c r="M2068" s="57"/>
    </row>
    <row r="2069" spans="1:13" ht="15" customHeight="1">
      <c r="A2069" s="73"/>
      <c r="B2069" s="2"/>
      <c r="C2069" s="2"/>
      <c r="D2069" s="2"/>
      <c r="E2069" s="4"/>
      <c r="F2069" s="4"/>
      <c r="G2069" s="4"/>
      <c r="H2069" s="61"/>
      <c r="I2069" s="62"/>
      <c r="J2069" s="62"/>
      <c r="K2069" s="78"/>
      <c r="L2069" s="57"/>
      <c r="M2069" s="57"/>
    </row>
    <row r="2070" spans="1:13" ht="15" customHeight="1">
      <c r="A2070" s="73"/>
      <c r="B2070" s="2"/>
      <c r="C2070" s="2"/>
      <c r="D2070" s="2"/>
      <c r="E2070" s="4"/>
      <c r="F2070" s="4"/>
      <c r="G2070" s="4"/>
      <c r="H2070" s="61"/>
      <c r="I2070" s="62"/>
      <c r="J2070" s="62"/>
      <c r="K2070" s="78"/>
      <c r="L2070" s="57"/>
      <c r="M2070" s="57"/>
    </row>
    <row r="2071" spans="1:13" ht="15" customHeight="1">
      <c r="A2071" s="73"/>
      <c r="B2071" s="2"/>
      <c r="C2071" s="2"/>
      <c r="D2071" s="2"/>
      <c r="E2071" s="4"/>
      <c r="F2071" s="4"/>
      <c r="G2071" s="4"/>
      <c r="H2071" s="61"/>
      <c r="I2071" s="62"/>
      <c r="J2071" s="62"/>
      <c r="K2071" s="78"/>
      <c r="L2071" s="57"/>
      <c r="M2071" s="57"/>
    </row>
    <row r="2072" spans="1:13" ht="15" customHeight="1">
      <c r="A2072" s="73"/>
      <c r="B2072" s="2"/>
      <c r="C2072" s="2"/>
      <c r="D2072" s="2"/>
      <c r="E2072" s="4"/>
      <c r="F2072" s="4"/>
      <c r="G2072" s="4"/>
      <c r="H2072" s="61"/>
      <c r="I2072" s="62"/>
      <c r="J2072" s="62"/>
      <c r="K2072" s="78"/>
      <c r="L2072" s="57"/>
      <c r="M2072" s="57"/>
    </row>
    <row r="2073" spans="1:13" ht="15" customHeight="1">
      <c r="A2073" s="73"/>
      <c r="B2073" s="2"/>
      <c r="C2073" s="2"/>
      <c r="D2073" s="2"/>
      <c r="E2073" s="4"/>
      <c r="F2073" s="4"/>
      <c r="G2073" s="4"/>
      <c r="H2073" s="61"/>
      <c r="I2073" s="62"/>
      <c r="J2073" s="62"/>
      <c r="K2073" s="78"/>
      <c r="L2073" s="57"/>
      <c r="M2073" s="57"/>
    </row>
    <row r="2074" spans="1:13" ht="15" customHeight="1">
      <c r="A2074" s="73"/>
      <c r="B2074" s="2"/>
      <c r="C2074" s="2"/>
      <c r="D2074" s="2"/>
      <c r="E2074" s="4"/>
      <c r="F2074" s="4"/>
      <c r="G2074" s="4"/>
      <c r="H2074" s="61"/>
      <c r="I2074" s="62"/>
      <c r="J2074" s="62"/>
      <c r="K2074" s="78"/>
      <c r="L2074" s="57"/>
      <c r="M2074" s="57"/>
    </row>
    <row r="2075" spans="1:13" ht="15" customHeight="1">
      <c r="A2075" s="73"/>
      <c r="B2075" s="2"/>
      <c r="C2075" s="2"/>
      <c r="D2075" s="2"/>
      <c r="E2075" s="4"/>
      <c r="F2075" s="4"/>
      <c r="G2075" s="4"/>
      <c r="H2075" s="61"/>
      <c r="I2075" s="62"/>
      <c r="J2075" s="62"/>
      <c r="K2075" s="78"/>
      <c r="L2075" s="57"/>
      <c r="M2075" s="57"/>
    </row>
    <row r="2076" spans="1:13" ht="15" customHeight="1">
      <c r="A2076" s="73"/>
      <c r="B2076" s="2"/>
      <c r="C2076" s="2"/>
      <c r="D2076" s="2"/>
      <c r="E2076" s="4"/>
      <c r="F2076" s="4"/>
      <c r="G2076" s="4"/>
      <c r="H2076" s="61"/>
      <c r="I2076" s="62"/>
      <c r="J2076" s="62"/>
      <c r="K2076" s="78"/>
      <c r="L2076" s="57"/>
      <c r="M2076" s="57"/>
    </row>
    <row r="2077" spans="1:13" ht="15" customHeight="1">
      <c r="A2077" s="73"/>
      <c r="B2077" s="2"/>
      <c r="C2077" s="2"/>
      <c r="D2077" s="2"/>
      <c r="E2077" s="4"/>
      <c r="F2077" s="4"/>
      <c r="G2077" s="4"/>
      <c r="H2077" s="61"/>
      <c r="I2077" s="62"/>
      <c r="J2077" s="62"/>
      <c r="K2077" s="78"/>
      <c r="L2077" s="57"/>
      <c r="M2077" s="57"/>
    </row>
    <row r="2078" spans="1:13" ht="15" customHeight="1">
      <c r="A2078" s="73"/>
      <c r="B2078" s="2"/>
      <c r="C2078" s="2"/>
      <c r="D2078" s="2"/>
      <c r="E2078" s="4"/>
      <c r="F2078" s="4"/>
      <c r="G2078" s="4"/>
      <c r="H2078" s="61"/>
      <c r="I2078" s="62"/>
      <c r="J2078" s="62"/>
      <c r="K2078" s="78"/>
      <c r="L2078" s="57"/>
      <c r="M2078" s="57"/>
    </row>
    <row r="2079" spans="1:13" ht="15" customHeight="1">
      <c r="A2079" s="73"/>
      <c r="B2079" s="2"/>
      <c r="C2079" s="2"/>
      <c r="D2079" s="2"/>
      <c r="E2079" s="4"/>
      <c r="F2079" s="4"/>
      <c r="G2079" s="4"/>
      <c r="H2079" s="61"/>
      <c r="I2079" s="62"/>
      <c r="J2079" s="62"/>
      <c r="K2079" s="78"/>
      <c r="L2079" s="57"/>
      <c r="M2079" s="57"/>
    </row>
    <row r="2080" spans="1:13" ht="15" customHeight="1">
      <c r="A2080" s="73"/>
      <c r="B2080" s="2"/>
      <c r="C2080" s="2"/>
      <c r="D2080" s="2"/>
      <c r="E2080" s="4"/>
      <c r="F2080" s="4"/>
      <c r="G2080" s="4"/>
      <c r="H2080" s="61"/>
      <c r="I2080" s="62"/>
      <c r="J2080" s="62"/>
      <c r="K2080" s="78"/>
      <c r="L2080" s="57"/>
      <c r="M2080" s="57"/>
    </row>
    <row r="2081" spans="1:13" ht="15" customHeight="1">
      <c r="A2081" s="73"/>
      <c r="B2081" s="2"/>
      <c r="C2081" s="2"/>
      <c r="D2081" s="2"/>
      <c r="E2081" s="4"/>
      <c r="F2081" s="4"/>
      <c r="G2081" s="4"/>
      <c r="H2081" s="61"/>
      <c r="I2081" s="62"/>
      <c r="J2081" s="62"/>
      <c r="K2081" s="78"/>
      <c r="L2081" s="57"/>
      <c r="M2081" s="57"/>
    </row>
    <row r="2082" spans="1:13" ht="15" customHeight="1">
      <c r="A2082" s="73"/>
      <c r="B2082" s="2"/>
      <c r="C2082" s="2"/>
      <c r="D2082" s="2"/>
      <c r="E2082" s="4"/>
      <c r="F2082" s="4"/>
      <c r="G2082" s="4"/>
      <c r="H2082" s="61"/>
      <c r="I2082" s="62"/>
      <c r="J2082" s="62"/>
      <c r="K2082" s="78"/>
      <c r="L2082" s="57"/>
      <c r="M2082" s="57"/>
    </row>
    <row r="2083" spans="1:13" ht="15" customHeight="1">
      <c r="A2083" s="73"/>
      <c r="B2083" s="2"/>
      <c r="C2083" s="2"/>
      <c r="D2083" s="2"/>
      <c r="E2083" s="4"/>
      <c r="F2083" s="4"/>
      <c r="G2083" s="4"/>
      <c r="H2083" s="61"/>
      <c r="I2083" s="62"/>
      <c r="J2083" s="62"/>
      <c r="K2083" s="78"/>
      <c r="L2083" s="57"/>
      <c r="M2083" s="57"/>
    </row>
    <row r="2084" spans="1:13" ht="15" customHeight="1">
      <c r="A2084" s="73"/>
      <c r="B2084" s="2"/>
      <c r="C2084" s="2"/>
      <c r="D2084" s="2"/>
      <c r="E2084" s="4"/>
      <c r="F2084" s="4"/>
      <c r="G2084" s="4"/>
      <c r="H2084" s="61"/>
      <c r="I2084" s="62"/>
      <c r="J2084" s="62"/>
      <c r="K2084" s="78"/>
      <c r="L2084" s="57"/>
      <c r="M2084" s="57"/>
    </row>
    <row r="2085" spans="1:13" ht="15" customHeight="1">
      <c r="A2085" s="73"/>
      <c r="B2085" s="2"/>
      <c r="C2085" s="2"/>
      <c r="D2085" s="2"/>
      <c r="E2085" s="4"/>
      <c r="F2085" s="4"/>
      <c r="G2085" s="4"/>
      <c r="H2085" s="61"/>
      <c r="I2085" s="62"/>
      <c r="J2085" s="62"/>
      <c r="K2085" s="78"/>
      <c r="L2085" s="57"/>
      <c r="M2085" s="57"/>
    </row>
    <row r="2086" spans="1:13" ht="15" customHeight="1">
      <c r="A2086" s="73"/>
      <c r="B2086" s="2"/>
      <c r="C2086" s="2"/>
      <c r="D2086" s="2"/>
      <c r="E2086" s="4"/>
      <c r="F2086" s="4"/>
      <c r="G2086" s="4"/>
      <c r="H2086" s="61"/>
      <c r="I2086" s="62"/>
      <c r="J2086" s="62"/>
      <c r="K2086" s="78"/>
      <c r="L2086" s="57"/>
      <c r="M2086" s="57"/>
    </row>
    <row r="2087" spans="1:13" ht="15" customHeight="1">
      <c r="A2087" s="73"/>
      <c r="B2087" s="2"/>
      <c r="C2087" s="2"/>
      <c r="D2087" s="2"/>
      <c r="E2087" s="4"/>
      <c r="F2087" s="4"/>
      <c r="G2087" s="4"/>
      <c r="H2087" s="61"/>
      <c r="I2087" s="62"/>
      <c r="J2087" s="62"/>
      <c r="K2087" s="78"/>
      <c r="L2087" s="57"/>
      <c r="M2087" s="57"/>
    </row>
    <row r="2088" spans="1:13" ht="15" customHeight="1">
      <c r="A2088" s="73"/>
      <c r="B2088" s="2"/>
      <c r="C2088" s="2"/>
      <c r="D2088" s="2"/>
      <c r="E2088" s="4"/>
      <c r="F2088" s="4"/>
      <c r="G2088" s="4"/>
      <c r="H2088" s="61"/>
      <c r="I2088" s="62"/>
      <c r="J2088" s="62"/>
      <c r="K2088" s="78"/>
      <c r="L2088" s="57"/>
      <c r="M2088" s="57"/>
    </row>
    <row r="2089" spans="1:13" ht="15" customHeight="1">
      <c r="A2089" s="73"/>
      <c r="B2089" s="2"/>
      <c r="C2089" s="2"/>
      <c r="D2089" s="2"/>
      <c r="E2089" s="4"/>
      <c r="F2089" s="4"/>
      <c r="G2089" s="4"/>
      <c r="H2089" s="61"/>
      <c r="I2089" s="62"/>
      <c r="J2089" s="62"/>
      <c r="K2089" s="78"/>
      <c r="L2089" s="57"/>
      <c r="M2089" s="57"/>
    </row>
    <row r="2090" spans="1:13" ht="15" customHeight="1">
      <c r="A2090" s="73"/>
      <c r="B2090" s="2"/>
      <c r="C2090" s="2"/>
      <c r="D2090" s="2"/>
      <c r="E2090" s="4"/>
      <c r="F2090" s="4"/>
      <c r="G2090" s="4"/>
      <c r="H2090" s="61"/>
      <c r="I2090" s="62"/>
      <c r="J2090" s="62"/>
      <c r="K2090" s="78"/>
      <c r="L2090" s="57"/>
      <c r="M2090" s="57"/>
    </row>
    <row r="2091" spans="1:13" ht="15" customHeight="1">
      <c r="A2091" s="73"/>
      <c r="B2091" s="2"/>
      <c r="C2091" s="2"/>
      <c r="D2091" s="2"/>
      <c r="E2091" s="4"/>
      <c r="F2091" s="4"/>
      <c r="G2091" s="4"/>
      <c r="H2091" s="61"/>
      <c r="I2091" s="62"/>
      <c r="J2091" s="62"/>
      <c r="K2091" s="78"/>
      <c r="L2091" s="57"/>
      <c r="M2091" s="57"/>
    </row>
    <row r="2092" spans="1:13" ht="15" customHeight="1">
      <c r="A2092" s="73"/>
      <c r="B2092" s="2"/>
      <c r="C2092" s="2"/>
      <c r="D2092" s="2"/>
      <c r="E2092" s="4"/>
      <c r="F2092" s="4"/>
      <c r="G2092" s="4"/>
      <c r="H2092" s="61"/>
      <c r="I2092" s="62"/>
      <c r="J2092" s="62"/>
      <c r="K2092" s="78"/>
      <c r="L2092" s="57"/>
      <c r="M2092" s="57"/>
    </row>
    <row r="2093" spans="1:13" ht="15" customHeight="1">
      <c r="A2093" s="73"/>
      <c r="B2093" s="2"/>
      <c r="C2093" s="2"/>
      <c r="D2093" s="2"/>
      <c r="E2093" s="4"/>
      <c r="F2093" s="4"/>
      <c r="G2093" s="4"/>
      <c r="H2093" s="61"/>
      <c r="I2093" s="62"/>
      <c r="J2093" s="62"/>
      <c r="K2093" s="78"/>
      <c r="L2093" s="57"/>
      <c r="M2093" s="57"/>
    </row>
    <row r="2094" spans="1:13" ht="15" customHeight="1">
      <c r="A2094" s="73"/>
      <c r="B2094" s="2"/>
      <c r="C2094" s="2"/>
      <c r="D2094" s="2"/>
      <c r="E2094" s="4"/>
      <c r="F2094" s="4"/>
      <c r="G2094" s="4"/>
      <c r="H2094" s="61"/>
      <c r="I2094" s="62"/>
      <c r="J2094" s="62"/>
      <c r="K2094" s="78"/>
      <c r="L2094" s="57"/>
      <c r="M2094" s="57"/>
    </row>
    <row r="2095" spans="1:13" ht="15" customHeight="1">
      <c r="A2095" s="73"/>
      <c r="B2095" s="2"/>
      <c r="C2095" s="2"/>
      <c r="D2095" s="2"/>
      <c r="E2095" s="4"/>
      <c r="F2095" s="4"/>
      <c r="G2095" s="4"/>
      <c r="H2095" s="61"/>
      <c r="I2095" s="62"/>
      <c r="J2095" s="62"/>
      <c r="K2095" s="78"/>
      <c r="L2095" s="57"/>
      <c r="M2095" s="57"/>
    </row>
    <row r="2096" spans="1:13" ht="15" customHeight="1">
      <c r="A2096" s="73"/>
      <c r="B2096" s="2"/>
      <c r="C2096" s="2"/>
      <c r="D2096" s="2"/>
      <c r="E2096" s="4"/>
      <c r="F2096" s="4"/>
      <c r="G2096" s="4"/>
      <c r="H2096" s="61"/>
      <c r="I2096" s="62"/>
      <c r="J2096" s="62"/>
      <c r="K2096" s="78"/>
      <c r="L2096" s="57"/>
      <c r="M2096" s="57"/>
    </row>
    <row r="2097" spans="1:13" ht="15" customHeight="1">
      <c r="A2097" s="73"/>
      <c r="B2097" s="2"/>
      <c r="C2097" s="2"/>
      <c r="D2097" s="2"/>
      <c r="E2097" s="4"/>
      <c r="F2097" s="4"/>
      <c r="G2097" s="4"/>
      <c r="H2097" s="61"/>
      <c r="I2097" s="62"/>
      <c r="J2097" s="62"/>
      <c r="K2097" s="78"/>
      <c r="L2097" s="57"/>
      <c r="M2097" s="57"/>
    </row>
    <row r="2098" spans="1:13" ht="15" customHeight="1">
      <c r="A2098" s="73"/>
      <c r="B2098" s="2"/>
      <c r="C2098" s="2"/>
      <c r="D2098" s="2"/>
      <c r="E2098" s="4"/>
      <c r="F2098" s="4"/>
      <c r="G2098" s="4"/>
      <c r="H2098" s="61"/>
      <c r="I2098" s="62"/>
      <c r="J2098" s="62"/>
      <c r="K2098" s="78"/>
      <c r="L2098" s="57"/>
      <c r="M2098" s="57"/>
    </row>
    <row r="2099" spans="1:13" ht="15" customHeight="1">
      <c r="A2099" s="73"/>
      <c r="B2099" s="2"/>
      <c r="C2099" s="2"/>
      <c r="D2099" s="2"/>
      <c r="E2099" s="4"/>
      <c r="F2099" s="4"/>
      <c r="G2099" s="4"/>
      <c r="H2099" s="61"/>
      <c r="I2099" s="62"/>
      <c r="J2099" s="62"/>
      <c r="K2099" s="78"/>
      <c r="L2099" s="57"/>
      <c r="M2099" s="57"/>
    </row>
    <row r="2100" spans="1:13" ht="15" customHeight="1">
      <c r="A2100" s="73"/>
      <c r="B2100" s="2"/>
      <c r="C2100" s="2"/>
      <c r="D2100" s="2"/>
      <c r="E2100" s="4"/>
      <c r="F2100" s="4"/>
      <c r="G2100" s="4"/>
      <c r="H2100" s="61"/>
      <c r="I2100" s="62"/>
      <c r="J2100" s="62"/>
      <c r="K2100" s="78"/>
      <c r="L2100" s="57"/>
      <c r="M2100" s="57"/>
    </row>
    <row r="2101" spans="1:13" ht="15" customHeight="1">
      <c r="A2101" s="73"/>
      <c r="B2101" s="2"/>
      <c r="C2101" s="2"/>
      <c r="D2101" s="2"/>
      <c r="E2101" s="4"/>
      <c r="F2101" s="4"/>
      <c r="G2101" s="4"/>
      <c r="H2101" s="61"/>
      <c r="I2101" s="62"/>
      <c r="J2101" s="62"/>
      <c r="K2101" s="78"/>
      <c r="L2101" s="57"/>
      <c r="M2101" s="57"/>
    </row>
    <row r="2102" spans="1:13" ht="15" customHeight="1">
      <c r="A2102" s="73"/>
      <c r="B2102" s="2"/>
      <c r="C2102" s="2"/>
      <c r="D2102" s="2"/>
      <c r="E2102" s="4"/>
      <c r="F2102" s="4"/>
      <c r="G2102" s="4"/>
      <c r="H2102" s="61"/>
      <c r="I2102" s="62"/>
      <c r="J2102" s="62"/>
      <c r="K2102" s="78"/>
      <c r="L2102" s="57"/>
      <c r="M2102" s="57"/>
    </row>
    <row r="2103" spans="1:13" ht="15" customHeight="1">
      <c r="A2103" s="73"/>
      <c r="B2103" s="2"/>
      <c r="C2103" s="2"/>
      <c r="D2103" s="2"/>
      <c r="E2103" s="4"/>
      <c r="F2103" s="4"/>
      <c r="G2103" s="4"/>
      <c r="H2103" s="61"/>
      <c r="I2103" s="62"/>
      <c r="J2103" s="62"/>
      <c r="K2103" s="78"/>
      <c r="L2103" s="57"/>
      <c r="M2103" s="57"/>
    </row>
    <row r="2104" spans="1:13" ht="15" customHeight="1">
      <c r="A2104" s="73"/>
      <c r="B2104" s="2"/>
      <c r="C2104" s="2"/>
      <c r="D2104" s="2"/>
      <c r="E2104" s="4"/>
      <c r="F2104" s="4"/>
      <c r="G2104" s="4"/>
      <c r="H2104" s="61"/>
      <c r="I2104" s="62"/>
      <c r="J2104" s="62"/>
      <c r="K2104" s="78"/>
      <c r="L2104" s="57"/>
      <c r="M2104" s="57"/>
    </row>
    <row r="2105" spans="1:13" ht="15" customHeight="1">
      <c r="A2105" s="73"/>
      <c r="B2105" s="2"/>
      <c r="C2105" s="2"/>
      <c r="D2105" s="2"/>
      <c r="E2105" s="4"/>
      <c r="F2105" s="4"/>
      <c r="G2105" s="4"/>
      <c r="H2105" s="61"/>
      <c r="I2105" s="62"/>
      <c r="J2105" s="62"/>
      <c r="K2105" s="78"/>
      <c r="L2105" s="57"/>
      <c r="M2105" s="57"/>
    </row>
    <row r="2106" spans="1:13" ht="15" customHeight="1">
      <c r="A2106" s="73"/>
      <c r="B2106" s="2"/>
      <c r="C2106" s="2"/>
      <c r="D2106" s="2"/>
      <c r="E2106" s="4"/>
      <c r="F2106" s="4"/>
      <c r="G2106" s="4"/>
      <c r="H2106" s="61"/>
      <c r="I2106" s="62"/>
      <c r="J2106" s="62"/>
      <c r="K2106" s="78"/>
      <c r="L2106" s="57"/>
      <c r="M2106" s="57"/>
    </row>
    <row r="2107" spans="1:13" ht="15" customHeight="1">
      <c r="A2107" s="73"/>
      <c r="B2107" s="2"/>
      <c r="C2107" s="2"/>
      <c r="D2107" s="2"/>
      <c r="E2107" s="4"/>
      <c r="F2107" s="4"/>
      <c r="G2107" s="4"/>
      <c r="H2107" s="61"/>
      <c r="I2107" s="62"/>
      <c r="J2107" s="62"/>
      <c r="K2107" s="78"/>
      <c r="L2107" s="57"/>
      <c r="M2107" s="57"/>
    </row>
    <row r="2108" spans="1:13" ht="15" customHeight="1">
      <c r="A2108" s="73"/>
      <c r="B2108" s="2"/>
      <c r="C2108" s="2"/>
      <c r="D2108" s="2"/>
      <c r="E2108" s="4"/>
      <c r="F2108" s="4"/>
      <c r="G2108" s="4"/>
      <c r="H2108" s="61"/>
      <c r="I2108" s="62"/>
      <c r="J2108" s="62"/>
      <c r="K2108" s="78"/>
      <c r="L2108" s="57"/>
      <c r="M2108" s="57"/>
    </row>
    <row r="2109" spans="1:13" ht="15" customHeight="1">
      <c r="A2109" s="73"/>
      <c r="B2109" s="2"/>
      <c r="C2109" s="2"/>
      <c r="D2109" s="2"/>
      <c r="E2109" s="4"/>
      <c r="F2109" s="4"/>
      <c r="G2109" s="4"/>
      <c r="H2109" s="61"/>
      <c r="I2109" s="62"/>
      <c r="J2109" s="62"/>
      <c r="K2109" s="78"/>
      <c r="L2109" s="57"/>
      <c r="M2109" s="57"/>
    </row>
    <row r="2110" spans="1:13" ht="15" customHeight="1">
      <c r="A2110" s="73"/>
      <c r="B2110" s="2"/>
      <c r="C2110" s="2"/>
      <c r="D2110" s="2"/>
      <c r="E2110" s="4"/>
      <c r="F2110" s="4"/>
      <c r="G2110" s="4"/>
      <c r="H2110" s="61"/>
      <c r="I2110" s="62"/>
      <c r="J2110" s="62"/>
      <c r="K2110" s="78"/>
      <c r="L2110" s="57"/>
      <c r="M2110" s="57"/>
    </row>
    <row r="2111" spans="1:13" ht="15" customHeight="1">
      <c r="A2111" s="73"/>
      <c r="B2111" s="2"/>
      <c r="C2111" s="2"/>
      <c r="D2111" s="2"/>
      <c r="E2111" s="4"/>
      <c r="F2111" s="4"/>
      <c r="G2111" s="4"/>
      <c r="H2111" s="61"/>
      <c r="I2111" s="62"/>
      <c r="J2111" s="62"/>
      <c r="K2111" s="78"/>
      <c r="L2111" s="57"/>
      <c r="M2111" s="57"/>
    </row>
    <row r="2112" spans="1:13" ht="15" customHeight="1">
      <c r="A2112" s="73"/>
      <c r="B2112" s="2"/>
      <c r="C2112" s="2"/>
      <c r="D2112" s="2"/>
      <c r="E2112" s="4"/>
      <c r="F2112" s="4"/>
      <c r="G2112" s="4"/>
      <c r="H2112" s="61"/>
      <c r="I2112" s="62"/>
      <c r="J2112" s="62"/>
      <c r="K2112" s="78"/>
      <c r="L2112" s="57"/>
      <c r="M2112" s="57"/>
    </row>
    <row r="2113" spans="1:13" ht="15" customHeight="1">
      <c r="A2113" s="73"/>
      <c r="B2113" s="2"/>
      <c r="C2113" s="2"/>
      <c r="D2113" s="2"/>
      <c r="E2113" s="4"/>
      <c r="F2113" s="4"/>
      <c r="G2113" s="4"/>
      <c r="H2113" s="61"/>
      <c r="I2113" s="62"/>
      <c r="J2113" s="62"/>
      <c r="K2113" s="78"/>
      <c r="L2113" s="57"/>
      <c r="M2113" s="57"/>
    </row>
    <row r="2114" spans="1:13" ht="15" customHeight="1">
      <c r="A2114" s="73"/>
      <c r="B2114" s="2"/>
      <c r="C2114" s="2"/>
      <c r="D2114" s="2"/>
      <c r="E2114" s="4"/>
      <c r="F2114" s="4"/>
      <c r="G2114" s="4"/>
      <c r="H2114" s="61"/>
      <c r="I2114" s="62"/>
      <c r="J2114" s="62"/>
      <c r="K2114" s="78"/>
      <c r="L2114" s="57"/>
      <c r="M2114" s="57"/>
    </row>
    <row r="2115" spans="1:13" ht="15" customHeight="1">
      <c r="A2115" s="73"/>
      <c r="B2115" s="2"/>
      <c r="C2115" s="2"/>
      <c r="D2115" s="2"/>
      <c r="E2115" s="4"/>
      <c r="F2115" s="4"/>
      <c r="G2115" s="4"/>
      <c r="H2115" s="61"/>
      <c r="I2115" s="62"/>
      <c r="J2115" s="62"/>
      <c r="K2115" s="78"/>
      <c r="L2115" s="57"/>
      <c r="M2115" s="57"/>
    </row>
    <row r="2116" spans="1:13" ht="15" customHeight="1">
      <c r="A2116" s="73"/>
      <c r="B2116" s="2"/>
      <c r="C2116" s="2"/>
      <c r="D2116" s="2"/>
      <c r="E2116" s="4"/>
      <c r="F2116" s="4"/>
      <c r="G2116" s="4"/>
      <c r="H2116" s="61"/>
      <c r="I2116" s="62"/>
      <c r="J2116" s="62"/>
      <c r="K2116" s="78"/>
      <c r="L2116" s="57"/>
      <c r="M2116" s="57"/>
    </row>
    <row r="2117" spans="1:13" ht="15" customHeight="1">
      <c r="A2117" s="73"/>
      <c r="B2117" s="2"/>
      <c r="C2117" s="2"/>
      <c r="D2117" s="2"/>
      <c r="E2117" s="4"/>
      <c r="F2117" s="4"/>
      <c r="G2117" s="4"/>
      <c r="H2117" s="61"/>
      <c r="I2117" s="62"/>
      <c r="J2117" s="62"/>
      <c r="K2117" s="78"/>
      <c r="L2117" s="57"/>
      <c r="M2117" s="57"/>
    </row>
    <row r="2118" spans="1:13" ht="15" customHeight="1">
      <c r="A2118" s="73"/>
      <c r="B2118" s="2"/>
      <c r="C2118" s="2"/>
      <c r="D2118" s="2"/>
      <c r="E2118" s="4"/>
      <c r="F2118" s="4"/>
      <c r="G2118" s="4"/>
      <c r="H2118" s="61"/>
      <c r="I2118" s="62"/>
      <c r="J2118" s="62"/>
      <c r="K2118" s="78"/>
      <c r="L2118" s="57"/>
      <c r="M2118" s="57"/>
    </row>
    <row r="2119" spans="1:13" ht="15" customHeight="1">
      <c r="A2119" s="73"/>
      <c r="B2119" s="2"/>
      <c r="C2119" s="2"/>
      <c r="D2119" s="2"/>
      <c r="E2119" s="4"/>
      <c r="F2119" s="4"/>
      <c r="G2119" s="4"/>
      <c r="H2119" s="61"/>
      <c r="I2119" s="62"/>
      <c r="J2119" s="62"/>
      <c r="K2119" s="78"/>
      <c r="L2119" s="57"/>
      <c r="M2119" s="57"/>
    </row>
    <row r="2120" spans="1:13" ht="15" customHeight="1">
      <c r="A2120" s="73"/>
      <c r="B2120" s="2"/>
      <c r="C2120" s="2"/>
      <c r="D2120" s="2"/>
      <c r="E2120" s="4"/>
      <c r="F2120" s="4"/>
      <c r="G2120" s="4"/>
      <c r="H2120" s="61"/>
      <c r="I2120" s="62"/>
      <c r="J2120" s="62"/>
      <c r="K2120" s="78"/>
      <c r="L2120" s="57"/>
      <c r="M2120" s="57"/>
    </row>
    <row r="2121" spans="1:13" ht="15" customHeight="1">
      <c r="A2121" s="73"/>
      <c r="B2121" s="2"/>
      <c r="C2121" s="2"/>
      <c r="D2121" s="2"/>
      <c r="E2121" s="4"/>
      <c r="F2121" s="4"/>
      <c r="G2121" s="4"/>
      <c r="H2121" s="61"/>
      <c r="I2121" s="62"/>
      <c r="J2121" s="62"/>
      <c r="K2121" s="78"/>
      <c r="L2121" s="57"/>
      <c r="M2121" s="57"/>
    </row>
    <row r="2122" spans="1:13" ht="15" customHeight="1">
      <c r="A2122" s="73"/>
      <c r="B2122" s="2"/>
      <c r="C2122" s="2"/>
      <c r="D2122" s="2"/>
      <c r="E2122" s="4"/>
      <c r="F2122" s="4"/>
      <c r="G2122" s="4"/>
      <c r="H2122" s="61"/>
      <c r="I2122" s="62"/>
      <c r="J2122" s="62"/>
      <c r="K2122" s="78"/>
      <c r="L2122" s="57"/>
      <c r="M2122" s="57"/>
    </row>
    <row r="2123" spans="1:13" ht="15" customHeight="1">
      <c r="A2123" s="73"/>
      <c r="B2123" s="2"/>
      <c r="C2123" s="2"/>
      <c r="D2123" s="2"/>
      <c r="E2123" s="4"/>
      <c r="F2123" s="4"/>
      <c r="G2123" s="4"/>
      <c r="H2123" s="61"/>
      <c r="I2123" s="62"/>
      <c r="J2123" s="62"/>
      <c r="K2123" s="78"/>
      <c r="L2123" s="57"/>
      <c r="M2123" s="57"/>
    </row>
    <row r="2124" spans="1:13" ht="15" customHeight="1">
      <c r="A2124" s="73"/>
      <c r="B2124" s="2"/>
      <c r="C2124" s="2"/>
      <c r="D2124" s="2"/>
      <c r="E2124" s="4"/>
      <c r="F2124" s="4"/>
      <c r="G2124" s="4"/>
      <c r="H2124" s="61"/>
      <c r="I2124" s="62"/>
      <c r="J2124" s="62"/>
      <c r="K2124" s="78"/>
      <c r="L2124" s="57"/>
      <c r="M2124" s="57"/>
    </row>
    <row r="2125" spans="1:13" ht="15" customHeight="1">
      <c r="A2125" s="73"/>
      <c r="B2125" s="2"/>
      <c r="C2125" s="2"/>
      <c r="D2125" s="2"/>
      <c r="E2125" s="4"/>
      <c r="F2125" s="4"/>
      <c r="G2125" s="4"/>
      <c r="H2125" s="61"/>
      <c r="I2125" s="62"/>
      <c r="J2125" s="62"/>
      <c r="K2125" s="78"/>
      <c r="L2125" s="57"/>
      <c r="M2125" s="57"/>
    </row>
    <row r="2126" spans="1:13" ht="15" customHeight="1">
      <c r="A2126" s="73"/>
      <c r="B2126" s="2"/>
      <c r="C2126" s="2"/>
      <c r="D2126" s="2"/>
      <c r="E2126" s="4"/>
      <c r="F2126" s="4"/>
      <c r="G2126" s="4"/>
      <c r="H2126" s="61"/>
      <c r="I2126" s="62"/>
      <c r="J2126" s="62"/>
      <c r="K2126" s="78"/>
      <c r="L2126" s="57"/>
      <c r="M2126" s="57"/>
    </row>
    <row r="2127" spans="1:13" ht="15" customHeight="1">
      <c r="A2127" s="73"/>
      <c r="B2127" s="2"/>
      <c r="C2127" s="2"/>
      <c r="D2127" s="2"/>
      <c r="E2127" s="4"/>
      <c r="F2127" s="4"/>
      <c r="G2127" s="4"/>
      <c r="H2127" s="61"/>
      <c r="I2127" s="62"/>
      <c r="J2127" s="62"/>
      <c r="K2127" s="78"/>
      <c r="L2127" s="57"/>
      <c r="M2127" s="57"/>
    </row>
    <row r="2128" spans="1:13" ht="15" customHeight="1">
      <c r="A2128" s="73"/>
      <c r="B2128" s="2"/>
      <c r="C2128" s="2"/>
      <c r="D2128" s="2"/>
      <c r="E2128" s="4"/>
      <c r="F2128" s="4"/>
      <c r="G2128" s="4"/>
      <c r="H2128" s="61"/>
      <c r="I2128" s="62"/>
      <c r="J2128" s="62"/>
      <c r="K2128" s="78"/>
      <c r="L2128" s="57"/>
      <c r="M2128" s="57"/>
    </row>
    <row r="2129" spans="1:13" ht="15" customHeight="1">
      <c r="A2129" s="73"/>
      <c r="B2129" s="2"/>
      <c r="C2129" s="2"/>
      <c r="D2129" s="2"/>
      <c r="E2129" s="4"/>
      <c r="F2129" s="4"/>
      <c r="G2129" s="4"/>
      <c r="H2129" s="61"/>
      <c r="I2129" s="62"/>
      <c r="J2129" s="62"/>
      <c r="K2129" s="78"/>
      <c r="L2129" s="57"/>
      <c r="M2129" s="57"/>
    </row>
    <row r="2130" spans="1:13" ht="15" customHeight="1">
      <c r="A2130" s="73"/>
      <c r="B2130" s="2"/>
      <c r="C2130" s="2"/>
      <c r="D2130" s="2"/>
      <c r="E2130" s="4"/>
      <c r="F2130" s="4"/>
      <c r="G2130" s="4"/>
      <c r="H2130" s="61"/>
      <c r="I2130" s="62"/>
      <c r="J2130" s="62"/>
      <c r="K2130" s="78"/>
      <c r="L2130" s="57"/>
      <c r="M2130" s="57"/>
    </row>
    <row r="2131" spans="1:13" ht="15" customHeight="1">
      <c r="A2131" s="73"/>
      <c r="B2131" s="2"/>
      <c r="C2131" s="2"/>
      <c r="D2131" s="2"/>
      <c r="E2131" s="4"/>
      <c r="F2131" s="4"/>
      <c r="G2131" s="4"/>
      <c r="H2131" s="61"/>
      <c r="I2131" s="62"/>
      <c r="J2131" s="62"/>
      <c r="K2131" s="78"/>
      <c r="L2131" s="57"/>
      <c r="M2131" s="57"/>
    </row>
    <row r="2132" spans="1:13" ht="15" customHeight="1">
      <c r="A2132" s="73"/>
      <c r="B2132" s="2"/>
      <c r="C2132" s="2"/>
      <c r="D2132" s="2"/>
      <c r="E2132" s="4"/>
      <c r="F2132" s="4"/>
      <c r="G2132" s="4"/>
      <c r="H2132" s="61"/>
      <c r="I2132" s="62"/>
      <c r="J2132" s="62"/>
      <c r="K2132" s="78"/>
      <c r="L2132" s="57"/>
      <c r="M2132" s="57"/>
    </row>
    <row r="2133" spans="1:13" ht="15" customHeight="1">
      <c r="A2133" s="73"/>
      <c r="B2133" s="2"/>
      <c r="C2133" s="2"/>
      <c r="D2133" s="2"/>
      <c r="E2133" s="4"/>
      <c r="F2133" s="4"/>
      <c r="G2133" s="4"/>
      <c r="H2133" s="61"/>
      <c r="I2133" s="62"/>
      <c r="J2133" s="62"/>
      <c r="K2133" s="78"/>
      <c r="L2133" s="57"/>
      <c r="M2133" s="57"/>
    </row>
    <row r="2134" spans="1:13" ht="15" customHeight="1">
      <c r="A2134" s="73"/>
      <c r="B2134" s="2"/>
      <c r="C2134" s="2"/>
      <c r="D2134" s="2"/>
      <c r="E2134" s="4"/>
      <c r="F2134" s="4"/>
      <c r="G2134" s="4"/>
      <c r="H2134" s="61"/>
      <c r="I2134" s="62"/>
      <c r="J2134" s="62"/>
      <c r="K2134" s="78"/>
      <c r="L2134" s="57"/>
      <c r="M2134" s="57"/>
    </row>
    <row r="2135" spans="1:13" ht="15" customHeight="1">
      <c r="A2135" s="73"/>
      <c r="B2135" s="2"/>
      <c r="C2135" s="2"/>
      <c r="D2135" s="2"/>
      <c r="E2135" s="4"/>
      <c r="F2135" s="4"/>
      <c r="G2135" s="4"/>
      <c r="H2135" s="61"/>
      <c r="I2135" s="62"/>
      <c r="J2135" s="62"/>
      <c r="K2135" s="78"/>
      <c r="L2135" s="57"/>
      <c r="M2135" s="57"/>
    </row>
    <row r="2136" spans="1:13" ht="15" customHeight="1">
      <c r="A2136" s="73"/>
      <c r="B2136" s="2"/>
      <c r="C2136" s="2"/>
      <c r="D2136" s="2"/>
      <c r="E2136" s="4"/>
      <c r="F2136" s="4"/>
      <c r="G2136" s="4"/>
      <c r="H2136" s="61"/>
      <c r="I2136" s="62"/>
      <c r="J2136" s="62"/>
      <c r="K2136" s="78"/>
      <c r="L2136" s="57"/>
      <c r="M2136" s="57"/>
    </row>
    <row r="2137" spans="1:13" ht="15" customHeight="1">
      <c r="A2137" s="73"/>
      <c r="B2137" s="2"/>
      <c r="C2137" s="2"/>
      <c r="D2137" s="2"/>
      <c r="E2137" s="4"/>
      <c r="F2137" s="4"/>
      <c r="G2137" s="4"/>
      <c r="H2137" s="61"/>
      <c r="I2137" s="62"/>
      <c r="J2137" s="62"/>
      <c r="K2137" s="78"/>
      <c r="L2137" s="57"/>
      <c r="M2137" s="57"/>
    </row>
    <row r="2138" spans="1:13" ht="15" customHeight="1">
      <c r="A2138" s="73"/>
      <c r="B2138" s="2"/>
      <c r="C2138" s="2"/>
      <c r="D2138" s="2"/>
      <c r="E2138" s="4"/>
      <c r="F2138" s="4"/>
      <c r="G2138" s="4"/>
      <c r="H2138" s="61"/>
      <c r="I2138" s="62"/>
      <c r="J2138" s="62"/>
      <c r="K2138" s="78"/>
      <c r="L2138" s="57"/>
      <c r="M2138" s="57"/>
    </row>
    <row r="2139" spans="1:13" ht="15" customHeight="1">
      <c r="A2139" s="73"/>
      <c r="B2139" s="2"/>
      <c r="C2139" s="2"/>
      <c r="D2139" s="2"/>
      <c r="E2139" s="4"/>
      <c r="F2139" s="4"/>
      <c r="G2139" s="4"/>
      <c r="H2139" s="61"/>
      <c r="I2139" s="62"/>
      <c r="J2139" s="62"/>
      <c r="K2139" s="78"/>
      <c r="L2139" s="57"/>
      <c r="M2139" s="57"/>
    </row>
    <row r="2140" spans="1:13" ht="15" customHeight="1">
      <c r="A2140" s="73"/>
      <c r="B2140" s="2"/>
      <c r="C2140" s="2"/>
      <c r="D2140" s="2"/>
      <c r="E2140" s="4"/>
      <c r="F2140" s="4"/>
      <c r="G2140" s="4"/>
      <c r="H2140" s="61"/>
      <c r="I2140" s="62"/>
      <c r="J2140" s="62"/>
      <c r="K2140" s="78"/>
      <c r="L2140" s="57"/>
      <c r="M2140" s="57"/>
    </row>
    <row r="2141" spans="1:13" ht="15" customHeight="1">
      <c r="A2141" s="73"/>
      <c r="B2141" s="2"/>
      <c r="C2141" s="2"/>
      <c r="D2141" s="2"/>
      <c r="E2141" s="4"/>
      <c r="F2141" s="4"/>
      <c r="G2141" s="4"/>
      <c r="H2141" s="61"/>
      <c r="I2141" s="62"/>
      <c r="J2141" s="62"/>
      <c r="K2141" s="78"/>
      <c r="L2141" s="57"/>
      <c r="M2141" s="57"/>
    </row>
    <row r="2142" spans="1:13" ht="15" customHeight="1">
      <c r="A2142" s="73"/>
      <c r="B2142" s="2"/>
      <c r="C2142" s="2"/>
      <c r="D2142" s="2"/>
      <c r="E2142" s="4"/>
      <c r="F2142" s="4"/>
      <c r="G2142" s="4"/>
      <c r="H2142" s="61"/>
      <c r="I2142" s="62"/>
      <c r="J2142" s="62"/>
      <c r="K2142" s="78"/>
      <c r="L2142" s="57"/>
      <c r="M2142" s="57"/>
    </row>
    <row r="2143" spans="1:13" ht="15" customHeight="1">
      <c r="A2143" s="73"/>
      <c r="B2143" s="2"/>
      <c r="C2143" s="2"/>
      <c r="D2143" s="2"/>
      <c r="E2143" s="4"/>
      <c r="F2143" s="4"/>
      <c r="G2143" s="4"/>
      <c r="H2143" s="61"/>
      <c r="I2143" s="62"/>
      <c r="J2143" s="62"/>
      <c r="K2143" s="78"/>
      <c r="L2143" s="57"/>
      <c r="M2143" s="57"/>
    </row>
    <row r="2144" spans="1:13" ht="15" customHeight="1">
      <c r="A2144" s="73"/>
      <c r="B2144" s="2"/>
      <c r="C2144" s="2"/>
      <c r="D2144" s="2"/>
      <c r="E2144" s="4"/>
      <c r="F2144" s="4"/>
      <c r="G2144" s="4"/>
      <c r="H2144" s="61"/>
      <c r="I2144" s="62"/>
      <c r="J2144" s="62"/>
      <c r="K2144" s="78"/>
      <c r="L2144" s="57"/>
      <c r="M2144" s="57"/>
    </row>
    <row r="2145" spans="1:13" ht="15" customHeight="1">
      <c r="A2145" s="73"/>
      <c r="B2145" s="2"/>
      <c r="C2145" s="2"/>
      <c r="D2145" s="2"/>
      <c r="E2145" s="4"/>
      <c r="F2145" s="4"/>
      <c r="G2145" s="4"/>
      <c r="H2145" s="61"/>
      <c r="I2145" s="62"/>
      <c r="J2145" s="62"/>
      <c r="K2145" s="78"/>
      <c r="L2145" s="57"/>
      <c r="M2145" s="57"/>
    </row>
    <row r="2146" spans="1:13" ht="15" customHeight="1">
      <c r="A2146" s="73"/>
      <c r="B2146" s="2"/>
      <c r="C2146" s="2"/>
      <c r="D2146" s="2"/>
      <c r="E2146" s="4"/>
      <c r="F2146" s="4"/>
      <c r="G2146" s="4"/>
      <c r="H2146" s="61"/>
      <c r="I2146" s="62"/>
      <c r="J2146" s="62"/>
      <c r="K2146" s="78"/>
      <c r="L2146" s="57"/>
      <c r="M2146" s="57"/>
    </row>
    <row r="2147" spans="1:13" ht="15" customHeight="1">
      <c r="A2147" s="73"/>
      <c r="B2147" s="2"/>
      <c r="C2147" s="2"/>
      <c r="D2147" s="2"/>
      <c r="E2147" s="4"/>
      <c r="F2147" s="4"/>
      <c r="G2147" s="4"/>
      <c r="H2147" s="61"/>
      <c r="I2147" s="62"/>
      <c r="J2147" s="62"/>
      <c r="K2147" s="78"/>
      <c r="L2147" s="57"/>
      <c r="M2147" s="57"/>
    </row>
    <row r="2148" spans="1:13" ht="15" customHeight="1">
      <c r="A2148" s="73"/>
      <c r="B2148" s="2"/>
      <c r="C2148" s="2"/>
      <c r="D2148" s="2"/>
      <c r="E2148" s="4"/>
      <c r="F2148" s="4"/>
      <c r="G2148" s="4"/>
      <c r="H2148" s="61"/>
      <c r="I2148" s="62"/>
      <c r="J2148" s="62"/>
      <c r="K2148" s="78"/>
      <c r="L2148" s="57"/>
      <c r="M2148" s="57"/>
    </row>
    <row r="2149" spans="1:13" ht="15" customHeight="1">
      <c r="A2149" s="73"/>
      <c r="B2149" s="2"/>
      <c r="C2149" s="2"/>
      <c r="D2149" s="2"/>
      <c r="E2149" s="4"/>
      <c r="F2149" s="4"/>
      <c r="G2149" s="4"/>
      <c r="H2149" s="61"/>
      <c r="I2149" s="62"/>
      <c r="J2149" s="62"/>
      <c r="K2149" s="78"/>
      <c r="L2149" s="57"/>
      <c r="M2149" s="57"/>
    </row>
    <row r="2150" spans="1:13" ht="15" customHeight="1">
      <c r="A2150" s="73"/>
      <c r="B2150" s="2"/>
      <c r="C2150" s="2"/>
      <c r="D2150" s="2"/>
      <c r="E2150" s="4"/>
      <c r="F2150" s="4"/>
      <c r="G2150" s="4"/>
      <c r="H2150" s="61"/>
      <c r="I2150" s="62"/>
      <c r="J2150" s="62"/>
      <c r="K2150" s="78"/>
      <c r="L2150" s="57"/>
      <c r="M2150" s="57"/>
    </row>
    <row r="2151" spans="1:13" ht="15" customHeight="1">
      <c r="A2151" s="73"/>
      <c r="B2151" s="2"/>
      <c r="C2151" s="2"/>
      <c r="D2151" s="2"/>
      <c r="E2151" s="4"/>
      <c r="F2151" s="4"/>
      <c r="G2151" s="4"/>
      <c r="H2151" s="61"/>
      <c r="I2151" s="62"/>
      <c r="J2151" s="62"/>
      <c r="K2151" s="78"/>
      <c r="L2151" s="57"/>
      <c r="M2151" s="57"/>
    </row>
    <row r="2152" spans="1:13" ht="15" customHeight="1">
      <c r="A2152" s="73"/>
      <c r="B2152" s="2"/>
      <c r="C2152" s="2"/>
      <c r="D2152" s="2"/>
      <c r="E2152" s="4"/>
      <c r="F2152" s="4"/>
      <c r="G2152" s="4"/>
      <c r="H2152" s="61"/>
      <c r="I2152" s="62"/>
      <c r="J2152" s="62"/>
      <c r="K2152" s="78"/>
      <c r="L2152" s="57"/>
      <c r="M2152" s="57"/>
    </row>
    <row r="2153" spans="1:13" ht="15" customHeight="1">
      <c r="A2153" s="73"/>
      <c r="B2153" s="2"/>
      <c r="C2153" s="2"/>
      <c r="D2153" s="2"/>
      <c r="E2153" s="4"/>
      <c r="F2153" s="4"/>
      <c r="G2153" s="4"/>
      <c r="H2153" s="61"/>
      <c r="I2153" s="62"/>
      <c r="J2153" s="62"/>
      <c r="K2153" s="78"/>
      <c r="L2153" s="57"/>
      <c r="M2153" s="57"/>
    </row>
    <row r="2154" spans="1:13" ht="15" customHeight="1">
      <c r="A2154" s="73"/>
      <c r="B2154" s="2"/>
      <c r="C2154" s="2"/>
      <c r="D2154" s="2"/>
      <c r="E2154" s="4"/>
      <c r="F2154" s="4"/>
      <c r="G2154" s="4"/>
      <c r="H2154" s="61"/>
      <c r="I2154" s="62"/>
      <c r="J2154" s="62"/>
      <c r="K2154" s="78"/>
      <c r="L2154" s="57"/>
      <c r="M2154" s="57"/>
    </row>
    <row r="2155" spans="1:13" ht="15" customHeight="1">
      <c r="A2155" s="73"/>
      <c r="B2155" s="2"/>
      <c r="C2155" s="2"/>
      <c r="D2155" s="2"/>
      <c r="E2155" s="4"/>
      <c r="F2155" s="4"/>
      <c r="G2155" s="4"/>
      <c r="H2155" s="61"/>
      <c r="I2155" s="62"/>
      <c r="J2155" s="62"/>
      <c r="K2155" s="78"/>
      <c r="L2155" s="57"/>
      <c r="M2155" s="57"/>
    </row>
    <row r="2156" spans="1:13" ht="15" customHeight="1">
      <c r="A2156" s="73"/>
      <c r="B2156" s="2"/>
      <c r="C2156" s="2"/>
      <c r="D2156" s="2"/>
      <c r="E2156" s="4"/>
      <c r="F2156" s="4"/>
      <c r="G2156" s="4"/>
      <c r="H2156" s="61"/>
      <c r="I2156" s="62"/>
      <c r="J2156" s="62"/>
      <c r="K2156" s="78"/>
      <c r="L2156" s="57"/>
      <c r="M2156" s="57"/>
    </row>
    <row r="2157" spans="1:13" ht="15" customHeight="1">
      <c r="A2157" s="73"/>
      <c r="B2157" s="2"/>
      <c r="C2157" s="2"/>
      <c r="D2157" s="2"/>
      <c r="E2157" s="4"/>
      <c r="F2157" s="4"/>
      <c r="G2157" s="4"/>
      <c r="H2157" s="61"/>
      <c r="I2157" s="62"/>
      <c r="J2157" s="62"/>
      <c r="K2157" s="78"/>
      <c r="L2157" s="57"/>
      <c r="M2157" s="57"/>
    </row>
    <row r="2158" spans="1:13" ht="15" customHeight="1">
      <c r="A2158" s="73"/>
      <c r="B2158" s="2"/>
      <c r="C2158" s="2"/>
      <c r="D2158" s="2"/>
      <c r="E2158" s="4"/>
      <c r="F2158" s="4"/>
      <c r="G2158" s="4"/>
      <c r="H2158" s="61"/>
      <c r="I2158" s="62"/>
      <c r="J2158" s="62"/>
      <c r="K2158" s="78"/>
      <c r="L2158" s="57"/>
      <c r="M2158" s="57"/>
    </row>
    <row r="2159" spans="1:13" ht="15" customHeight="1">
      <c r="A2159" s="73"/>
      <c r="B2159" s="2"/>
      <c r="C2159" s="2"/>
      <c r="D2159" s="2"/>
      <c r="E2159" s="4"/>
      <c r="F2159" s="4"/>
      <c r="G2159" s="4"/>
      <c r="H2159" s="61"/>
      <c r="I2159" s="62"/>
      <c r="J2159" s="62"/>
      <c r="K2159" s="78"/>
      <c r="L2159" s="57"/>
      <c r="M2159" s="57"/>
    </row>
    <row r="2160" spans="1:13" ht="15" customHeight="1">
      <c r="A2160" s="73"/>
      <c r="B2160" s="2"/>
      <c r="C2160" s="2"/>
      <c r="D2160" s="2"/>
      <c r="E2160" s="4"/>
      <c r="F2160" s="4"/>
      <c r="G2160" s="4"/>
      <c r="H2160" s="61"/>
      <c r="I2160" s="62"/>
      <c r="J2160" s="62"/>
      <c r="K2160" s="78"/>
      <c r="L2160" s="57"/>
      <c r="M2160" s="57"/>
    </row>
    <row r="2161" spans="1:13" ht="15" customHeight="1">
      <c r="A2161" s="73"/>
      <c r="B2161" s="2"/>
      <c r="C2161" s="2"/>
      <c r="D2161" s="2"/>
      <c r="E2161" s="4"/>
      <c r="F2161" s="4"/>
      <c r="G2161" s="4"/>
      <c r="H2161" s="61"/>
      <c r="I2161" s="62"/>
      <c r="J2161" s="62"/>
      <c r="K2161" s="78"/>
      <c r="L2161" s="57"/>
      <c r="M2161" s="57"/>
    </row>
    <row r="2162" spans="1:13" ht="15" customHeight="1">
      <c r="A2162" s="73"/>
      <c r="B2162" s="2"/>
      <c r="C2162" s="2"/>
      <c r="D2162" s="2"/>
      <c r="E2162" s="4"/>
      <c r="F2162" s="4"/>
      <c r="G2162" s="4"/>
      <c r="H2162" s="61"/>
      <c r="I2162" s="62"/>
      <c r="J2162" s="62"/>
      <c r="K2162" s="78"/>
      <c r="L2162" s="57"/>
      <c r="M2162" s="57"/>
    </row>
    <row r="2163" spans="1:13" ht="15" customHeight="1">
      <c r="A2163" s="73"/>
      <c r="B2163" s="2"/>
      <c r="C2163" s="2"/>
      <c r="D2163" s="2"/>
      <c r="E2163" s="4"/>
      <c r="F2163" s="4"/>
      <c r="G2163" s="4"/>
      <c r="H2163" s="61"/>
      <c r="I2163" s="62"/>
      <c r="J2163" s="62"/>
      <c r="K2163" s="78"/>
      <c r="L2163" s="57"/>
      <c r="M2163" s="57"/>
    </row>
    <row r="2164" spans="1:13" ht="15" customHeight="1">
      <c r="A2164" s="73"/>
      <c r="B2164" s="2"/>
      <c r="C2164" s="2"/>
      <c r="D2164" s="2"/>
      <c r="E2164" s="4"/>
      <c r="F2164" s="4"/>
      <c r="G2164" s="4"/>
      <c r="H2164" s="61"/>
      <c r="I2164" s="62"/>
      <c r="J2164" s="62"/>
      <c r="K2164" s="78"/>
      <c r="L2164" s="57"/>
      <c r="M2164" s="57"/>
    </row>
    <row r="2165" spans="1:13" ht="15" customHeight="1">
      <c r="A2165" s="73"/>
      <c r="B2165" s="2"/>
      <c r="C2165" s="2"/>
      <c r="D2165" s="2"/>
      <c r="E2165" s="4"/>
      <c r="F2165" s="4"/>
      <c r="G2165" s="4"/>
      <c r="H2165" s="61"/>
      <c r="I2165" s="62"/>
      <c r="J2165" s="62"/>
      <c r="K2165" s="78"/>
      <c r="L2165" s="57"/>
      <c r="M2165" s="57"/>
    </row>
    <row r="2166" spans="1:13" ht="15" customHeight="1">
      <c r="A2166" s="73"/>
      <c r="B2166" s="2"/>
      <c r="C2166" s="2"/>
      <c r="D2166" s="2"/>
      <c r="E2166" s="4"/>
      <c r="F2166" s="4"/>
      <c r="G2166" s="4"/>
      <c r="H2166" s="61"/>
      <c r="I2166" s="62"/>
      <c r="J2166" s="62"/>
      <c r="K2166" s="78"/>
      <c r="L2166" s="57"/>
      <c r="M2166" s="57"/>
    </row>
    <row r="2167" spans="1:13" ht="15" customHeight="1">
      <c r="A2167" s="73"/>
      <c r="B2167" s="2"/>
      <c r="C2167" s="2"/>
      <c r="D2167" s="2"/>
      <c r="E2167" s="4"/>
      <c r="F2167" s="4"/>
      <c r="G2167" s="4"/>
      <c r="H2167" s="61"/>
      <c r="I2167" s="62"/>
      <c r="J2167" s="62"/>
      <c r="K2167" s="78"/>
      <c r="L2167" s="57"/>
      <c r="M2167" s="57"/>
    </row>
    <row r="2168" spans="1:13" ht="15" customHeight="1">
      <c r="A2168" s="73"/>
      <c r="B2168" s="2"/>
      <c r="C2168" s="2"/>
      <c r="D2168" s="2"/>
      <c r="E2168" s="4"/>
      <c r="F2168" s="4"/>
      <c r="G2168" s="4"/>
      <c r="H2168" s="61"/>
      <c r="I2168" s="62"/>
      <c r="J2168" s="62"/>
      <c r="K2168" s="78"/>
      <c r="L2168" s="57"/>
      <c r="M2168" s="57"/>
    </row>
    <row r="2169" spans="1:13" ht="15" customHeight="1">
      <c r="A2169" s="73"/>
      <c r="B2169" s="2"/>
      <c r="C2169" s="2"/>
      <c r="D2169" s="2"/>
      <c r="E2169" s="4"/>
      <c r="F2169" s="4"/>
      <c r="G2169" s="4"/>
      <c r="H2169" s="61"/>
      <c r="I2169" s="62"/>
      <c r="J2169" s="62"/>
      <c r="K2169" s="78"/>
      <c r="L2169" s="57"/>
      <c r="M2169" s="57"/>
    </row>
    <row r="2170" spans="1:13" ht="15" customHeight="1">
      <c r="A2170" s="73"/>
      <c r="B2170" s="2"/>
      <c r="C2170" s="2"/>
      <c r="D2170" s="2"/>
      <c r="E2170" s="4"/>
      <c r="F2170" s="4"/>
      <c r="G2170" s="4"/>
      <c r="H2170" s="61"/>
      <c r="I2170" s="62"/>
      <c r="J2170" s="62"/>
      <c r="K2170" s="78"/>
      <c r="L2170" s="57"/>
      <c r="M2170" s="57"/>
    </row>
    <row r="2171" spans="1:13" ht="15" customHeight="1">
      <c r="A2171" s="73"/>
      <c r="B2171" s="2"/>
      <c r="C2171" s="2"/>
      <c r="D2171" s="2"/>
      <c r="E2171" s="4"/>
      <c r="F2171" s="4"/>
      <c r="G2171" s="4"/>
      <c r="H2171" s="61"/>
      <c r="I2171" s="62"/>
      <c r="J2171" s="62"/>
      <c r="K2171" s="78"/>
      <c r="L2171" s="57"/>
      <c r="M2171" s="57"/>
    </row>
    <row r="2172" spans="1:13" ht="15" customHeight="1">
      <c r="A2172" s="73"/>
      <c r="B2172" s="2"/>
      <c r="C2172" s="2"/>
      <c r="D2172" s="2"/>
      <c r="E2172" s="4"/>
      <c r="F2172" s="4"/>
      <c r="G2172" s="4"/>
      <c r="H2172" s="61"/>
      <c r="I2172" s="62"/>
      <c r="J2172" s="62"/>
      <c r="K2172" s="78"/>
      <c r="L2172" s="57"/>
      <c r="M2172" s="57"/>
    </row>
    <row r="2173" spans="1:13" ht="15" customHeight="1">
      <c r="A2173" s="73"/>
      <c r="B2173" s="2"/>
      <c r="C2173" s="2"/>
      <c r="D2173" s="2"/>
      <c r="E2173" s="4"/>
      <c r="F2173" s="4"/>
      <c r="G2173" s="4"/>
      <c r="H2173" s="61"/>
      <c r="I2173" s="62"/>
      <c r="J2173" s="62"/>
      <c r="K2173" s="78"/>
      <c r="L2173" s="57"/>
      <c r="M2173" s="57"/>
    </row>
    <row r="2174" spans="1:13" ht="15" customHeight="1">
      <c r="A2174" s="73"/>
      <c r="B2174" s="2"/>
      <c r="C2174" s="2"/>
      <c r="D2174" s="2"/>
      <c r="E2174" s="4"/>
      <c r="F2174" s="4"/>
      <c r="G2174" s="4"/>
      <c r="H2174" s="61"/>
      <c r="I2174" s="62"/>
      <c r="J2174" s="62"/>
      <c r="K2174" s="78"/>
      <c r="L2174" s="57"/>
      <c r="M2174" s="57"/>
    </row>
    <row r="2175" spans="1:13" ht="15" customHeight="1">
      <c r="A2175" s="73"/>
      <c r="B2175" s="2"/>
      <c r="C2175" s="2"/>
      <c r="D2175" s="2"/>
      <c r="E2175" s="4"/>
      <c r="F2175" s="4"/>
      <c r="G2175" s="4"/>
      <c r="H2175" s="61"/>
      <c r="I2175" s="62"/>
      <c r="J2175" s="62"/>
      <c r="K2175" s="78"/>
      <c r="L2175" s="57"/>
      <c r="M2175" s="57"/>
    </row>
    <row r="2176" spans="1:13" ht="15" customHeight="1">
      <c r="A2176" s="73"/>
      <c r="B2176" s="2"/>
      <c r="C2176" s="2"/>
      <c r="D2176" s="2"/>
      <c r="E2176" s="4"/>
      <c r="F2176" s="4"/>
      <c r="G2176" s="4"/>
      <c r="H2176" s="61"/>
      <c r="I2176" s="62"/>
      <c r="J2176" s="62"/>
      <c r="K2176" s="78"/>
      <c r="L2176" s="57"/>
      <c r="M2176" s="57"/>
    </row>
    <row r="2177" spans="1:13" ht="15" customHeight="1">
      <c r="A2177" s="73"/>
      <c r="B2177" s="2"/>
      <c r="C2177" s="2"/>
      <c r="D2177" s="2"/>
      <c r="E2177" s="4"/>
      <c r="F2177" s="4"/>
      <c r="G2177" s="4"/>
      <c r="H2177" s="61"/>
      <c r="I2177" s="62"/>
      <c r="J2177" s="62"/>
      <c r="K2177" s="78"/>
      <c r="L2177" s="57"/>
      <c r="M2177" s="57"/>
    </row>
    <row r="2178" spans="1:13" ht="15" customHeight="1">
      <c r="A2178" s="73"/>
      <c r="B2178" s="2"/>
      <c r="C2178" s="2"/>
      <c r="D2178" s="2"/>
      <c r="E2178" s="4"/>
      <c r="F2178" s="4"/>
      <c r="G2178" s="4"/>
      <c r="H2178" s="61"/>
      <c r="I2178" s="62"/>
      <c r="J2178" s="62"/>
      <c r="K2178" s="78"/>
      <c r="L2178" s="57"/>
      <c r="M2178" s="57"/>
    </row>
    <row r="2179" spans="1:13" ht="15" customHeight="1">
      <c r="A2179" s="73"/>
      <c r="B2179" s="2"/>
      <c r="C2179" s="2"/>
      <c r="D2179" s="2"/>
      <c r="E2179" s="4"/>
      <c r="F2179" s="4"/>
      <c r="G2179" s="4"/>
      <c r="H2179" s="61"/>
      <c r="I2179" s="62"/>
      <c r="J2179" s="62"/>
      <c r="K2179" s="78"/>
      <c r="L2179" s="57"/>
      <c r="M2179" s="57"/>
    </row>
    <row r="2180" spans="1:13" ht="15" customHeight="1">
      <c r="A2180" s="73"/>
      <c r="B2180" s="2"/>
      <c r="C2180" s="2"/>
      <c r="D2180" s="2"/>
      <c r="E2180" s="4"/>
      <c r="F2180" s="4"/>
      <c r="G2180" s="4"/>
      <c r="H2180" s="61"/>
      <c r="I2180" s="62"/>
      <c r="J2180" s="62"/>
      <c r="K2180" s="78"/>
      <c r="L2180" s="57"/>
      <c r="M2180" s="57"/>
    </row>
    <row r="2181" spans="1:13" ht="15" customHeight="1">
      <c r="A2181" s="73"/>
      <c r="B2181" s="2"/>
      <c r="C2181" s="2"/>
      <c r="D2181" s="2"/>
      <c r="E2181" s="4"/>
      <c r="F2181" s="4"/>
      <c r="G2181" s="4"/>
      <c r="H2181" s="61"/>
      <c r="I2181" s="62"/>
      <c r="J2181" s="62"/>
      <c r="K2181" s="78"/>
      <c r="L2181" s="57"/>
      <c r="M2181" s="57"/>
    </row>
    <row r="2182" spans="1:13" ht="15" customHeight="1">
      <c r="A2182" s="73"/>
      <c r="B2182" s="2"/>
      <c r="C2182" s="2"/>
      <c r="D2182" s="2"/>
      <c r="E2182" s="4"/>
      <c r="F2182" s="4"/>
      <c r="G2182" s="4"/>
      <c r="H2182" s="61"/>
      <c r="I2182" s="62"/>
      <c r="J2182" s="62"/>
      <c r="K2182" s="78"/>
      <c r="L2182" s="57"/>
      <c r="M2182" s="57"/>
    </row>
    <row r="2183" spans="1:13" ht="15" customHeight="1">
      <c r="A2183" s="73"/>
      <c r="B2183" s="2"/>
      <c r="C2183" s="2"/>
      <c r="D2183" s="2"/>
      <c r="E2183" s="4"/>
      <c r="F2183" s="4"/>
      <c r="G2183" s="4"/>
      <c r="H2183" s="61"/>
      <c r="I2183" s="62"/>
      <c r="J2183" s="62"/>
      <c r="K2183" s="78"/>
      <c r="L2183" s="57"/>
      <c r="M2183" s="57"/>
    </row>
    <row r="2184" spans="1:13" ht="15" customHeight="1">
      <c r="A2184" s="73"/>
      <c r="B2184" s="2"/>
      <c r="C2184" s="2"/>
      <c r="D2184" s="2"/>
      <c r="E2184" s="4"/>
      <c r="F2184" s="4"/>
      <c r="G2184" s="4"/>
      <c r="H2184" s="61"/>
      <c r="I2184" s="62"/>
      <c r="J2184" s="62"/>
      <c r="K2184" s="78"/>
      <c r="L2184" s="57"/>
      <c r="M2184" s="57"/>
    </row>
    <row r="2185" spans="1:13" ht="15" customHeight="1">
      <c r="A2185" s="73"/>
      <c r="B2185" s="2"/>
      <c r="C2185" s="2"/>
      <c r="D2185" s="2"/>
      <c r="E2185" s="4"/>
      <c r="F2185" s="4"/>
      <c r="G2185" s="4"/>
      <c r="H2185" s="61"/>
      <c r="I2185" s="62"/>
      <c r="J2185" s="62"/>
      <c r="K2185" s="78"/>
      <c r="L2185" s="57"/>
      <c r="M2185" s="57"/>
    </row>
    <row r="2186" spans="1:13" ht="15" customHeight="1">
      <c r="A2186" s="73"/>
      <c r="B2186" s="2"/>
      <c r="C2186" s="2"/>
      <c r="D2186" s="2"/>
      <c r="E2186" s="4"/>
      <c r="F2186" s="4"/>
      <c r="G2186" s="4"/>
      <c r="H2186" s="61"/>
      <c r="I2186" s="62"/>
      <c r="J2186" s="62"/>
      <c r="K2186" s="78"/>
      <c r="L2186" s="57"/>
      <c r="M2186" s="57"/>
    </row>
    <row r="2187" spans="1:13" ht="15" customHeight="1">
      <c r="A2187" s="73"/>
      <c r="B2187" s="2"/>
      <c r="C2187" s="2"/>
      <c r="D2187" s="2"/>
      <c r="E2187" s="4"/>
      <c r="F2187" s="4"/>
      <c r="G2187" s="4"/>
      <c r="H2187" s="61"/>
      <c r="I2187" s="62"/>
      <c r="J2187" s="62"/>
      <c r="K2187" s="78"/>
      <c r="L2187" s="57"/>
      <c r="M2187" s="57"/>
    </row>
    <row r="2188" spans="1:13" ht="15" customHeight="1">
      <c r="A2188" s="73"/>
      <c r="B2188" s="2"/>
      <c r="C2188" s="2"/>
      <c r="D2188" s="2"/>
      <c r="E2188" s="4"/>
      <c r="F2188" s="4"/>
      <c r="G2188" s="4"/>
      <c r="H2188" s="61"/>
      <c r="I2188" s="62"/>
      <c r="J2188" s="62"/>
      <c r="K2188" s="78"/>
      <c r="L2188" s="57"/>
      <c r="M2188" s="57"/>
    </row>
    <row r="2189" spans="1:13" ht="15" customHeight="1">
      <c r="A2189" s="73"/>
      <c r="B2189" s="2"/>
      <c r="C2189" s="2"/>
      <c r="D2189" s="2"/>
      <c r="E2189" s="4"/>
      <c r="F2189" s="4"/>
      <c r="G2189" s="4"/>
      <c r="H2189" s="61"/>
      <c r="I2189" s="62"/>
      <c r="J2189" s="62"/>
      <c r="K2189" s="78"/>
      <c r="L2189" s="57"/>
      <c r="M2189" s="57"/>
    </row>
    <row r="2190" spans="1:13" ht="15" customHeight="1">
      <c r="A2190" s="73"/>
      <c r="B2190" s="2"/>
      <c r="C2190" s="2"/>
      <c r="D2190" s="2"/>
      <c r="E2190" s="4"/>
      <c r="F2190" s="4"/>
      <c r="G2190" s="4"/>
      <c r="H2190" s="61"/>
      <c r="I2190" s="62"/>
      <c r="J2190" s="62"/>
      <c r="K2190" s="78"/>
      <c r="L2190" s="57"/>
      <c r="M2190" s="57"/>
    </row>
    <row r="2191" spans="1:13" ht="15" customHeight="1">
      <c r="A2191" s="73"/>
      <c r="B2191" s="2"/>
      <c r="C2191" s="2"/>
      <c r="D2191" s="2"/>
      <c r="E2191" s="4"/>
      <c r="F2191" s="4"/>
      <c r="G2191" s="4"/>
      <c r="H2191" s="61"/>
      <c r="I2191" s="62"/>
      <c r="J2191" s="62"/>
      <c r="K2191" s="78"/>
      <c r="L2191" s="57"/>
      <c r="M2191" s="57"/>
    </row>
    <row r="2192" spans="1:13" ht="15" customHeight="1">
      <c r="A2192" s="73"/>
      <c r="B2192" s="2"/>
      <c r="C2192" s="2"/>
      <c r="D2192" s="2"/>
      <c r="E2192" s="4"/>
      <c r="F2192" s="4"/>
      <c r="G2192" s="4"/>
      <c r="H2192" s="61"/>
      <c r="I2192" s="62"/>
      <c r="J2192" s="62"/>
      <c r="K2192" s="78"/>
      <c r="L2192" s="57"/>
      <c r="M2192" s="57"/>
    </row>
    <row r="2193" spans="1:13" ht="15" customHeight="1">
      <c r="A2193" s="73"/>
      <c r="B2193" s="2"/>
      <c r="C2193" s="2"/>
      <c r="D2193" s="2"/>
      <c r="E2193" s="4"/>
      <c r="F2193" s="4"/>
      <c r="G2193" s="4"/>
      <c r="H2193" s="61"/>
      <c r="I2193" s="62"/>
      <c r="J2193" s="62"/>
      <c r="K2193" s="78"/>
      <c r="L2193" s="57"/>
      <c r="M2193" s="57"/>
    </row>
    <row r="2194" spans="1:13" ht="15" customHeight="1">
      <c r="A2194" s="73"/>
      <c r="B2194" s="2"/>
      <c r="C2194" s="2"/>
      <c r="D2194" s="2"/>
      <c r="E2194" s="4"/>
      <c r="F2194" s="4"/>
      <c r="G2194" s="4"/>
      <c r="H2194" s="61"/>
      <c r="I2194" s="62"/>
      <c r="J2194" s="62"/>
      <c r="K2194" s="78"/>
      <c r="L2194" s="57"/>
      <c r="M2194" s="57"/>
    </row>
    <row r="2195" spans="1:13" ht="15" customHeight="1">
      <c r="A2195" s="73"/>
      <c r="B2195" s="2"/>
      <c r="C2195" s="2"/>
      <c r="D2195" s="2"/>
      <c r="E2195" s="4"/>
      <c r="F2195" s="4"/>
      <c r="G2195" s="4"/>
      <c r="H2195" s="61"/>
      <c r="I2195" s="62"/>
      <c r="J2195" s="62"/>
      <c r="K2195" s="78"/>
      <c r="L2195" s="57"/>
      <c r="M2195" s="57"/>
    </row>
    <row r="2196" spans="1:13" ht="15" customHeight="1">
      <c r="A2196" s="73"/>
      <c r="B2196" s="2"/>
      <c r="C2196" s="2"/>
      <c r="D2196" s="2"/>
      <c r="E2196" s="4"/>
      <c r="F2196" s="4"/>
      <c r="G2196" s="4"/>
      <c r="H2196" s="61"/>
      <c r="I2196" s="62"/>
      <c r="J2196" s="62"/>
      <c r="K2196" s="78"/>
      <c r="L2196" s="57"/>
      <c r="M2196" s="57"/>
    </row>
    <row r="2197" spans="1:13" ht="15" customHeight="1">
      <c r="A2197" s="73"/>
      <c r="B2197" s="2"/>
      <c r="C2197" s="2"/>
      <c r="D2197" s="2"/>
      <c r="E2197" s="4"/>
      <c r="F2197" s="4"/>
      <c r="G2197" s="4"/>
      <c r="H2197" s="61"/>
      <c r="I2197" s="62"/>
      <c r="J2197" s="62"/>
      <c r="K2197" s="78"/>
      <c r="L2197" s="57"/>
      <c r="M2197" s="57"/>
    </row>
    <row r="2198" spans="1:13" ht="15" customHeight="1">
      <c r="A2198" s="73"/>
      <c r="B2198" s="2"/>
      <c r="C2198" s="2"/>
      <c r="D2198" s="2"/>
      <c r="E2198" s="4"/>
      <c r="F2198" s="4"/>
      <c r="G2198" s="4"/>
      <c r="H2198" s="61"/>
      <c r="I2198" s="62"/>
      <c r="J2198" s="62"/>
      <c r="K2198" s="78"/>
      <c r="L2198" s="57"/>
      <c r="M2198" s="57"/>
    </row>
    <row r="2199" spans="1:13" ht="15" customHeight="1">
      <c r="A2199" s="73"/>
      <c r="B2199" s="2"/>
      <c r="C2199" s="2"/>
      <c r="D2199" s="2"/>
      <c r="E2199" s="4"/>
      <c r="F2199" s="4"/>
      <c r="G2199" s="4"/>
      <c r="H2199" s="61"/>
      <c r="I2199" s="62"/>
      <c r="J2199" s="62"/>
      <c r="K2199" s="78"/>
      <c r="L2199" s="57"/>
      <c r="M2199" s="57"/>
    </row>
    <row r="2200" spans="1:13" ht="15" customHeight="1">
      <c r="A2200" s="73"/>
      <c r="B2200" s="2"/>
      <c r="C2200" s="2"/>
      <c r="D2200" s="2"/>
      <c r="E2200" s="4"/>
      <c r="F2200" s="4"/>
      <c r="G2200" s="4"/>
      <c r="H2200" s="61"/>
      <c r="I2200" s="62"/>
      <c r="J2200" s="62"/>
      <c r="K2200" s="78"/>
      <c r="L2200" s="57"/>
      <c r="M2200" s="57"/>
    </row>
    <row r="2201" spans="1:13" ht="15" customHeight="1">
      <c r="A2201" s="73"/>
      <c r="B2201" s="2"/>
      <c r="C2201" s="2"/>
      <c r="D2201" s="2"/>
      <c r="E2201" s="4"/>
      <c r="F2201" s="4"/>
      <c r="G2201" s="4"/>
      <c r="H2201" s="61"/>
      <c r="I2201" s="62"/>
      <c r="J2201" s="62"/>
      <c r="K2201" s="78"/>
      <c r="L2201" s="57"/>
      <c r="M2201" s="57"/>
    </row>
    <row r="2202" spans="1:13" ht="15" customHeight="1">
      <c r="A2202" s="73"/>
      <c r="B2202" s="2"/>
      <c r="C2202" s="2"/>
      <c r="D2202" s="2"/>
      <c r="E2202" s="4"/>
      <c r="F2202" s="4"/>
      <c r="G2202" s="4"/>
      <c r="H2202" s="61"/>
      <c r="I2202" s="62"/>
      <c r="J2202" s="62"/>
      <c r="K2202" s="78"/>
      <c r="L2202" s="57"/>
      <c r="M2202" s="57"/>
    </row>
    <row r="2203" spans="1:13" ht="15" customHeight="1">
      <c r="A2203" s="73"/>
      <c r="B2203" s="2"/>
      <c r="C2203" s="2"/>
      <c r="D2203" s="2"/>
      <c r="E2203" s="4"/>
      <c r="F2203" s="4"/>
      <c r="G2203" s="4"/>
      <c r="H2203" s="61"/>
      <c r="I2203" s="62"/>
      <c r="J2203" s="62"/>
      <c r="K2203" s="78"/>
      <c r="L2203" s="57"/>
      <c r="M2203" s="57"/>
    </row>
    <row r="2204" spans="1:13" ht="15" customHeight="1">
      <c r="A2204" s="73"/>
      <c r="B2204" s="2"/>
      <c r="C2204" s="2"/>
      <c r="D2204" s="2"/>
      <c r="E2204" s="4"/>
      <c r="F2204" s="4"/>
      <c r="G2204" s="4"/>
      <c r="H2204" s="61"/>
      <c r="I2204" s="62"/>
      <c r="J2204" s="62"/>
      <c r="K2204" s="78"/>
      <c r="L2204" s="57"/>
      <c r="M2204" s="57"/>
    </row>
    <row r="2205" spans="1:13" ht="15" customHeight="1">
      <c r="A2205" s="73"/>
      <c r="B2205" s="2"/>
      <c r="C2205" s="2"/>
      <c r="D2205" s="2"/>
      <c r="E2205" s="4"/>
      <c r="F2205" s="4"/>
      <c r="G2205" s="4"/>
      <c r="H2205" s="61"/>
      <c r="I2205" s="62"/>
      <c r="J2205" s="62"/>
      <c r="K2205" s="78"/>
      <c r="L2205" s="57"/>
      <c r="M2205" s="57"/>
    </row>
    <row r="2206" spans="1:13" ht="15" customHeight="1">
      <c r="A2206" s="73"/>
      <c r="B2206" s="2"/>
      <c r="C2206" s="2"/>
      <c r="D2206" s="2"/>
      <c r="E2206" s="4"/>
      <c r="F2206" s="4"/>
      <c r="G2206" s="4"/>
      <c r="H2206" s="61"/>
      <c r="I2206" s="62"/>
      <c r="J2206" s="62"/>
      <c r="K2206" s="78"/>
      <c r="L2206" s="57"/>
      <c r="M2206" s="57"/>
    </row>
    <row r="2207" spans="1:13" ht="15" customHeight="1">
      <c r="A2207" s="73"/>
      <c r="B2207" s="2"/>
      <c r="C2207" s="2"/>
      <c r="D2207" s="2"/>
      <c r="E2207" s="4"/>
      <c r="F2207" s="4"/>
      <c r="G2207" s="4"/>
      <c r="H2207" s="61"/>
      <c r="I2207" s="62"/>
      <c r="J2207" s="62"/>
      <c r="K2207" s="78"/>
      <c r="L2207" s="57"/>
      <c r="M2207" s="57"/>
    </row>
    <row r="2208" spans="1:13" ht="15" customHeight="1">
      <c r="A2208" s="73"/>
      <c r="B2208" s="2"/>
      <c r="C2208" s="2"/>
      <c r="D2208" s="2"/>
      <c r="E2208" s="4"/>
      <c r="F2208" s="4"/>
      <c r="G2208" s="4"/>
      <c r="H2208" s="61"/>
      <c r="I2208" s="62"/>
      <c r="J2208" s="62"/>
      <c r="K2208" s="78"/>
      <c r="L2208" s="57"/>
      <c r="M2208" s="57"/>
    </row>
    <row r="2209" spans="1:13" ht="15" customHeight="1">
      <c r="A2209" s="73"/>
      <c r="B2209" s="2"/>
      <c r="C2209" s="2"/>
      <c r="D2209" s="2"/>
      <c r="E2209" s="4"/>
      <c r="F2209" s="4"/>
      <c r="G2209" s="4"/>
      <c r="H2209" s="61"/>
      <c r="I2209" s="62"/>
      <c r="J2209" s="62"/>
      <c r="K2209" s="78"/>
      <c r="L2209" s="57"/>
      <c r="M2209" s="57"/>
    </row>
    <row r="2210" spans="1:13" ht="15" customHeight="1">
      <c r="A2210" s="73"/>
      <c r="B2210" s="2"/>
      <c r="C2210" s="2"/>
      <c r="D2210" s="2"/>
      <c r="E2210" s="4"/>
      <c r="F2210" s="4"/>
      <c r="G2210" s="4"/>
      <c r="H2210" s="61"/>
      <c r="I2210" s="62"/>
      <c r="J2210" s="62"/>
      <c r="K2210" s="78"/>
      <c r="L2210" s="57"/>
      <c r="M2210" s="57"/>
    </row>
    <row r="2211" spans="1:13" ht="15" customHeight="1">
      <c r="A2211" s="73"/>
      <c r="B2211" s="2"/>
      <c r="C2211" s="2"/>
      <c r="D2211" s="2"/>
      <c r="E2211" s="4"/>
      <c r="F2211" s="4"/>
      <c r="G2211" s="4"/>
      <c r="H2211" s="61"/>
      <c r="I2211" s="62"/>
      <c r="J2211" s="62"/>
      <c r="K2211" s="78"/>
      <c r="L2211" s="57"/>
      <c r="M2211" s="57"/>
    </row>
    <row r="2212" spans="1:13" ht="15" customHeight="1">
      <c r="A2212" s="73"/>
      <c r="B2212" s="2"/>
      <c r="C2212" s="2"/>
      <c r="D2212" s="2"/>
      <c r="E2212" s="4"/>
      <c r="F2212" s="4"/>
      <c r="G2212" s="4"/>
      <c r="H2212" s="61"/>
      <c r="I2212" s="62"/>
      <c r="J2212" s="62"/>
      <c r="K2212" s="78"/>
      <c r="L2212" s="57"/>
      <c r="M2212" s="57"/>
    </row>
    <row r="2213" spans="1:13" ht="15" customHeight="1">
      <c r="A2213" s="73"/>
      <c r="B2213" s="2"/>
      <c r="C2213" s="2"/>
      <c r="D2213" s="2"/>
      <c r="E2213" s="4"/>
      <c r="F2213" s="4"/>
      <c r="G2213" s="4"/>
      <c r="H2213" s="61"/>
      <c r="I2213" s="62"/>
      <c r="J2213" s="62"/>
      <c r="K2213" s="78"/>
      <c r="L2213" s="57"/>
      <c r="M2213" s="57"/>
    </row>
    <row r="2214" spans="1:13" ht="15" customHeight="1">
      <c r="A2214" s="73"/>
      <c r="B2214" s="2"/>
      <c r="C2214" s="2"/>
      <c r="D2214" s="2"/>
      <c r="E2214" s="4"/>
      <c r="F2214" s="4"/>
      <c r="G2214" s="4"/>
      <c r="H2214" s="61"/>
      <c r="I2214" s="62"/>
      <c r="J2214" s="62"/>
      <c r="K2214" s="78"/>
      <c r="L2214" s="57"/>
      <c r="M2214" s="57"/>
    </row>
    <row r="2215" spans="1:13" ht="15" customHeight="1">
      <c r="A2215" s="73"/>
      <c r="B2215" s="2"/>
      <c r="C2215" s="2"/>
      <c r="D2215" s="2"/>
      <c r="E2215" s="4"/>
      <c r="F2215" s="4"/>
      <c r="G2215" s="4"/>
      <c r="H2215" s="61"/>
      <c r="I2215" s="62"/>
      <c r="J2215" s="62"/>
      <c r="K2215" s="78"/>
      <c r="L2215" s="57"/>
      <c r="M2215" s="57"/>
    </row>
    <row r="2216" spans="1:13" ht="15" customHeight="1">
      <c r="A2216" s="73"/>
      <c r="B2216" s="2"/>
      <c r="C2216" s="2"/>
      <c r="D2216" s="2"/>
      <c r="E2216" s="4"/>
      <c r="F2216" s="4"/>
      <c r="G2216" s="4"/>
      <c r="H2216" s="61"/>
      <c r="I2216" s="62"/>
      <c r="J2216" s="62"/>
      <c r="K2216" s="78"/>
      <c r="L2216" s="57"/>
      <c r="M2216" s="57"/>
    </row>
    <row r="2217" spans="1:13" ht="15" customHeight="1">
      <c r="A2217" s="73"/>
      <c r="B2217" s="2"/>
      <c r="C2217" s="2"/>
      <c r="D2217" s="2"/>
      <c r="E2217" s="4"/>
      <c r="F2217" s="4"/>
      <c r="G2217" s="4"/>
      <c r="H2217" s="61"/>
      <c r="I2217" s="62"/>
      <c r="J2217" s="62"/>
      <c r="K2217" s="78"/>
      <c r="L2217" s="57"/>
      <c r="M2217" s="57"/>
    </row>
    <row r="2218" spans="1:13" ht="15" customHeight="1">
      <c r="A2218" s="73"/>
      <c r="B2218" s="2"/>
      <c r="C2218" s="2"/>
      <c r="D2218" s="2"/>
      <c r="E2218" s="4"/>
      <c r="F2218" s="4"/>
      <c r="G2218" s="4"/>
      <c r="H2218" s="61"/>
      <c r="I2218" s="62"/>
      <c r="J2218" s="62"/>
      <c r="K2218" s="78"/>
      <c r="L2218" s="57"/>
      <c r="M2218" s="57"/>
    </row>
    <row r="2219" spans="1:13" ht="15" customHeight="1">
      <c r="A2219" s="73"/>
      <c r="B2219" s="2"/>
      <c r="C2219" s="2"/>
      <c r="D2219" s="2"/>
      <c r="E2219" s="4"/>
      <c r="F2219" s="4"/>
      <c r="G2219" s="4"/>
      <c r="H2219" s="61"/>
      <c r="I2219" s="62"/>
      <c r="J2219" s="62"/>
      <c r="K2219" s="78"/>
      <c r="L2219" s="57"/>
      <c r="M2219" s="57"/>
    </row>
    <row r="2220" spans="1:13" ht="15" customHeight="1">
      <c r="A2220" s="73"/>
      <c r="B2220" s="2"/>
      <c r="C2220" s="2"/>
      <c r="D2220" s="2"/>
      <c r="E2220" s="4"/>
      <c r="F2220" s="4"/>
      <c r="G2220" s="4"/>
      <c r="H2220" s="61"/>
      <c r="I2220" s="62"/>
      <c r="J2220" s="62"/>
      <c r="K2220" s="78"/>
      <c r="L2220" s="57"/>
      <c r="M2220" s="57"/>
    </row>
    <row r="2221" spans="1:13" ht="15" customHeight="1">
      <c r="A2221" s="73"/>
      <c r="B2221" s="2"/>
      <c r="C2221" s="2"/>
      <c r="D2221" s="2"/>
      <c r="E2221" s="4"/>
      <c r="F2221" s="4"/>
      <c r="G2221" s="4"/>
      <c r="H2221" s="61"/>
      <c r="I2221" s="62"/>
      <c r="J2221" s="62"/>
      <c r="K2221" s="78"/>
      <c r="L2221" s="57"/>
      <c r="M2221" s="57"/>
    </row>
    <row r="2222" spans="1:13" ht="15" customHeight="1">
      <c r="A2222" s="73"/>
      <c r="B2222" s="2"/>
      <c r="C2222" s="2"/>
      <c r="D2222" s="2"/>
      <c r="E2222" s="4"/>
      <c r="F2222" s="4"/>
      <c r="G2222" s="4"/>
      <c r="H2222" s="61"/>
      <c r="I2222" s="62"/>
      <c r="J2222" s="62"/>
      <c r="K2222" s="78"/>
      <c r="L2222" s="57"/>
      <c r="M2222" s="57"/>
    </row>
    <row r="2223" spans="1:13" ht="15" customHeight="1">
      <c r="A2223" s="73"/>
      <c r="B2223" s="2"/>
      <c r="C2223" s="2"/>
      <c r="D2223" s="2"/>
      <c r="E2223" s="4"/>
      <c r="F2223" s="4"/>
      <c r="G2223" s="4"/>
      <c r="H2223" s="61"/>
      <c r="I2223" s="62"/>
      <c r="J2223" s="62"/>
      <c r="K2223" s="78"/>
      <c r="L2223" s="57"/>
      <c r="M2223" s="57"/>
    </row>
    <row r="2224" spans="1:13" ht="15" customHeight="1">
      <c r="A2224" s="73"/>
      <c r="B2224" s="2"/>
      <c r="C2224" s="2"/>
      <c r="D2224" s="2"/>
      <c r="E2224" s="4"/>
      <c r="F2224" s="4"/>
      <c r="G2224" s="4"/>
      <c r="H2224" s="61"/>
      <c r="I2224" s="62"/>
      <c r="J2224" s="62"/>
      <c r="K2224" s="78"/>
      <c r="L2224" s="57"/>
      <c r="M2224" s="57"/>
    </row>
    <row r="2225" spans="1:13" ht="15" customHeight="1">
      <c r="A2225" s="73"/>
      <c r="B2225" s="2"/>
      <c r="C2225" s="2"/>
      <c r="D2225" s="2"/>
      <c r="E2225" s="4"/>
      <c r="F2225" s="4"/>
      <c r="G2225" s="4"/>
      <c r="H2225" s="61"/>
      <c r="I2225" s="62"/>
      <c r="J2225" s="62"/>
      <c r="K2225" s="78"/>
      <c r="L2225" s="57"/>
      <c r="M2225" s="57"/>
    </row>
    <row r="2226" spans="1:13" ht="15" customHeight="1">
      <c r="A2226" s="73"/>
      <c r="B2226" s="2"/>
      <c r="C2226" s="2"/>
      <c r="D2226" s="2"/>
      <c r="E2226" s="4"/>
      <c r="F2226" s="4"/>
      <c r="G2226" s="4"/>
      <c r="H2226" s="61"/>
      <c r="I2226" s="62"/>
      <c r="J2226" s="62"/>
      <c r="K2226" s="78"/>
      <c r="L2226" s="57"/>
      <c r="M2226" s="57"/>
    </row>
    <row r="2227" spans="1:13" ht="15" customHeight="1">
      <c r="A2227" s="73"/>
      <c r="B2227" s="2"/>
      <c r="C2227" s="2"/>
      <c r="D2227" s="2"/>
      <c r="E2227" s="4"/>
      <c r="F2227" s="4"/>
      <c r="G2227" s="4"/>
      <c r="H2227" s="61"/>
      <c r="I2227" s="62"/>
      <c r="J2227" s="62"/>
      <c r="K2227" s="78"/>
      <c r="L2227" s="57"/>
      <c r="M2227" s="57"/>
    </row>
    <row r="2228" spans="1:13" ht="15" customHeight="1">
      <c r="A2228" s="73"/>
      <c r="B2228" s="2"/>
      <c r="C2228" s="2"/>
      <c r="D2228" s="2"/>
      <c r="E2228" s="4"/>
      <c r="F2228" s="4"/>
      <c r="G2228" s="4"/>
      <c r="H2228" s="61"/>
      <c r="I2228" s="62"/>
      <c r="J2228" s="62"/>
      <c r="K2228" s="78"/>
      <c r="L2228" s="57"/>
      <c r="M2228" s="57"/>
    </row>
    <row r="2229" spans="1:13" ht="15" customHeight="1">
      <c r="A2229" s="73"/>
      <c r="B2229" s="2"/>
      <c r="C2229" s="2"/>
      <c r="D2229" s="2"/>
      <c r="E2229" s="4"/>
      <c r="F2229" s="4"/>
      <c r="G2229" s="4"/>
      <c r="H2229" s="61"/>
      <c r="I2229" s="62"/>
      <c r="J2229" s="62"/>
      <c r="K2229" s="78"/>
      <c r="L2229" s="57"/>
      <c r="M2229" s="57"/>
    </row>
    <row r="2230" spans="1:13" ht="15" customHeight="1">
      <c r="A2230" s="73"/>
      <c r="B2230" s="2"/>
      <c r="C2230" s="2"/>
      <c r="D2230" s="2"/>
      <c r="E2230" s="4"/>
      <c r="F2230" s="4"/>
      <c r="G2230" s="4"/>
      <c r="H2230" s="61"/>
      <c r="I2230" s="62"/>
      <c r="J2230" s="62"/>
      <c r="K2230" s="78"/>
      <c r="L2230" s="57"/>
      <c r="M2230" s="57"/>
    </row>
    <row r="2231" spans="1:13" ht="15" customHeight="1">
      <c r="A2231" s="73"/>
      <c r="B2231" s="2"/>
      <c r="C2231" s="2"/>
      <c r="D2231" s="2"/>
      <c r="E2231" s="4"/>
      <c r="F2231" s="4"/>
      <c r="G2231" s="4"/>
      <c r="H2231" s="61"/>
      <c r="I2231" s="62"/>
      <c r="J2231" s="62"/>
      <c r="K2231" s="78"/>
      <c r="L2231" s="57"/>
      <c r="M2231" s="57"/>
    </row>
    <row r="2232" spans="1:13" ht="15" customHeight="1">
      <c r="A2232" s="73"/>
      <c r="B2232" s="2"/>
      <c r="C2232" s="2"/>
      <c r="D2232" s="2"/>
      <c r="E2232" s="4"/>
      <c r="F2232" s="4"/>
      <c r="G2232" s="4"/>
      <c r="H2232" s="61"/>
      <c r="I2232" s="62"/>
      <c r="J2232" s="62"/>
      <c r="K2232" s="78"/>
      <c r="L2232" s="57"/>
      <c r="M2232" s="57"/>
    </row>
    <row r="2233" spans="1:13" ht="15" customHeight="1">
      <c r="A2233" s="73"/>
      <c r="B2233" s="2"/>
      <c r="C2233" s="2"/>
      <c r="D2233" s="2"/>
      <c r="E2233" s="4"/>
      <c r="F2233" s="4"/>
      <c r="G2233" s="4"/>
      <c r="H2233" s="61"/>
      <c r="I2233" s="62"/>
      <c r="J2233" s="62"/>
      <c r="K2233" s="78"/>
      <c r="L2233" s="57"/>
      <c r="M2233" s="57"/>
    </row>
    <row r="2234" spans="1:13" ht="15" customHeight="1">
      <c r="A2234" s="73"/>
      <c r="B2234" s="2"/>
      <c r="C2234" s="2"/>
      <c r="D2234" s="2"/>
      <c r="E2234" s="4"/>
      <c r="F2234" s="4"/>
      <c r="G2234" s="4"/>
      <c r="H2234" s="61"/>
      <c r="I2234" s="62"/>
      <c r="J2234" s="62"/>
      <c r="K2234" s="78"/>
      <c r="L2234" s="57"/>
      <c r="M2234" s="57"/>
    </row>
    <row r="2235" spans="1:13" ht="15" customHeight="1">
      <c r="A2235" s="73"/>
      <c r="B2235" s="2"/>
      <c r="C2235" s="2"/>
      <c r="D2235" s="2"/>
      <c r="E2235" s="4"/>
      <c r="F2235" s="4"/>
      <c r="G2235" s="4"/>
      <c r="H2235" s="61"/>
      <c r="I2235" s="62"/>
      <c r="J2235" s="62"/>
      <c r="K2235" s="78"/>
      <c r="L2235" s="57"/>
      <c r="M2235" s="57"/>
    </row>
    <row r="2236" spans="1:13" ht="15" customHeight="1">
      <c r="A2236" s="73"/>
      <c r="B2236" s="2"/>
      <c r="C2236" s="2"/>
      <c r="D2236" s="2"/>
      <c r="E2236" s="4"/>
      <c r="F2236" s="4"/>
      <c r="G2236" s="4"/>
      <c r="H2236" s="61"/>
      <c r="I2236" s="62"/>
      <c r="J2236" s="62"/>
      <c r="K2236" s="78"/>
      <c r="L2236" s="57"/>
      <c r="M2236" s="57"/>
    </row>
    <row r="2237" spans="1:13" ht="15" customHeight="1">
      <c r="A2237" s="73"/>
      <c r="B2237" s="2"/>
      <c r="C2237" s="2"/>
      <c r="D2237" s="2"/>
      <c r="E2237" s="4"/>
      <c r="F2237" s="4"/>
      <c r="G2237" s="4"/>
      <c r="H2237" s="61"/>
      <c r="I2237" s="62"/>
      <c r="J2237" s="62"/>
      <c r="K2237" s="78"/>
      <c r="L2237" s="57"/>
      <c r="M2237" s="57"/>
    </row>
    <row r="2238" spans="1:13" ht="15" customHeight="1">
      <c r="A2238" s="73"/>
      <c r="B2238" s="2"/>
      <c r="C2238" s="2"/>
      <c r="D2238" s="2"/>
      <c r="E2238" s="4"/>
      <c r="F2238" s="4"/>
      <c r="G2238" s="4"/>
      <c r="H2238" s="61"/>
      <c r="I2238" s="62"/>
      <c r="J2238" s="62"/>
      <c r="K2238" s="78"/>
      <c r="L2238" s="57"/>
      <c r="M2238" s="57"/>
    </row>
    <row r="2239" spans="1:13" ht="15" customHeight="1">
      <c r="A2239" s="73"/>
      <c r="B2239" s="2"/>
      <c r="C2239" s="2"/>
      <c r="D2239" s="2"/>
      <c r="E2239" s="4"/>
      <c r="F2239" s="4"/>
      <c r="G2239" s="4"/>
      <c r="H2239" s="61"/>
      <c r="I2239" s="62"/>
      <c r="J2239" s="62"/>
      <c r="K2239" s="78"/>
      <c r="L2239" s="57"/>
      <c r="M2239" s="57"/>
    </row>
    <row r="2240" spans="1:13" ht="15" customHeight="1">
      <c r="A2240" s="73"/>
      <c r="B2240" s="2"/>
      <c r="C2240" s="2"/>
      <c r="D2240" s="2"/>
      <c r="E2240" s="4"/>
      <c r="F2240" s="4"/>
      <c r="G2240" s="4"/>
      <c r="H2240" s="61"/>
      <c r="I2240" s="62"/>
      <c r="J2240" s="62"/>
      <c r="K2240" s="78"/>
      <c r="L2240" s="57"/>
      <c r="M2240" s="57"/>
    </row>
    <row r="2241" spans="1:13" ht="15" customHeight="1">
      <c r="A2241" s="73"/>
      <c r="B2241" s="2"/>
      <c r="C2241" s="2"/>
      <c r="D2241" s="2"/>
      <c r="E2241" s="4"/>
      <c r="F2241" s="4"/>
      <c r="G2241" s="4"/>
      <c r="H2241" s="61"/>
      <c r="I2241" s="62"/>
      <c r="J2241" s="62"/>
      <c r="K2241" s="78"/>
      <c r="L2241" s="57"/>
      <c r="M2241" s="57"/>
    </row>
    <row r="2242" spans="1:13" ht="15" customHeight="1">
      <c r="A2242" s="73"/>
      <c r="B2242" s="2"/>
      <c r="C2242" s="2"/>
      <c r="D2242" s="2"/>
      <c r="E2242" s="4"/>
      <c r="F2242" s="4"/>
      <c r="G2242" s="4"/>
      <c r="H2242" s="61"/>
      <c r="I2242" s="62"/>
      <c r="J2242" s="62"/>
      <c r="K2242" s="78"/>
      <c r="L2242" s="57"/>
      <c r="M2242" s="57"/>
    </row>
    <row r="2243" spans="1:13" ht="15" customHeight="1">
      <c r="A2243" s="73"/>
      <c r="B2243" s="2"/>
      <c r="C2243" s="2"/>
      <c r="D2243" s="2"/>
      <c r="E2243" s="4"/>
      <c r="F2243" s="4"/>
      <c r="G2243" s="4"/>
      <c r="H2243" s="61"/>
      <c r="I2243" s="62"/>
      <c r="J2243" s="62"/>
      <c r="K2243" s="78"/>
      <c r="L2243" s="57"/>
      <c r="M2243" s="57"/>
    </row>
    <row r="2244" spans="1:13" ht="15" customHeight="1">
      <c r="A2244" s="73"/>
      <c r="B2244" s="2"/>
      <c r="C2244" s="2"/>
      <c r="D2244" s="2"/>
      <c r="E2244" s="4"/>
      <c r="F2244" s="4"/>
      <c r="G2244" s="4"/>
      <c r="H2244" s="61"/>
      <c r="I2244" s="62"/>
      <c r="J2244" s="62"/>
      <c r="K2244" s="78"/>
      <c r="L2244" s="57"/>
      <c r="M2244" s="57"/>
    </row>
    <row r="2245" spans="1:13" ht="15" customHeight="1">
      <c r="A2245" s="73"/>
      <c r="B2245" s="2"/>
      <c r="C2245" s="2"/>
      <c r="D2245" s="2"/>
      <c r="E2245" s="4"/>
      <c r="F2245" s="4"/>
      <c r="G2245" s="4"/>
      <c r="H2245" s="61"/>
      <c r="I2245" s="62"/>
      <c r="J2245" s="62"/>
      <c r="K2245" s="78"/>
      <c r="L2245" s="57"/>
      <c r="M2245" s="57"/>
    </row>
    <row r="2246" spans="1:13" ht="15" customHeight="1">
      <c r="A2246" s="73"/>
      <c r="B2246" s="2"/>
      <c r="C2246" s="2"/>
      <c r="D2246" s="2"/>
      <c r="E2246" s="4"/>
      <c r="F2246" s="4"/>
      <c r="G2246" s="4"/>
      <c r="H2246" s="61"/>
      <c r="I2246" s="62"/>
      <c r="J2246" s="62"/>
      <c r="K2246" s="78"/>
      <c r="L2246" s="57"/>
      <c r="M2246" s="57"/>
    </row>
    <row r="2247" spans="1:13" ht="15" customHeight="1">
      <c r="A2247" s="73"/>
      <c r="B2247" s="2"/>
      <c r="C2247" s="2"/>
      <c r="D2247" s="2"/>
      <c r="E2247" s="4"/>
      <c r="F2247" s="4"/>
      <c r="G2247" s="4"/>
      <c r="H2247" s="61"/>
      <c r="I2247" s="62"/>
      <c r="J2247" s="62"/>
      <c r="K2247" s="78"/>
      <c r="L2247" s="57"/>
      <c r="M2247" s="57"/>
    </row>
    <row r="2248" spans="1:13" ht="15" customHeight="1">
      <c r="A2248" s="73"/>
      <c r="B2248" s="2"/>
      <c r="C2248" s="2"/>
      <c r="D2248" s="2"/>
      <c r="E2248" s="4"/>
      <c r="F2248" s="4"/>
      <c r="G2248" s="4"/>
      <c r="H2248" s="61"/>
      <c r="I2248" s="62"/>
      <c r="J2248" s="62"/>
      <c r="K2248" s="78"/>
      <c r="L2248" s="57"/>
      <c r="M2248" s="57"/>
    </row>
    <row r="2249" spans="1:13" ht="15" customHeight="1">
      <c r="A2249" s="73"/>
      <c r="B2249" s="2"/>
      <c r="C2249" s="2"/>
      <c r="D2249" s="2"/>
      <c r="E2249" s="4"/>
      <c r="F2249" s="4"/>
      <c r="G2249" s="4"/>
      <c r="H2249" s="61"/>
      <c r="I2249" s="62"/>
      <c r="J2249" s="62"/>
      <c r="K2249" s="78"/>
      <c r="L2249" s="57"/>
      <c r="M2249" s="57"/>
    </row>
    <row r="2250" spans="1:13" ht="15" customHeight="1">
      <c r="A2250" s="73"/>
      <c r="B2250" s="2"/>
      <c r="C2250" s="2"/>
      <c r="D2250" s="2"/>
      <c r="E2250" s="4"/>
      <c r="F2250" s="4"/>
      <c r="G2250" s="4"/>
      <c r="H2250" s="61"/>
      <c r="I2250" s="62"/>
      <c r="J2250" s="62"/>
      <c r="K2250" s="78"/>
      <c r="L2250" s="57"/>
      <c r="M2250" s="57"/>
    </row>
    <row r="2251" spans="1:13" ht="15" customHeight="1">
      <c r="A2251" s="73"/>
      <c r="B2251" s="2"/>
      <c r="C2251" s="2"/>
      <c r="D2251" s="2"/>
      <c r="E2251" s="4"/>
      <c r="F2251" s="4"/>
      <c r="G2251" s="4"/>
      <c r="H2251" s="61"/>
      <c r="I2251" s="62"/>
      <c r="J2251" s="62"/>
      <c r="K2251" s="78"/>
      <c r="L2251" s="57"/>
      <c r="M2251" s="57"/>
    </row>
    <row r="2252" spans="1:13" ht="15" customHeight="1">
      <c r="A2252" s="73"/>
      <c r="B2252" s="2"/>
      <c r="C2252" s="2"/>
      <c r="D2252" s="2"/>
      <c r="E2252" s="4"/>
      <c r="F2252" s="4"/>
      <c r="G2252" s="4"/>
      <c r="H2252" s="61"/>
      <c r="I2252" s="62"/>
      <c r="J2252" s="62"/>
      <c r="K2252" s="78"/>
      <c r="L2252" s="57"/>
      <c r="M2252" s="57"/>
    </row>
    <row r="2253" spans="1:13" ht="15" customHeight="1">
      <c r="A2253" s="73"/>
      <c r="B2253" s="2"/>
      <c r="C2253" s="2"/>
      <c r="D2253" s="2"/>
      <c r="E2253" s="4"/>
      <c r="F2253" s="4"/>
      <c r="G2253" s="4"/>
      <c r="H2253" s="61"/>
      <c r="I2253" s="62"/>
      <c r="J2253" s="62"/>
      <c r="K2253" s="78"/>
      <c r="L2253" s="57"/>
      <c r="M2253" s="57"/>
    </row>
    <row r="2254" spans="1:13" ht="15" customHeight="1">
      <c r="A2254" s="73"/>
      <c r="B2254" s="2"/>
      <c r="C2254" s="2"/>
      <c r="D2254" s="2"/>
      <c r="E2254" s="4"/>
      <c r="F2254" s="4"/>
      <c r="G2254" s="4"/>
      <c r="H2254" s="61"/>
      <c r="I2254" s="62"/>
      <c r="J2254" s="62"/>
      <c r="K2254" s="78"/>
      <c r="L2254" s="57"/>
      <c r="M2254" s="57"/>
    </row>
    <row r="2255" spans="1:13" ht="15" customHeight="1">
      <c r="A2255" s="73"/>
      <c r="B2255" s="2"/>
      <c r="C2255" s="2"/>
      <c r="D2255" s="2"/>
      <c r="E2255" s="4"/>
      <c r="F2255" s="4"/>
      <c r="G2255" s="4"/>
      <c r="H2255" s="61"/>
      <c r="I2255" s="62"/>
      <c r="J2255" s="62"/>
      <c r="K2255" s="78"/>
      <c r="L2255" s="57"/>
      <c r="M2255" s="57"/>
    </row>
    <row r="2256" spans="1:13" ht="15" customHeight="1">
      <c r="A2256" s="73"/>
      <c r="B2256" s="2"/>
      <c r="C2256" s="2"/>
      <c r="D2256" s="2"/>
      <c r="E2256" s="4"/>
      <c r="F2256" s="4"/>
      <c r="G2256" s="4"/>
      <c r="H2256" s="61"/>
      <c r="I2256" s="62"/>
      <c r="J2256" s="62"/>
      <c r="K2256" s="78"/>
      <c r="L2256" s="57"/>
      <c r="M2256" s="57"/>
    </row>
    <row r="2257" spans="1:13" ht="15" customHeight="1">
      <c r="A2257" s="73"/>
      <c r="B2257" s="2"/>
      <c r="C2257" s="2"/>
      <c r="D2257" s="2"/>
      <c r="E2257" s="4"/>
      <c r="F2257" s="4"/>
      <c r="G2257" s="4"/>
      <c r="H2257" s="61"/>
      <c r="I2257" s="62"/>
      <c r="J2257" s="62"/>
      <c r="K2257" s="78"/>
      <c r="L2257" s="57"/>
      <c r="M2257" s="57"/>
    </row>
    <row r="2258" spans="1:13" ht="15" customHeight="1">
      <c r="A2258" s="73"/>
      <c r="B2258" s="2"/>
      <c r="C2258" s="2"/>
      <c r="D2258" s="2"/>
      <c r="E2258" s="4"/>
      <c r="F2258" s="4"/>
      <c r="G2258" s="4"/>
      <c r="H2258" s="61"/>
      <c r="I2258" s="62"/>
      <c r="J2258" s="62"/>
      <c r="K2258" s="78"/>
      <c r="L2258" s="57"/>
      <c r="M2258" s="57"/>
    </row>
    <row r="2259" spans="1:13" ht="15" customHeight="1">
      <c r="A2259" s="73"/>
      <c r="B2259" s="2"/>
      <c r="C2259" s="2"/>
      <c r="D2259" s="2"/>
      <c r="E2259" s="4"/>
      <c r="F2259" s="4"/>
      <c r="G2259" s="4"/>
      <c r="H2259" s="61"/>
      <c r="I2259" s="62"/>
      <c r="J2259" s="62"/>
      <c r="K2259" s="78"/>
      <c r="L2259" s="57"/>
      <c r="M2259" s="57"/>
    </row>
    <row r="2260" spans="1:13" ht="15" customHeight="1">
      <c r="A2260" s="73"/>
      <c r="B2260" s="2"/>
      <c r="C2260" s="2"/>
      <c r="D2260" s="2"/>
      <c r="E2260" s="4"/>
      <c r="F2260" s="4"/>
      <c r="G2260" s="4"/>
      <c r="H2260" s="61"/>
      <c r="I2260" s="62"/>
      <c r="J2260" s="62"/>
      <c r="K2260" s="78"/>
      <c r="L2260" s="57"/>
      <c r="M2260" s="57"/>
    </row>
    <row r="2261" spans="1:13" ht="15" customHeight="1">
      <c r="A2261" s="73"/>
      <c r="B2261" s="2"/>
      <c r="C2261" s="2"/>
      <c r="D2261" s="2"/>
      <c r="E2261" s="4"/>
      <c r="F2261" s="4"/>
      <c r="G2261" s="4"/>
      <c r="H2261" s="61"/>
      <c r="I2261" s="62"/>
      <c r="J2261" s="62"/>
      <c r="K2261" s="78"/>
      <c r="L2261" s="57"/>
      <c r="M2261" s="57"/>
    </row>
    <row r="2262" spans="1:13" ht="15" customHeight="1">
      <c r="A2262" s="73"/>
      <c r="B2262" s="2"/>
      <c r="C2262" s="2"/>
      <c r="D2262" s="2"/>
      <c r="E2262" s="4"/>
      <c r="F2262" s="4"/>
      <c r="G2262" s="4"/>
      <c r="H2262" s="61"/>
      <c r="I2262" s="62"/>
      <c r="J2262" s="62"/>
      <c r="K2262" s="78"/>
      <c r="L2262" s="57"/>
      <c r="M2262" s="57"/>
    </row>
    <row r="2263" spans="1:13" ht="15" customHeight="1">
      <c r="A2263" s="73"/>
      <c r="B2263" s="2"/>
      <c r="C2263" s="2"/>
      <c r="D2263" s="2"/>
      <c r="E2263" s="4"/>
      <c r="F2263" s="4"/>
      <c r="G2263" s="4"/>
      <c r="H2263" s="61"/>
      <c r="I2263" s="62"/>
      <c r="J2263" s="62"/>
      <c r="K2263" s="78"/>
      <c r="L2263" s="57"/>
      <c r="M2263" s="57"/>
    </row>
    <row r="2264" spans="1:13" ht="15" customHeight="1">
      <c r="A2264" s="73"/>
      <c r="B2264" s="2"/>
      <c r="C2264" s="2"/>
      <c r="D2264" s="2"/>
      <c r="E2264" s="4"/>
      <c r="F2264" s="4"/>
      <c r="G2264" s="4"/>
      <c r="H2264" s="61"/>
      <c r="I2264" s="62"/>
      <c r="J2264" s="62"/>
      <c r="K2264" s="78"/>
      <c r="L2264" s="57"/>
      <c r="M2264" s="57"/>
    </row>
    <row r="2265" spans="1:13" ht="15" customHeight="1">
      <c r="A2265" s="73"/>
      <c r="B2265" s="2"/>
      <c r="C2265" s="2"/>
      <c r="D2265" s="2"/>
      <c r="E2265" s="4"/>
      <c r="F2265" s="4"/>
      <c r="G2265" s="4"/>
      <c r="H2265" s="61"/>
      <c r="I2265" s="62"/>
      <c r="J2265" s="62"/>
      <c r="K2265" s="78"/>
      <c r="L2265" s="57"/>
      <c r="M2265" s="57"/>
    </row>
    <row r="2266" spans="1:13" ht="15" customHeight="1">
      <c r="A2266" s="73"/>
      <c r="B2266" s="2"/>
      <c r="C2266" s="2"/>
      <c r="D2266" s="2"/>
      <c r="E2266" s="4"/>
      <c r="F2266" s="4"/>
      <c r="G2266" s="4"/>
      <c r="H2266" s="61"/>
      <c r="I2266" s="62"/>
      <c r="J2266" s="62"/>
      <c r="K2266" s="78"/>
      <c r="L2266" s="57"/>
      <c r="M2266" s="57"/>
    </row>
    <row r="2267" spans="1:13" ht="15" customHeight="1">
      <c r="A2267" s="73"/>
      <c r="B2267" s="2"/>
      <c r="C2267" s="2"/>
      <c r="D2267" s="2"/>
      <c r="E2267" s="4"/>
      <c r="F2267" s="4"/>
      <c r="G2267" s="4"/>
      <c r="H2267" s="61"/>
      <c r="I2267" s="62"/>
      <c r="J2267" s="62"/>
      <c r="K2267" s="78"/>
      <c r="L2267" s="57"/>
      <c r="M2267" s="57"/>
    </row>
    <row r="2268" spans="1:13" ht="15" customHeight="1">
      <c r="A2268" s="73"/>
      <c r="B2268" s="2"/>
      <c r="C2268" s="2"/>
      <c r="D2268" s="2"/>
      <c r="E2268" s="4"/>
      <c r="F2268" s="4"/>
      <c r="G2268" s="4"/>
      <c r="H2268" s="61"/>
      <c r="I2268" s="62"/>
      <c r="J2268" s="62"/>
      <c r="K2268" s="78"/>
      <c r="L2268" s="57"/>
      <c r="M2268" s="57"/>
    </row>
    <row r="2269" spans="1:13" ht="15" customHeight="1">
      <c r="A2269" s="73"/>
      <c r="B2269" s="2"/>
      <c r="C2269" s="2"/>
      <c r="D2269" s="2"/>
      <c r="E2269" s="4"/>
      <c r="F2269" s="4"/>
      <c r="G2269" s="4"/>
      <c r="H2269" s="61"/>
      <c r="I2269" s="62"/>
      <c r="J2269" s="62"/>
      <c r="K2269" s="78"/>
      <c r="L2269" s="57"/>
      <c r="M2269" s="57"/>
    </row>
    <row r="2270" spans="1:13" ht="15" customHeight="1">
      <c r="A2270" s="73"/>
      <c r="B2270" s="2"/>
      <c r="C2270" s="2"/>
      <c r="D2270" s="2"/>
      <c r="E2270" s="4"/>
      <c r="F2270" s="4"/>
      <c r="G2270" s="4"/>
      <c r="H2270" s="61"/>
      <c r="I2270" s="62"/>
      <c r="J2270" s="62"/>
      <c r="K2270" s="78"/>
      <c r="L2270" s="57"/>
      <c r="M2270" s="57"/>
    </row>
    <row r="2271" spans="1:13" ht="15" customHeight="1">
      <c r="A2271" s="73"/>
      <c r="B2271" s="2"/>
      <c r="C2271" s="2"/>
      <c r="D2271" s="2"/>
      <c r="E2271" s="4"/>
      <c r="F2271" s="4"/>
      <c r="G2271" s="4"/>
      <c r="H2271" s="61"/>
      <c r="I2271" s="62"/>
      <c r="J2271" s="62"/>
      <c r="K2271" s="78"/>
      <c r="L2271" s="57"/>
      <c r="M2271" s="57"/>
    </row>
    <row r="2272" spans="1:13" ht="15" customHeight="1">
      <c r="A2272" s="73"/>
      <c r="B2272" s="2"/>
      <c r="C2272" s="2"/>
      <c r="D2272" s="2"/>
      <c r="E2272" s="4"/>
      <c r="F2272" s="4"/>
      <c r="G2272" s="4"/>
      <c r="H2272" s="61"/>
      <c r="I2272" s="62"/>
      <c r="J2272" s="62"/>
      <c r="K2272" s="78"/>
      <c r="L2272" s="57"/>
      <c r="M2272" s="57"/>
    </row>
    <row r="2273" spans="1:13" ht="15" customHeight="1">
      <c r="A2273" s="73"/>
      <c r="B2273" s="2"/>
      <c r="C2273" s="2"/>
      <c r="D2273" s="2"/>
      <c r="E2273" s="4"/>
      <c r="F2273" s="4"/>
      <c r="G2273" s="4"/>
      <c r="H2273" s="61"/>
      <c r="I2273" s="62"/>
      <c r="J2273" s="62"/>
      <c r="K2273" s="78"/>
      <c r="L2273" s="57"/>
      <c r="M2273" s="57"/>
    </row>
    <row r="2274" spans="1:13" ht="15" customHeight="1">
      <c r="A2274" s="73"/>
      <c r="B2274" s="2"/>
      <c r="C2274" s="2"/>
      <c r="D2274" s="2"/>
      <c r="E2274" s="4"/>
      <c r="F2274" s="4"/>
      <c r="G2274" s="4"/>
      <c r="H2274" s="61"/>
      <c r="I2274" s="62"/>
      <c r="J2274" s="62"/>
      <c r="K2274" s="78"/>
      <c r="L2274" s="57"/>
      <c r="M2274" s="57"/>
    </row>
    <row r="2275" spans="1:13" ht="15" customHeight="1">
      <c r="A2275" s="73"/>
      <c r="B2275" s="2"/>
      <c r="C2275" s="2"/>
      <c r="D2275" s="2"/>
      <c r="E2275" s="4"/>
      <c r="F2275" s="4"/>
      <c r="G2275" s="4"/>
      <c r="H2275" s="61"/>
      <c r="I2275" s="62"/>
      <c r="J2275" s="62"/>
      <c r="K2275" s="78"/>
      <c r="L2275" s="57"/>
      <c r="M2275" s="57"/>
    </row>
    <row r="2276" spans="1:13" ht="15" customHeight="1">
      <c r="A2276" s="73"/>
      <c r="B2276" s="2"/>
      <c r="C2276" s="2"/>
      <c r="D2276" s="2"/>
      <c r="E2276" s="4"/>
      <c r="F2276" s="4"/>
      <c r="G2276" s="4"/>
      <c r="H2276" s="61"/>
      <c r="I2276" s="62"/>
      <c r="J2276" s="62"/>
      <c r="K2276" s="78"/>
      <c r="L2276" s="57"/>
      <c r="M2276" s="57"/>
    </row>
    <row r="2277" spans="1:13" ht="15" customHeight="1">
      <c r="A2277" s="73"/>
      <c r="B2277" s="2"/>
      <c r="C2277" s="2"/>
      <c r="D2277" s="2"/>
      <c r="E2277" s="4"/>
      <c r="F2277" s="4"/>
      <c r="G2277" s="4"/>
      <c r="H2277" s="61"/>
      <c r="I2277" s="62"/>
      <c r="J2277" s="62"/>
      <c r="K2277" s="78"/>
      <c r="L2277" s="57"/>
      <c r="M2277" s="57"/>
    </row>
    <row r="2278" spans="1:13" ht="15" customHeight="1">
      <c r="A2278" s="73"/>
      <c r="B2278" s="2"/>
      <c r="C2278" s="2"/>
      <c r="D2278" s="2"/>
      <c r="E2278" s="4"/>
      <c r="F2278" s="4"/>
      <c r="G2278" s="4"/>
      <c r="H2278" s="61"/>
      <c r="I2278" s="62"/>
      <c r="J2278" s="62"/>
      <c r="K2278" s="78"/>
      <c r="L2278" s="57"/>
      <c r="M2278" s="57"/>
    </row>
    <row r="2279" spans="1:13" ht="15" customHeight="1">
      <c r="A2279" s="73"/>
      <c r="B2279" s="2"/>
      <c r="C2279" s="2"/>
      <c r="D2279" s="2"/>
      <c r="E2279" s="4"/>
      <c r="F2279" s="4"/>
      <c r="G2279" s="4"/>
      <c r="H2279" s="61"/>
      <c r="I2279" s="62"/>
      <c r="J2279" s="62"/>
      <c r="K2279" s="78"/>
      <c r="L2279" s="57"/>
      <c r="M2279" s="57"/>
    </row>
    <row r="2280" spans="1:13" ht="15" customHeight="1">
      <c r="A2280" s="73"/>
      <c r="B2280" s="2"/>
      <c r="C2280" s="2"/>
      <c r="D2280" s="2"/>
      <c r="E2280" s="4"/>
      <c r="F2280" s="4"/>
      <c r="G2280" s="4"/>
      <c r="H2280" s="61"/>
      <c r="I2280" s="62"/>
      <c r="J2280" s="62"/>
      <c r="K2280" s="78"/>
      <c r="L2280" s="57"/>
      <c r="M2280" s="57"/>
    </row>
    <row r="2281" spans="1:13" ht="15" customHeight="1">
      <c r="A2281" s="73"/>
      <c r="B2281" s="2"/>
      <c r="C2281" s="2"/>
      <c r="D2281" s="2"/>
      <c r="E2281" s="4"/>
      <c r="F2281" s="4"/>
      <c r="G2281" s="4"/>
      <c r="H2281" s="61"/>
      <c r="I2281" s="62"/>
      <c r="J2281" s="62"/>
      <c r="K2281" s="78"/>
      <c r="L2281" s="57"/>
      <c r="M2281" s="57"/>
    </row>
    <row r="2282" spans="1:13" ht="15" customHeight="1">
      <c r="A2282" s="73"/>
      <c r="B2282" s="2"/>
      <c r="C2282" s="2"/>
      <c r="D2282" s="2"/>
      <c r="E2282" s="4"/>
      <c r="F2282" s="4"/>
      <c r="G2282" s="4"/>
      <c r="H2282" s="61"/>
      <c r="I2282" s="62"/>
      <c r="J2282" s="62"/>
      <c r="K2282" s="78"/>
      <c r="L2282" s="57"/>
      <c r="M2282" s="57"/>
    </row>
    <row r="2283" spans="1:13" ht="15" customHeight="1">
      <c r="A2283" s="73"/>
      <c r="B2283" s="2"/>
      <c r="C2283" s="2"/>
      <c r="D2283" s="2"/>
      <c r="E2283" s="4"/>
      <c r="F2283" s="4"/>
      <c r="G2283" s="4"/>
      <c r="H2283" s="61"/>
      <c r="I2283" s="62"/>
      <c r="J2283" s="62"/>
      <c r="K2283" s="78"/>
      <c r="L2283" s="57"/>
      <c r="M2283" s="57"/>
    </row>
    <row r="2284" spans="1:13" ht="15" customHeight="1">
      <c r="A2284" s="73"/>
      <c r="B2284" s="2"/>
      <c r="C2284" s="2"/>
      <c r="D2284" s="2"/>
      <c r="E2284" s="4"/>
      <c r="F2284" s="4"/>
      <c r="G2284" s="4"/>
      <c r="H2284" s="61"/>
      <c r="I2284" s="62"/>
      <c r="J2284" s="62"/>
      <c r="K2284" s="78"/>
      <c r="L2284" s="57"/>
      <c r="M2284" s="57"/>
    </row>
    <row r="2285" spans="1:13" ht="15" customHeight="1">
      <c r="A2285" s="73"/>
      <c r="B2285" s="2"/>
      <c r="C2285" s="2"/>
      <c r="D2285" s="2"/>
      <c r="E2285" s="4"/>
      <c r="F2285" s="4"/>
      <c r="G2285" s="4"/>
      <c r="H2285" s="61"/>
      <c r="I2285" s="62"/>
      <c r="J2285" s="62"/>
      <c r="K2285" s="78"/>
      <c r="L2285" s="57"/>
      <c r="M2285" s="57"/>
    </row>
    <row r="2286" spans="1:13" ht="15" customHeight="1">
      <c r="A2286" s="73"/>
      <c r="B2286" s="2"/>
      <c r="C2286" s="2"/>
      <c r="D2286" s="2"/>
      <c r="E2286" s="4"/>
      <c r="F2286" s="4"/>
      <c r="G2286" s="4"/>
      <c r="H2286" s="61"/>
      <c r="I2286" s="62"/>
      <c r="J2286" s="62"/>
      <c r="K2286" s="78"/>
      <c r="L2286" s="57"/>
      <c r="M2286" s="57"/>
    </row>
    <row r="2287" spans="1:13" ht="15" customHeight="1">
      <c r="A2287" s="73"/>
      <c r="B2287" s="2"/>
      <c r="C2287" s="2"/>
      <c r="D2287" s="2"/>
      <c r="E2287" s="4"/>
      <c r="F2287" s="4"/>
      <c r="G2287" s="4"/>
      <c r="H2287" s="61"/>
      <c r="I2287" s="62"/>
      <c r="J2287" s="62"/>
      <c r="K2287" s="78"/>
      <c r="L2287" s="57"/>
      <c r="M2287" s="57"/>
    </row>
    <row r="2288" spans="1:13" ht="15" customHeight="1">
      <c r="A2288" s="73"/>
      <c r="B2288" s="2"/>
      <c r="C2288" s="2"/>
      <c r="D2288" s="2"/>
      <c r="E2288" s="4"/>
      <c r="F2288" s="4"/>
      <c r="G2288" s="4"/>
      <c r="H2288" s="61"/>
      <c r="I2288" s="62"/>
      <c r="J2288" s="62"/>
      <c r="K2288" s="78"/>
      <c r="L2288" s="57"/>
      <c r="M2288" s="57"/>
    </row>
    <row r="2289" spans="1:13" ht="15" customHeight="1">
      <c r="A2289" s="73"/>
      <c r="B2289" s="2"/>
      <c r="C2289" s="2"/>
      <c r="D2289" s="2"/>
      <c r="E2289" s="4"/>
      <c r="F2289" s="4"/>
      <c r="G2289" s="4"/>
      <c r="H2289" s="61"/>
      <c r="I2289" s="62"/>
      <c r="J2289" s="62"/>
      <c r="K2289" s="78"/>
      <c r="L2289" s="57"/>
      <c r="M2289" s="57"/>
    </row>
    <row r="2290" spans="1:13" ht="15" customHeight="1">
      <c r="A2290" s="73"/>
      <c r="B2290" s="2"/>
      <c r="C2290" s="2"/>
      <c r="D2290" s="2"/>
      <c r="E2290" s="4"/>
      <c r="F2290" s="4"/>
      <c r="G2290" s="4"/>
      <c r="H2290" s="61"/>
      <c r="I2290" s="62"/>
      <c r="J2290" s="62"/>
      <c r="K2290" s="78"/>
      <c r="L2290" s="57"/>
      <c r="M2290" s="57"/>
    </row>
    <row r="2291" spans="1:13" ht="15" customHeight="1">
      <c r="A2291" s="73"/>
      <c r="B2291" s="2"/>
      <c r="C2291" s="2"/>
      <c r="D2291" s="2"/>
      <c r="E2291" s="4"/>
      <c r="F2291" s="4"/>
      <c r="G2291" s="4"/>
      <c r="H2291" s="61"/>
      <c r="I2291" s="62"/>
      <c r="J2291" s="62"/>
      <c r="K2291" s="78"/>
      <c r="L2291" s="57"/>
      <c r="M2291" s="57"/>
    </row>
    <row r="2292" spans="1:13" ht="15" customHeight="1">
      <c r="A2292" s="73"/>
      <c r="B2292" s="2"/>
      <c r="C2292" s="2"/>
      <c r="D2292" s="2"/>
      <c r="E2292" s="4"/>
      <c r="F2292" s="4"/>
      <c r="G2292" s="4"/>
      <c r="H2292" s="61"/>
      <c r="I2292" s="62"/>
      <c r="J2292" s="62"/>
      <c r="K2292" s="78"/>
      <c r="L2292" s="57"/>
      <c r="M2292" s="57"/>
    </row>
    <row r="2293" spans="1:13" ht="15" customHeight="1">
      <c r="A2293" s="73"/>
      <c r="B2293" s="2"/>
      <c r="C2293" s="2"/>
      <c r="D2293" s="2"/>
      <c r="E2293" s="4"/>
      <c r="F2293" s="4"/>
      <c r="G2293" s="4"/>
      <c r="H2293" s="61"/>
      <c r="I2293" s="62"/>
      <c r="J2293" s="62"/>
      <c r="K2293" s="78"/>
      <c r="L2293" s="57"/>
      <c r="M2293" s="57"/>
    </row>
    <row r="2294" spans="1:13" ht="15" customHeight="1">
      <c r="A2294" s="73"/>
      <c r="B2294" s="2"/>
      <c r="C2294" s="2"/>
      <c r="D2294" s="2"/>
      <c r="E2294" s="4"/>
      <c r="F2294" s="4"/>
      <c r="G2294" s="4"/>
      <c r="H2294" s="61"/>
      <c r="I2294" s="62"/>
      <c r="J2294" s="62"/>
      <c r="K2294" s="78"/>
      <c r="L2294" s="57"/>
      <c r="M2294" s="57"/>
    </row>
    <row r="2295" spans="1:13" ht="15" customHeight="1">
      <c r="A2295" s="73"/>
      <c r="B2295" s="2"/>
      <c r="C2295" s="2"/>
      <c r="D2295" s="2"/>
      <c r="E2295" s="4"/>
      <c r="F2295" s="4"/>
      <c r="G2295" s="4"/>
      <c r="H2295" s="61"/>
      <c r="I2295" s="62"/>
      <c r="J2295" s="62"/>
      <c r="K2295" s="78"/>
      <c r="L2295" s="57"/>
      <c r="M2295" s="57"/>
    </row>
    <row r="2296" spans="1:13" ht="15" customHeight="1">
      <c r="A2296" s="73"/>
      <c r="B2296" s="2"/>
      <c r="C2296" s="2"/>
      <c r="D2296" s="2"/>
      <c r="E2296" s="4"/>
      <c r="F2296" s="4"/>
      <c r="G2296" s="4"/>
      <c r="H2296" s="61"/>
      <c r="I2296" s="62"/>
      <c r="J2296" s="62"/>
      <c r="K2296" s="78"/>
      <c r="L2296" s="57"/>
      <c r="M2296" s="57"/>
    </row>
    <row r="2297" spans="1:13" ht="15" customHeight="1">
      <c r="A2297" s="73"/>
      <c r="B2297" s="2"/>
      <c r="C2297" s="2"/>
      <c r="D2297" s="2"/>
      <c r="E2297" s="4"/>
      <c r="F2297" s="4"/>
      <c r="G2297" s="4"/>
      <c r="H2297" s="61"/>
      <c r="I2297" s="62"/>
      <c r="J2297" s="62"/>
      <c r="K2297" s="78"/>
      <c r="L2297" s="57"/>
      <c r="M2297" s="57"/>
    </row>
    <row r="2298" spans="1:13" ht="15" customHeight="1">
      <c r="A2298" s="73"/>
      <c r="B2298" s="2"/>
      <c r="C2298" s="2"/>
      <c r="D2298" s="2"/>
      <c r="E2298" s="4"/>
      <c r="F2298" s="4"/>
      <c r="G2298" s="4"/>
      <c r="H2298" s="61"/>
      <c r="I2298" s="62"/>
      <c r="J2298" s="62"/>
      <c r="K2298" s="78"/>
      <c r="L2298" s="57"/>
      <c r="M2298" s="57"/>
    </row>
    <row r="2299" spans="1:13" ht="15" customHeight="1">
      <c r="A2299" s="73"/>
      <c r="B2299" s="2"/>
      <c r="C2299" s="2"/>
      <c r="D2299" s="2"/>
      <c r="E2299" s="4"/>
      <c r="F2299" s="4"/>
      <c r="G2299" s="4"/>
      <c r="H2299" s="61"/>
      <c r="I2299" s="62"/>
      <c r="J2299" s="62"/>
      <c r="K2299" s="78"/>
      <c r="L2299" s="57"/>
      <c r="M2299" s="57"/>
    </row>
    <row r="2300" spans="1:13" ht="15" customHeight="1">
      <c r="A2300" s="73"/>
      <c r="B2300" s="2"/>
      <c r="C2300" s="2"/>
      <c r="D2300" s="2"/>
      <c r="E2300" s="4"/>
      <c r="F2300" s="4"/>
      <c r="G2300" s="4"/>
      <c r="H2300" s="61"/>
      <c r="I2300" s="62"/>
      <c r="J2300" s="62"/>
      <c r="K2300" s="78"/>
      <c r="L2300" s="57"/>
      <c r="M2300" s="57"/>
    </row>
    <row r="2301" spans="1:13" ht="15" customHeight="1">
      <c r="A2301" s="73"/>
      <c r="B2301" s="2"/>
      <c r="C2301" s="2"/>
      <c r="D2301" s="2"/>
      <c r="E2301" s="4"/>
      <c r="F2301" s="4"/>
      <c r="G2301" s="4"/>
      <c r="H2301" s="61"/>
      <c r="I2301" s="62"/>
      <c r="J2301" s="62"/>
      <c r="K2301" s="78"/>
      <c r="L2301" s="57"/>
      <c r="M2301" s="57"/>
    </row>
    <row r="2302" spans="1:13" ht="15" customHeight="1">
      <c r="A2302" s="73"/>
      <c r="B2302" s="2"/>
      <c r="C2302" s="2"/>
      <c r="D2302" s="2"/>
      <c r="E2302" s="4"/>
      <c r="F2302" s="4"/>
      <c r="G2302" s="4"/>
      <c r="H2302" s="61"/>
      <c r="I2302" s="62"/>
      <c r="J2302" s="62"/>
      <c r="K2302" s="78"/>
      <c r="L2302" s="57"/>
      <c r="M2302" s="57"/>
    </row>
    <row r="2303" spans="1:13" ht="15" customHeight="1">
      <c r="A2303" s="73"/>
      <c r="B2303" s="2"/>
      <c r="C2303" s="2"/>
      <c r="D2303" s="2"/>
      <c r="E2303" s="4"/>
      <c r="F2303" s="4"/>
      <c r="G2303" s="4"/>
      <c r="H2303" s="61"/>
      <c r="I2303" s="62"/>
      <c r="J2303" s="62"/>
      <c r="K2303" s="78"/>
      <c r="L2303" s="57"/>
      <c r="M2303" s="57"/>
    </row>
    <row r="2304" spans="1:13" ht="15" customHeight="1">
      <c r="A2304" s="73"/>
      <c r="B2304" s="2"/>
      <c r="C2304" s="2"/>
      <c r="D2304" s="2"/>
      <c r="E2304" s="4"/>
      <c r="F2304" s="4"/>
      <c r="G2304" s="4"/>
      <c r="H2304" s="61"/>
      <c r="I2304" s="62"/>
      <c r="J2304" s="62"/>
      <c r="K2304" s="78"/>
      <c r="L2304" s="57"/>
      <c r="M2304" s="57"/>
    </row>
    <row r="2305" spans="1:13" ht="15" customHeight="1">
      <c r="A2305" s="73"/>
      <c r="B2305" s="2"/>
      <c r="C2305" s="2"/>
      <c r="D2305" s="2"/>
      <c r="E2305" s="4"/>
      <c r="F2305" s="4"/>
      <c r="G2305" s="4"/>
      <c r="H2305" s="61"/>
      <c r="I2305" s="62"/>
      <c r="J2305" s="62"/>
      <c r="K2305" s="78"/>
      <c r="L2305" s="57"/>
      <c r="M2305" s="57"/>
    </row>
    <row r="2306" spans="1:13" ht="15" customHeight="1">
      <c r="A2306" s="73"/>
      <c r="B2306" s="2"/>
      <c r="C2306" s="2"/>
      <c r="D2306" s="2"/>
      <c r="E2306" s="4"/>
      <c r="F2306" s="4"/>
      <c r="G2306" s="4"/>
      <c r="H2306" s="61"/>
      <c r="I2306" s="62"/>
      <c r="J2306" s="62"/>
      <c r="K2306" s="78"/>
      <c r="L2306" s="57"/>
      <c r="M2306" s="57"/>
    </row>
    <row r="2307" spans="1:13" ht="15" customHeight="1">
      <c r="A2307" s="73"/>
      <c r="B2307" s="2"/>
      <c r="C2307" s="2"/>
      <c r="D2307" s="2"/>
      <c r="E2307" s="4"/>
      <c r="F2307" s="4"/>
      <c r="G2307" s="4"/>
      <c r="H2307" s="61"/>
      <c r="I2307" s="62"/>
      <c r="J2307" s="62"/>
      <c r="K2307" s="78"/>
      <c r="L2307" s="57"/>
      <c r="M2307" s="57"/>
    </row>
    <row r="2308" spans="1:13" ht="15" customHeight="1">
      <c r="A2308" s="73"/>
      <c r="B2308" s="2"/>
      <c r="C2308" s="2"/>
      <c r="D2308" s="2"/>
      <c r="E2308" s="4"/>
      <c r="F2308" s="4"/>
      <c r="G2308" s="4"/>
      <c r="H2308" s="61"/>
      <c r="I2308" s="62"/>
      <c r="J2308" s="62"/>
      <c r="K2308" s="78"/>
      <c r="L2308" s="57"/>
      <c r="M2308" s="57"/>
    </row>
    <row r="2309" spans="1:13" ht="15" customHeight="1">
      <c r="A2309" s="73"/>
      <c r="B2309" s="2"/>
      <c r="C2309" s="2"/>
      <c r="D2309" s="2"/>
      <c r="E2309" s="4"/>
      <c r="F2309" s="4"/>
      <c r="G2309" s="4"/>
      <c r="H2309" s="61"/>
      <c r="I2309" s="62"/>
      <c r="J2309" s="62"/>
      <c r="K2309" s="78"/>
      <c r="L2309" s="57"/>
      <c r="M2309" s="57"/>
    </row>
    <row r="2310" spans="1:13" ht="15" customHeight="1">
      <c r="A2310" s="73"/>
      <c r="B2310" s="2"/>
      <c r="C2310" s="2"/>
      <c r="D2310" s="2"/>
      <c r="E2310" s="4"/>
      <c r="F2310" s="4"/>
      <c r="G2310" s="4"/>
      <c r="H2310" s="61"/>
      <c r="I2310" s="62"/>
      <c r="J2310" s="62"/>
      <c r="K2310" s="78"/>
      <c r="L2310" s="57"/>
      <c r="M2310" s="57"/>
    </row>
    <row r="2311" spans="1:13" ht="15" customHeight="1">
      <c r="A2311" s="73"/>
      <c r="B2311" s="2"/>
      <c r="C2311" s="2"/>
      <c r="D2311" s="2"/>
      <c r="E2311" s="4"/>
      <c r="F2311" s="4"/>
      <c r="G2311" s="4"/>
      <c r="H2311" s="61"/>
      <c r="I2311" s="62"/>
      <c r="J2311" s="62"/>
      <c r="K2311" s="78"/>
      <c r="L2311" s="57"/>
      <c r="M2311" s="57"/>
    </row>
    <row r="2312" spans="1:13" ht="15" customHeight="1">
      <c r="A2312" s="73"/>
      <c r="B2312" s="2"/>
      <c r="C2312" s="2"/>
      <c r="D2312" s="2"/>
      <c r="E2312" s="4"/>
      <c r="F2312" s="4"/>
      <c r="G2312" s="4"/>
      <c r="H2312" s="61"/>
      <c r="I2312" s="62"/>
      <c r="J2312" s="62"/>
      <c r="K2312" s="78"/>
      <c r="L2312" s="57"/>
      <c r="M2312" s="57"/>
    </row>
    <row r="2313" spans="1:13" ht="15" customHeight="1">
      <c r="A2313" s="73"/>
      <c r="B2313" s="2"/>
      <c r="C2313" s="2"/>
      <c r="D2313" s="2"/>
      <c r="E2313" s="4"/>
      <c r="F2313" s="4"/>
      <c r="G2313" s="4"/>
      <c r="H2313" s="61"/>
      <c r="I2313" s="62"/>
      <c r="J2313" s="62"/>
      <c r="K2313" s="78"/>
      <c r="L2313" s="57"/>
      <c r="M2313" s="57"/>
    </row>
    <row r="2314" spans="1:13" ht="15" customHeight="1">
      <c r="A2314" s="73"/>
      <c r="B2314" s="2"/>
      <c r="C2314" s="2"/>
      <c r="D2314" s="2"/>
      <c r="E2314" s="4"/>
      <c r="F2314" s="4"/>
      <c r="G2314" s="4"/>
      <c r="H2314" s="61"/>
      <c r="I2314" s="62"/>
      <c r="J2314" s="62"/>
      <c r="K2314" s="78"/>
      <c r="L2314" s="57"/>
      <c r="M2314" s="57"/>
    </row>
    <row r="2315" spans="1:13" ht="15" customHeight="1">
      <c r="A2315" s="73"/>
      <c r="B2315" s="2"/>
      <c r="C2315" s="2"/>
      <c r="D2315" s="2"/>
      <c r="E2315" s="4"/>
      <c r="F2315" s="4"/>
      <c r="G2315" s="4"/>
      <c r="H2315" s="61"/>
      <c r="I2315" s="62"/>
      <c r="J2315" s="62"/>
      <c r="K2315" s="78"/>
      <c r="L2315" s="57"/>
      <c r="M2315" s="57"/>
    </row>
    <row r="2316" spans="1:13" ht="15" customHeight="1">
      <c r="A2316" s="73"/>
      <c r="B2316" s="2"/>
      <c r="C2316" s="2"/>
      <c r="D2316" s="2"/>
      <c r="E2316" s="4"/>
      <c r="F2316" s="4"/>
      <c r="G2316" s="4"/>
      <c r="H2316" s="61"/>
      <c r="I2316" s="62"/>
      <c r="J2316" s="62"/>
      <c r="K2316" s="78"/>
      <c r="L2316" s="57"/>
      <c r="M2316" s="57"/>
    </row>
    <row r="2317" spans="1:13" ht="15" customHeight="1">
      <c r="A2317" s="73"/>
      <c r="B2317" s="2"/>
      <c r="C2317" s="2"/>
      <c r="D2317" s="2"/>
      <c r="E2317" s="4"/>
      <c r="F2317" s="4"/>
      <c r="G2317" s="4"/>
      <c r="H2317" s="61"/>
      <c r="I2317" s="62"/>
      <c r="J2317" s="62"/>
      <c r="K2317" s="78"/>
      <c r="L2317" s="57"/>
      <c r="M2317" s="57"/>
    </row>
    <row r="2318" spans="1:13" ht="15" customHeight="1">
      <c r="A2318" s="73"/>
      <c r="B2318" s="2"/>
      <c r="C2318" s="2"/>
      <c r="D2318" s="2"/>
      <c r="E2318" s="4"/>
      <c r="F2318" s="4"/>
      <c r="G2318" s="4"/>
      <c r="H2318" s="61"/>
      <c r="I2318" s="62"/>
      <c r="J2318" s="62"/>
      <c r="K2318" s="78"/>
      <c r="L2318" s="57"/>
      <c r="M2318" s="57"/>
    </row>
    <row r="2319" spans="1:13" ht="15" customHeight="1">
      <c r="A2319" s="73"/>
      <c r="B2319" s="2"/>
      <c r="C2319" s="2"/>
      <c r="D2319" s="2"/>
      <c r="E2319" s="4"/>
      <c r="F2319" s="4"/>
      <c r="G2319" s="4"/>
      <c r="H2319" s="61"/>
      <c r="I2319" s="62"/>
      <c r="J2319" s="62"/>
      <c r="K2319" s="78"/>
      <c r="L2319" s="57"/>
      <c r="M2319" s="57"/>
    </row>
    <row r="2320" spans="1:13" ht="15" customHeight="1">
      <c r="A2320" s="73"/>
      <c r="B2320" s="2"/>
      <c r="C2320" s="2"/>
      <c r="D2320" s="2"/>
      <c r="E2320" s="4"/>
      <c r="F2320" s="4"/>
      <c r="G2320" s="4"/>
      <c r="H2320" s="61"/>
      <c r="I2320" s="62"/>
      <c r="J2320" s="62"/>
      <c r="K2320" s="78"/>
      <c r="L2320" s="57"/>
      <c r="M2320" s="57"/>
    </row>
    <row r="2321" spans="1:13" ht="15" customHeight="1">
      <c r="A2321" s="73"/>
      <c r="B2321" s="2"/>
      <c r="C2321" s="2"/>
      <c r="D2321" s="2"/>
      <c r="E2321" s="4"/>
      <c r="F2321" s="4"/>
      <c r="G2321" s="4"/>
      <c r="H2321" s="61"/>
      <c r="I2321" s="62"/>
      <c r="J2321" s="62"/>
      <c r="K2321" s="78"/>
      <c r="L2321" s="57"/>
      <c r="M2321" s="57"/>
    </row>
    <row r="2322" spans="1:13" ht="15" customHeight="1">
      <c r="A2322" s="73"/>
      <c r="B2322" s="2"/>
      <c r="C2322" s="2"/>
      <c r="D2322" s="2"/>
      <c r="E2322" s="4"/>
      <c r="F2322" s="4"/>
      <c r="G2322" s="4"/>
      <c r="H2322" s="61"/>
      <c r="I2322" s="62"/>
      <c r="J2322" s="62"/>
      <c r="K2322" s="78"/>
      <c r="L2322" s="57"/>
      <c r="M2322" s="57"/>
    </row>
    <row r="2323" spans="1:13" ht="15" customHeight="1">
      <c r="A2323" s="73"/>
      <c r="B2323" s="2"/>
      <c r="C2323" s="2"/>
      <c r="D2323" s="2"/>
      <c r="E2323" s="4"/>
      <c r="F2323" s="4"/>
      <c r="G2323" s="4"/>
      <c r="H2323" s="61"/>
      <c r="I2323" s="62"/>
      <c r="J2323" s="62"/>
      <c r="K2323" s="78"/>
      <c r="L2323" s="57"/>
      <c r="M2323" s="57"/>
    </row>
    <row r="2324" spans="1:13" ht="15" customHeight="1">
      <c r="A2324" s="73"/>
      <c r="B2324" s="2"/>
      <c r="C2324" s="2"/>
      <c r="D2324" s="2"/>
      <c r="E2324" s="4"/>
      <c r="F2324" s="4"/>
      <c r="G2324" s="4"/>
      <c r="H2324" s="61"/>
      <c r="I2324" s="62"/>
      <c r="J2324" s="62"/>
      <c r="K2324" s="78"/>
      <c r="L2324" s="57"/>
      <c r="M2324" s="57"/>
    </row>
    <row r="2325" spans="1:13" ht="15" customHeight="1">
      <c r="A2325" s="73"/>
      <c r="B2325" s="2"/>
      <c r="C2325" s="2"/>
      <c r="D2325" s="2"/>
      <c r="E2325" s="4"/>
      <c r="F2325" s="4"/>
      <c r="G2325" s="4"/>
      <c r="H2325" s="61"/>
      <c r="I2325" s="62"/>
      <c r="J2325" s="62"/>
      <c r="K2325" s="78"/>
      <c r="L2325" s="57"/>
      <c r="M2325" s="57"/>
    </row>
    <row r="2326" spans="1:13" ht="15" customHeight="1">
      <c r="A2326" s="73"/>
      <c r="B2326" s="2"/>
      <c r="C2326" s="2"/>
      <c r="D2326" s="2"/>
      <c r="E2326" s="4"/>
      <c r="F2326" s="4"/>
      <c r="G2326" s="4"/>
      <c r="H2326" s="61"/>
      <c r="I2326" s="62"/>
      <c r="J2326" s="62"/>
      <c r="K2326" s="78"/>
      <c r="L2326" s="57"/>
      <c r="M2326" s="57"/>
    </row>
    <row r="2327" spans="1:13" ht="15" customHeight="1">
      <c r="A2327" s="73"/>
      <c r="B2327" s="2"/>
      <c r="C2327" s="2"/>
      <c r="D2327" s="2"/>
      <c r="E2327" s="4"/>
      <c r="F2327" s="4"/>
      <c r="G2327" s="4"/>
      <c r="H2327" s="61"/>
      <c r="I2327" s="62"/>
      <c r="J2327" s="62"/>
      <c r="K2327" s="78"/>
      <c r="L2327" s="57"/>
      <c r="M2327" s="57"/>
    </row>
    <row r="2328" spans="1:13" ht="15" customHeight="1">
      <c r="A2328" s="73"/>
      <c r="B2328" s="2"/>
      <c r="C2328" s="2"/>
      <c r="D2328" s="2"/>
      <c r="E2328" s="4"/>
      <c r="F2328" s="4"/>
      <c r="G2328" s="4"/>
      <c r="H2328" s="61"/>
      <c r="I2328" s="62"/>
      <c r="J2328" s="62"/>
      <c r="K2328" s="78"/>
      <c r="L2328" s="57"/>
      <c r="M2328" s="57"/>
    </row>
    <row r="2329" spans="1:13" ht="15" customHeight="1">
      <c r="A2329" s="73"/>
      <c r="B2329" s="2"/>
      <c r="C2329" s="2"/>
      <c r="D2329" s="2"/>
      <c r="E2329" s="4"/>
      <c r="F2329" s="4"/>
      <c r="G2329" s="4"/>
      <c r="H2329" s="61"/>
      <c r="I2329" s="62"/>
      <c r="J2329" s="62"/>
      <c r="K2329" s="78"/>
      <c r="L2329" s="57"/>
      <c r="M2329" s="57"/>
    </row>
    <row r="2330" spans="1:13" ht="15" customHeight="1">
      <c r="A2330" s="73"/>
      <c r="B2330" s="2"/>
      <c r="C2330" s="2"/>
      <c r="D2330" s="2"/>
      <c r="E2330" s="4"/>
      <c r="F2330" s="4"/>
      <c r="G2330" s="4"/>
      <c r="H2330" s="61"/>
      <c r="I2330" s="62"/>
      <c r="J2330" s="62"/>
      <c r="K2330" s="78"/>
      <c r="L2330" s="57"/>
      <c r="M2330" s="57"/>
    </row>
    <row r="2331" spans="1:13" ht="15" customHeight="1">
      <c r="A2331" s="73"/>
      <c r="B2331" s="2"/>
      <c r="C2331" s="2"/>
      <c r="D2331" s="2"/>
      <c r="E2331" s="4"/>
      <c r="F2331" s="4"/>
      <c r="G2331" s="4"/>
      <c r="H2331" s="61"/>
      <c r="I2331" s="62"/>
      <c r="J2331" s="62"/>
      <c r="K2331" s="78"/>
      <c r="L2331" s="57"/>
      <c r="M2331" s="57"/>
    </row>
    <row r="2332" spans="1:13" ht="15" customHeight="1">
      <c r="A2332" s="73"/>
      <c r="B2332" s="2"/>
      <c r="C2332" s="2"/>
      <c r="D2332" s="2"/>
      <c r="E2332" s="4"/>
      <c r="F2332" s="4"/>
      <c r="G2332" s="4"/>
      <c r="H2332" s="61"/>
      <c r="I2332" s="62"/>
      <c r="J2332" s="62"/>
      <c r="K2332" s="78"/>
      <c r="L2332" s="57"/>
      <c r="M2332" s="57"/>
    </row>
    <row r="2333" spans="1:13" ht="15" customHeight="1">
      <c r="A2333" s="73"/>
      <c r="B2333" s="2"/>
      <c r="C2333" s="2"/>
      <c r="D2333" s="2"/>
      <c r="E2333" s="4"/>
      <c r="F2333" s="4"/>
      <c r="G2333" s="4"/>
      <c r="H2333" s="61"/>
      <c r="I2333" s="62"/>
      <c r="J2333" s="62"/>
      <c r="K2333" s="78"/>
      <c r="L2333" s="57"/>
      <c r="M2333" s="57"/>
    </row>
    <row r="2334" spans="1:13" ht="15" customHeight="1">
      <c r="A2334" s="73"/>
      <c r="B2334" s="2"/>
      <c r="C2334" s="2"/>
      <c r="D2334" s="2"/>
      <c r="E2334" s="4"/>
      <c r="F2334" s="4"/>
      <c r="G2334" s="4"/>
      <c r="H2334" s="61"/>
      <c r="I2334" s="62"/>
      <c r="J2334" s="62"/>
      <c r="K2334" s="78"/>
      <c r="L2334" s="57"/>
      <c r="M2334" s="57"/>
    </row>
    <row r="2335" spans="1:13" ht="15" customHeight="1">
      <c r="A2335" s="73"/>
      <c r="B2335" s="2"/>
      <c r="C2335" s="2"/>
      <c r="D2335" s="2"/>
      <c r="E2335" s="4"/>
      <c r="F2335" s="4"/>
      <c r="G2335" s="4"/>
      <c r="H2335" s="61"/>
      <c r="I2335" s="62"/>
      <c r="J2335" s="62"/>
      <c r="K2335" s="78"/>
      <c r="L2335" s="57"/>
      <c r="M2335" s="57"/>
    </row>
    <row r="2336" spans="1:13" ht="15" customHeight="1">
      <c r="A2336" s="73"/>
      <c r="B2336" s="2"/>
      <c r="C2336" s="2"/>
      <c r="D2336" s="2"/>
      <c r="E2336" s="4"/>
      <c r="F2336" s="4"/>
      <c r="G2336" s="4"/>
      <c r="H2336" s="61"/>
      <c r="I2336" s="62"/>
      <c r="J2336" s="62"/>
      <c r="K2336" s="78"/>
      <c r="L2336" s="57"/>
      <c r="M2336" s="57"/>
    </row>
    <row r="2337" spans="1:13" ht="15" customHeight="1">
      <c r="A2337" s="73"/>
      <c r="B2337" s="2"/>
      <c r="C2337" s="2"/>
      <c r="D2337" s="2"/>
      <c r="E2337" s="4"/>
      <c r="F2337" s="4"/>
      <c r="G2337" s="4"/>
      <c r="H2337" s="61"/>
      <c r="I2337" s="62"/>
      <c r="J2337" s="62"/>
      <c r="K2337" s="78"/>
      <c r="L2337" s="57"/>
      <c r="M2337" s="57"/>
    </row>
    <row r="2338" spans="1:13" ht="15" customHeight="1">
      <c r="A2338" s="73"/>
      <c r="B2338" s="2"/>
      <c r="C2338" s="2"/>
      <c r="D2338" s="2"/>
      <c r="E2338" s="4"/>
      <c r="F2338" s="4"/>
      <c r="G2338" s="4"/>
      <c r="H2338" s="61"/>
      <c r="I2338" s="62"/>
      <c r="J2338" s="62"/>
      <c r="K2338" s="78"/>
      <c r="L2338" s="57"/>
      <c r="M2338" s="57"/>
    </row>
    <row r="2339" spans="1:13" ht="15" customHeight="1">
      <c r="A2339" s="73"/>
      <c r="B2339" s="2"/>
      <c r="C2339" s="2"/>
      <c r="D2339" s="2"/>
      <c r="E2339" s="4"/>
      <c r="F2339" s="4"/>
      <c r="G2339" s="4"/>
      <c r="H2339" s="61"/>
      <c r="I2339" s="62"/>
      <c r="J2339" s="62"/>
      <c r="K2339" s="78"/>
      <c r="L2339" s="57"/>
      <c r="M2339" s="57"/>
    </row>
    <row r="2340" spans="1:13" ht="15" customHeight="1">
      <c r="A2340" s="73"/>
      <c r="B2340" s="2"/>
      <c r="C2340" s="2"/>
      <c r="D2340" s="2"/>
      <c r="E2340" s="4"/>
      <c r="F2340" s="4"/>
      <c r="G2340" s="4"/>
      <c r="H2340" s="61"/>
      <c r="I2340" s="62"/>
      <c r="J2340" s="62"/>
      <c r="K2340" s="78"/>
      <c r="L2340" s="57"/>
      <c r="M2340" s="57"/>
    </row>
    <row r="2341" spans="1:13" ht="15" customHeight="1">
      <c r="A2341" s="73"/>
      <c r="B2341" s="2"/>
      <c r="C2341" s="2"/>
      <c r="D2341" s="2"/>
      <c r="E2341" s="4"/>
      <c r="F2341" s="4"/>
      <c r="G2341" s="4"/>
      <c r="H2341" s="61"/>
      <c r="I2341" s="62"/>
      <c r="J2341" s="62"/>
      <c r="K2341" s="78"/>
      <c r="L2341" s="57"/>
      <c r="M2341" s="57"/>
    </row>
    <row r="2342" spans="1:13" ht="15" customHeight="1">
      <c r="A2342" s="73"/>
      <c r="B2342" s="2"/>
      <c r="C2342" s="2"/>
      <c r="D2342" s="2"/>
      <c r="E2342" s="4"/>
      <c r="F2342" s="4"/>
      <c r="G2342" s="4"/>
      <c r="H2342" s="61"/>
      <c r="I2342" s="62"/>
      <c r="J2342" s="62"/>
      <c r="K2342" s="78"/>
      <c r="L2342" s="57"/>
      <c r="M2342" s="57"/>
    </row>
    <row r="2343" spans="1:13" ht="15" customHeight="1">
      <c r="A2343" s="73"/>
      <c r="B2343" s="2"/>
      <c r="C2343" s="2"/>
      <c r="D2343" s="2"/>
      <c r="E2343" s="4"/>
      <c r="F2343" s="4"/>
      <c r="G2343" s="4"/>
      <c r="H2343" s="61"/>
      <c r="I2343" s="62"/>
      <c r="J2343" s="62"/>
      <c r="K2343" s="78"/>
      <c r="L2343" s="57"/>
      <c r="M2343" s="57"/>
    </row>
    <row r="2344" spans="1:13" ht="15" customHeight="1">
      <c r="A2344" s="73"/>
      <c r="B2344" s="2"/>
      <c r="C2344" s="2"/>
      <c r="D2344" s="2"/>
      <c r="E2344" s="4"/>
      <c r="F2344" s="4"/>
      <c r="G2344" s="4"/>
      <c r="H2344" s="61"/>
      <c r="I2344" s="62"/>
      <c r="J2344" s="62"/>
      <c r="K2344" s="78"/>
      <c r="L2344" s="57"/>
      <c r="M2344" s="57"/>
    </row>
    <row r="2345" spans="1:13" ht="15" customHeight="1">
      <c r="A2345" s="73"/>
      <c r="B2345" s="2"/>
      <c r="C2345" s="2"/>
      <c r="D2345" s="2"/>
      <c r="E2345" s="4"/>
      <c r="F2345" s="4"/>
      <c r="G2345" s="4"/>
      <c r="H2345" s="61"/>
      <c r="I2345" s="62"/>
      <c r="J2345" s="62"/>
      <c r="K2345" s="78"/>
      <c r="L2345" s="57"/>
      <c r="M2345" s="57"/>
    </row>
    <row r="2346" spans="1:13" ht="15" customHeight="1">
      <c r="A2346" s="73"/>
      <c r="B2346" s="2"/>
      <c r="C2346" s="2"/>
      <c r="D2346" s="2"/>
      <c r="E2346" s="4"/>
      <c r="F2346" s="4"/>
      <c r="G2346" s="4"/>
      <c r="H2346" s="61"/>
      <c r="I2346" s="62"/>
      <c r="J2346" s="62"/>
      <c r="K2346" s="78"/>
      <c r="L2346" s="57"/>
      <c r="M2346" s="57"/>
    </row>
    <row r="2347" spans="1:13" ht="15" customHeight="1">
      <c r="A2347" s="73"/>
      <c r="B2347" s="2"/>
      <c r="C2347" s="2"/>
      <c r="D2347" s="2"/>
      <c r="E2347" s="4"/>
      <c r="F2347" s="4"/>
      <c r="G2347" s="4"/>
      <c r="H2347" s="61"/>
      <c r="I2347" s="62"/>
      <c r="J2347" s="62"/>
      <c r="K2347" s="78"/>
      <c r="L2347" s="57"/>
      <c r="M2347" s="57"/>
    </row>
    <row r="2348" spans="1:13" ht="15" customHeight="1">
      <c r="A2348" s="73"/>
      <c r="B2348" s="2"/>
      <c r="C2348" s="2"/>
      <c r="D2348" s="2"/>
      <c r="E2348" s="4"/>
      <c r="F2348" s="4"/>
      <c r="G2348" s="4"/>
      <c r="H2348" s="61"/>
      <c r="I2348" s="62"/>
      <c r="J2348" s="62"/>
      <c r="K2348" s="78"/>
      <c r="L2348" s="57"/>
      <c r="M2348" s="57"/>
    </row>
    <row r="2349" spans="1:13" ht="15" customHeight="1">
      <c r="A2349" s="73"/>
      <c r="B2349" s="2"/>
      <c r="C2349" s="2"/>
      <c r="D2349" s="2"/>
      <c r="E2349" s="4"/>
      <c r="F2349" s="4"/>
      <c r="G2349" s="4"/>
      <c r="H2349" s="61"/>
      <c r="I2349" s="62"/>
      <c r="J2349" s="62"/>
      <c r="K2349" s="78"/>
      <c r="L2349" s="57"/>
      <c r="M2349" s="57"/>
    </row>
    <row r="2350" spans="1:13" ht="15" customHeight="1">
      <c r="A2350" s="73"/>
      <c r="B2350" s="2"/>
      <c r="C2350" s="2"/>
      <c r="D2350" s="2"/>
      <c r="E2350" s="4"/>
      <c r="F2350" s="4"/>
      <c r="G2350" s="4"/>
      <c r="H2350" s="61"/>
      <c r="I2350" s="62"/>
      <c r="J2350" s="62"/>
      <c r="K2350" s="78"/>
      <c r="L2350" s="57"/>
      <c r="M2350" s="57"/>
    </row>
    <row r="2351" spans="1:13" ht="15" customHeight="1">
      <c r="A2351" s="73"/>
      <c r="B2351" s="2"/>
      <c r="C2351" s="2"/>
      <c r="D2351" s="2"/>
      <c r="E2351" s="4"/>
      <c r="F2351" s="4"/>
      <c r="G2351" s="4"/>
      <c r="H2351" s="61"/>
      <c r="I2351" s="62"/>
      <c r="J2351" s="62"/>
      <c r="K2351" s="78"/>
      <c r="L2351" s="57"/>
      <c r="M2351" s="57"/>
    </row>
    <row r="2352" spans="1:13" ht="15" customHeight="1">
      <c r="A2352" s="73"/>
      <c r="B2352" s="2"/>
      <c r="C2352" s="2"/>
      <c r="D2352" s="2"/>
      <c r="E2352" s="4"/>
      <c r="F2352" s="4"/>
      <c r="G2352" s="4"/>
      <c r="H2352" s="61"/>
      <c r="I2352" s="62"/>
      <c r="J2352" s="62"/>
      <c r="K2352" s="78"/>
      <c r="L2352" s="57"/>
      <c r="M2352" s="57"/>
    </row>
    <row r="2353" spans="1:13" ht="15" customHeight="1">
      <c r="A2353" s="73"/>
      <c r="B2353" s="2"/>
      <c r="C2353" s="2"/>
      <c r="D2353" s="2"/>
      <c r="E2353" s="4"/>
      <c r="F2353" s="4"/>
      <c r="G2353" s="4"/>
      <c r="H2353" s="61"/>
      <c r="I2353" s="62"/>
      <c r="J2353" s="62"/>
      <c r="K2353" s="78"/>
      <c r="L2353" s="57"/>
      <c r="M2353" s="57"/>
    </row>
    <row r="2354" spans="1:13" ht="15" customHeight="1">
      <c r="A2354" s="73"/>
      <c r="B2354" s="2"/>
      <c r="C2354" s="2"/>
      <c r="D2354" s="2"/>
      <c r="E2354" s="4"/>
      <c r="F2354" s="4"/>
      <c r="G2354" s="4"/>
      <c r="H2354" s="61"/>
      <c r="I2354" s="62"/>
      <c r="J2354" s="62"/>
      <c r="K2354" s="78"/>
      <c r="L2354" s="57"/>
      <c r="M2354" s="57"/>
    </row>
    <row r="2355" spans="1:13" ht="15" customHeight="1">
      <c r="A2355" s="73"/>
      <c r="B2355" s="2"/>
      <c r="C2355" s="2"/>
      <c r="D2355" s="2"/>
      <c r="E2355" s="4"/>
      <c r="F2355" s="4"/>
      <c r="G2355" s="4"/>
      <c r="H2355" s="61"/>
      <c r="I2355" s="62"/>
      <c r="J2355" s="62"/>
      <c r="K2355" s="78"/>
      <c r="L2355" s="57"/>
      <c r="M2355" s="57"/>
    </row>
    <row r="2356" spans="1:13" ht="15" customHeight="1">
      <c r="A2356" s="73"/>
      <c r="B2356" s="2"/>
      <c r="C2356" s="2"/>
      <c r="D2356" s="2"/>
      <c r="E2356" s="4"/>
      <c r="F2356" s="4"/>
      <c r="G2356" s="4"/>
      <c r="H2356" s="61"/>
      <c r="I2356" s="62"/>
      <c r="J2356" s="62"/>
      <c r="K2356" s="78"/>
      <c r="L2356" s="57"/>
      <c r="M2356" s="57"/>
    </row>
    <row r="2357" spans="1:13" ht="15" customHeight="1">
      <c r="A2357" s="73"/>
      <c r="B2357" s="2"/>
      <c r="C2357" s="2"/>
      <c r="D2357" s="2"/>
      <c r="E2357" s="4"/>
      <c r="F2357" s="4"/>
      <c r="G2357" s="4"/>
      <c r="H2357" s="61"/>
      <c r="I2357" s="62"/>
      <c r="J2357" s="62"/>
      <c r="K2357" s="78"/>
      <c r="L2357" s="57"/>
      <c r="M2357" s="57"/>
    </row>
    <row r="2358" spans="1:13" ht="15" customHeight="1">
      <c r="A2358" s="73"/>
      <c r="B2358" s="2"/>
      <c r="C2358" s="2"/>
      <c r="D2358" s="2"/>
      <c r="E2358" s="4"/>
      <c r="F2358" s="4"/>
      <c r="G2358" s="4"/>
      <c r="H2358" s="61"/>
      <c r="I2358" s="62"/>
      <c r="J2358" s="62"/>
      <c r="K2358" s="78"/>
      <c r="L2358" s="57"/>
      <c r="M2358" s="57"/>
    </row>
    <row r="2359" spans="1:13" ht="15" customHeight="1">
      <c r="A2359" s="73"/>
      <c r="B2359" s="2"/>
      <c r="C2359" s="2"/>
      <c r="D2359" s="2"/>
      <c r="E2359" s="4"/>
      <c r="F2359" s="4"/>
      <c r="G2359" s="4"/>
      <c r="H2359" s="61"/>
      <c r="I2359" s="62"/>
      <c r="J2359" s="62"/>
      <c r="K2359" s="78"/>
      <c r="L2359" s="57"/>
      <c r="M2359" s="57"/>
    </row>
    <row r="2360" spans="1:13" ht="15" customHeight="1">
      <c r="A2360" s="73"/>
      <c r="B2360" s="2"/>
      <c r="C2360" s="2"/>
      <c r="D2360" s="2"/>
      <c r="E2360" s="4"/>
      <c r="F2360" s="4"/>
      <c r="G2360" s="4"/>
      <c r="H2360" s="61"/>
      <c r="I2360" s="62"/>
      <c r="J2360" s="62"/>
      <c r="K2360" s="78"/>
      <c r="L2360" s="57"/>
      <c r="M2360" s="57"/>
    </row>
    <row r="2361" spans="1:13" ht="15" customHeight="1">
      <c r="A2361" s="73"/>
      <c r="B2361" s="2"/>
      <c r="C2361" s="2"/>
      <c r="D2361" s="2"/>
      <c r="E2361" s="4"/>
      <c r="F2361" s="4"/>
      <c r="G2361" s="4"/>
      <c r="H2361" s="61"/>
      <c r="I2361" s="62"/>
      <c r="J2361" s="62"/>
      <c r="K2361" s="78"/>
      <c r="L2361" s="57"/>
      <c r="M2361" s="57"/>
    </row>
    <row r="2362" spans="1:13" ht="15" customHeight="1">
      <c r="A2362" s="73"/>
      <c r="B2362" s="2"/>
      <c r="C2362" s="2"/>
      <c r="D2362" s="2"/>
      <c r="E2362" s="4"/>
      <c r="F2362" s="4"/>
      <c r="G2362" s="4"/>
      <c r="H2362" s="61"/>
      <c r="I2362" s="62"/>
      <c r="J2362" s="62"/>
      <c r="K2362" s="78"/>
      <c r="L2362" s="57"/>
      <c r="M2362" s="57"/>
    </row>
    <row r="2363" spans="1:13" ht="15" customHeight="1">
      <c r="A2363" s="73"/>
      <c r="B2363" s="2"/>
      <c r="C2363" s="2"/>
      <c r="D2363" s="2"/>
      <c r="E2363" s="4"/>
      <c r="F2363" s="4"/>
      <c r="G2363" s="4"/>
      <c r="H2363" s="61"/>
      <c r="I2363" s="62"/>
      <c r="J2363" s="62"/>
      <c r="K2363" s="78"/>
      <c r="L2363" s="57"/>
      <c r="M2363" s="57"/>
    </row>
    <row r="2364" spans="1:13" ht="15" customHeight="1">
      <c r="A2364" s="73"/>
      <c r="B2364" s="2"/>
      <c r="C2364" s="2"/>
      <c r="D2364" s="2"/>
      <c r="E2364" s="4"/>
      <c r="F2364" s="4"/>
      <c r="G2364" s="4"/>
      <c r="H2364" s="61"/>
      <c r="I2364" s="62"/>
      <c r="J2364" s="62"/>
      <c r="K2364" s="78"/>
      <c r="L2364" s="57"/>
      <c r="M2364" s="57"/>
    </row>
    <row r="2365" spans="1:13" ht="15" customHeight="1">
      <c r="A2365" s="73"/>
      <c r="B2365" s="2"/>
      <c r="C2365" s="2"/>
      <c r="D2365" s="2"/>
      <c r="E2365" s="4"/>
      <c r="F2365" s="4"/>
      <c r="G2365" s="4"/>
      <c r="H2365" s="61"/>
      <c r="I2365" s="62"/>
      <c r="J2365" s="62"/>
      <c r="K2365" s="78"/>
      <c r="L2365" s="57"/>
      <c r="M2365" s="57"/>
    </row>
    <row r="2366" spans="1:13" ht="15" customHeight="1">
      <c r="A2366" s="73"/>
      <c r="B2366" s="2"/>
      <c r="C2366" s="2"/>
      <c r="D2366" s="2"/>
      <c r="E2366" s="4"/>
      <c r="F2366" s="4"/>
      <c r="G2366" s="4"/>
      <c r="H2366" s="61"/>
      <c r="I2366" s="62"/>
      <c r="J2366" s="62"/>
      <c r="K2366" s="78"/>
      <c r="L2366" s="57"/>
      <c r="M2366" s="57"/>
    </row>
    <row r="2367" spans="1:13" ht="15" customHeight="1">
      <c r="A2367" s="73"/>
      <c r="B2367" s="2"/>
      <c r="C2367" s="2"/>
      <c r="D2367" s="2"/>
      <c r="E2367" s="4"/>
      <c r="F2367" s="4"/>
      <c r="G2367" s="4"/>
      <c r="H2367" s="61"/>
      <c r="I2367" s="62"/>
      <c r="J2367" s="62"/>
      <c r="K2367" s="78"/>
      <c r="L2367" s="57"/>
      <c r="M2367" s="57"/>
    </row>
    <row r="2368" spans="1:13" ht="15" customHeight="1">
      <c r="A2368" s="73"/>
      <c r="B2368" s="2"/>
      <c r="C2368" s="2"/>
      <c r="D2368" s="2"/>
      <c r="E2368" s="4"/>
      <c r="F2368" s="4"/>
      <c r="G2368" s="4"/>
      <c r="H2368" s="61"/>
      <c r="I2368" s="62"/>
      <c r="J2368" s="62"/>
      <c r="K2368" s="78"/>
      <c r="L2368" s="57"/>
      <c r="M2368" s="57"/>
    </row>
    <row r="2369" spans="1:13" ht="15" customHeight="1">
      <c r="A2369" s="73"/>
      <c r="B2369" s="2"/>
      <c r="C2369" s="2"/>
      <c r="D2369" s="2"/>
      <c r="E2369" s="4"/>
      <c r="F2369" s="4"/>
      <c r="G2369" s="4"/>
      <c r="H2369" s="61"/>
      <c r="I2369" s="62"/>
      <c r="J2369" s="62"/>
      <c r="K2369" s="78"/>
      <c r="L2369" s="57"/>
      <c r="M2369" s="57"/>
    </row>
    <row r="2370" spans="1:13" ht="15" customHeight="1">
      <c r="A2370" s="73"/>
      <c r="B2370" s="2"/>
      <c r="C2370" s="2"/>
      <c r="D2370" s="2"/>
      <c r="E2370" s="4"/>
      <c r="F2370" s="4"/>
      <c r="G2370" s="4"/>
      <c r="H2370" s="61"/>
      <c r="I2370" s="62"/>
      <c r="J2370" s="62"/>
      <c r="K2370" s="78"/>
      <c r="L2370" s="57"/>
      <c r="M2370" s="57"/>
    </row>
    <row r="2371" spans="1:13" ht="15" customHeight="1">
      <c r="A2371" s="73"/>
      <c r="B2371" s="2"/>
      <c r="C2371" s="2"/>
      <c r="D2371" s="2"/>
      <c r="E2371" s="4"/>
      <c r="F2371" s="4"/>
      <c r="G2371" s="4"/>
      <c r="H2371" s="61"/>
      <c r="I2371" s="62"/>
      <c r="J2371" s="62"/>
      <c r="K2371" s="78"/>
      <c r="L2371" s="57"/>
      <c r="M2371" s="57"/>
    </row>
    <row r="2372" spans="1:13" ht="15" customHeight="1">
      <c r="A2372" s="73"/>
      <c r="B2372" s="2"/>
      <c r="C2372" s="2"/>
      <c r="D2372" s="2"/>
      <c r="E2372" s="4"/>
      <c r="F2372" s="4"/>
      <c r="G2372" s="4"/>
      <c r="H2372" s="61"/>
      <c r="I2372" s="62"/>
      <c r="J2372" s="62"/>
      <c r="K2372" s="78"/>
      <c r="L2372" s="57"/>
      <c r="M2372" s="57"/>
    </row>
    <row r="2373" spans="1:13" ht="15" customHeight="1">
      <c r="A2373" s="73"/>
      <c r="B2373" s="2"/>
      <c r="C2373" s="2"/>
      <c r="D2373" s="2"/>
      <c r="E2373" s="4"/>
      <c r="F2373" s="4"/>
      <c r="G2373" s="4"/>
      <c r="H2373" s="61"/>
      <c r="I2373" s="62"/>
      <c r="J2373" s="62"/>
      <c r="K2373" s="78"/>
      <c r="L2373" s="57"/>
      <c r="M2373" s="57"/>
    </row>
    <row r="2374" spans="1:13" ht="15" customHeight="1">
      <c r="A2374" s="73"/>
      <c r="B2374" s="2"/>
      <c r="C2374" s="2"/>
      <c r="D2374" s="2"/>
      <c r="E2374" s="4"/>
      <c r="F2374" s="4"/>
      <c r="G2374" s="4"/>
      <c r="H2374" s="61"/>
      <c r="I2374" s="62"/>
      <c r="J2374" s="62"/>
      <c r="K2374" s="78"/>
      <c r="L2374" s="57"/>
      <c r="M2374" s="57"/>
    </row>
    <row r="2375" spans="1:13" ht="15" customHeight="1">
      <c r="A2375" s="73"/>
      <c r="B2375" s="2"/>
      <c r="C2375" s="2"/>
      <c r="D2375" s="2"/>
      <c r="E2375" s="4"/>
      <c r="F2375" s="4"/>
      <c r="G2375" s="4"/>
      <c r="H2375" s="61"/>
      <c r="I2375" s="62"/>
      <c r="J2375" s="62"/>
      <c r="K2375" s="78"/>
      <c r="L2375" s="57"/>
      <c r="M2375" s="57"/>
    </row>
    <row r="2376" spans="1:13" ht="15" customHeight="1">
      <c r="A2376" s="73"/>
      <c r="B2376" s="2"/>
      <c r="C2376" s="2"/>
      <c r="D2376" s="2"/>
      <c r="E2376" s="4"/>
      <c r="F2376" s="4"/>
      <c r="G2376" s="4"/>
      <c r="H2376" s="61"/>
      <c r="I2376" s="62"/>
      <c r="J2376" s="62"/>
      <c r="K2376" s="78"/>
      <c r="L2376" s="57"/>
      <c r="M2376" s="57"/>
    </row>
    <row r="2377" spans="1:13" ht="15" customHeight="1">
      <c r="A2377" s="73"/>
      <c r="B2377" s="2"/>
      <c r="C2377" s="2"/>
      <c r="D2377" s="2"/>
      <c r="E2377" s="4"/>
      <c r="F2377" s="4"/>
      <c r="G2377" s="4"/>
      <c r="H2377" s="61"/>
      <c r="I2377" s="62"/>
      <c r="J2377" s="62"/>
      <c r="K2377" s="78"/>
      <c r="L2377" s="57"/>
      <c r="M2377" s="57"/>
    </row>
    <row r="2378" spans="1:13" ht="15" customHeight="1">
      <c r="A2378" s="73"/>
      <c r="B2378" s="2"/>
      <c r="C2378" s="2"/>
      <c r="D2378" s="2"/>
      <c r="E2378" s="4"/>
      <c r="F2378" s="4"/>
      <c r="G2378" s="4"/>
      <c r="H2378" s="61"/>
      <c r="I2378" s="62"/>
      <c r="J2378" s="62"/>
      <c r="K2378" s="78"/>
      <c r="L2378" s="57"/>
      <c r="M2378" s="57"/>
    </row>
    <row r="2379" spans="1:13" ht="15" customHeight="1">
      <c r="A2379" s="73"/>
      <c r="B2379" s="2"/>
      <c r="C2379" s="2"/>
      <c r="D2379" s="2"/>
      <c r="E2379" s="4"/>
      <c r="F2379" s="4"/>
      <c r="G2379" s="4"/>
      <c r="H2379" s="61"/>
      <c r="I2379" s="62"/>
      <c r="J2379" s="62"/>
      <c r="K2379" s="78"/>
      <c r="L2379" s="57"/>
      <c r="M2379" s="57"/>
    </row>
    <row r="2380" spans="1:13" ht="15" customHeight="1">
      <c r="A2380" s="73"/>
      <c r="B2380" s="2"/>
      <c r="C2380" s="2"/>
      <c r="D2380" s="2"/>
      <c r="E2380" s="4"/>
      <c r="F2380" s="4"/>
      <c r="G2380" s="4"/>
      <c r="H2380" s="61"/>
      <c r="I2380" s="62"/>
      <c r="J2380" s="62"/>
      <c r="K2380" s="78"/>
      <c r="L2380" s="57"/>
      <c r="M2380" s="57"/>
    </row>
    <row r="2381" spans="1:13" ht="15" customHeight="1">
      <c r="A2381" s="73"/>
      <c r="B2381" s="2"/>
      <c r="C2381" s="2"/>
      <c r="D2381" s="2"/>
      <c r="E2381" s="4"/>
      <c r="F2381" s="4"/>
      <c r="G2381" s="4"/>
      <c r="H2381" s="61"/>
      <c r="I2381" s="62"/>
      <c r="J2381" s="62"/>
      <c r="K2381" s="78"/>
      <c r="L2381" s="57"/>
      <c r="M2381" s="57"/>
    </row>
    <row r="2382" spans="1:13" ht="15" customHeight="1">
      <c r="A2382" s="73"/>
      <c r="B2382" s="2"/>
      <c r="C2382" s="2"/>
      <c r="D2382" s="2"/>
      <c r="E2382" s="4"/>
      <c r="F2382" s="4"/>
      <c r="G2382" s="4"/>
      <c r="H2382" s="61"/>
      <c r="I2382" s="62"/>
      <c r="J2382" s="62"/>
      <c r="K2382" s="78"/>
      <c r="L2382" s="57"/>
      <c r="M2382" s="57"/>
    </row>
    <row r="2383" spans="1:13" ht="15" customHeight="1">
      <c r="A2383" s="73"/>
      <c r="B2383" s="2"/>
      <c r="C2383" s="2"/>
      <c r="D2383" s="2"/>
      <c r="E2383" s="4"/>
      <c r="F2383" s="4"/>
      <c r="G2383" s="4"/>
      <c r="H2383" s="61"/>
      <c r="I2383" s="62"/>
      <c r="J2383" s="62"/>
      <c r="K2383" s="78"/>
      <c r="L2383" s="57"/>
      <c r="M2383" s="57"/>
    </row>
    <row r="2384" spans="1:13" ht="15" customHeight="1">
      <c r="A2384" s="73"/>
      <c r="B2384" s="2"/>
      <c r="C2384" s="2"/>
      <c r="D2384" s="2"/>
      <c r="E2384" s="4"/>
      <c r="F2384" s="4"/>
      <c r="G2384" s="4"/>
      <c r="H2384" s="61"/>
      <c r="I2384" s="62"/>
      <c r="J2384" s="62"/>
      <c r="K2384" s="78"/>
      <c r="L2384" s="57"/>
      <c r="M2384" s="57"/>
    </row>
    <row r="2385" spans="1:13" ht="15" customHeight="1">
      <c r="A2385" s="73"/>
      <c r="B2385" s="2"/>
      <c r="C2385" s="2"/>
      <c r="D2385" s="2"/>
      <c r="E2385" s="4"/>
      <c r="F2385" s="4"/>
      <c r="G2385" s="4"/>
      <c r="H2385" s="61"/>
      <c r="I2385" s="62"/>
      <c r="J2385" s="62"/>
      <c r="K2385" s="78"/>
      <c r="L2385" s="57"/>
      <c r="M2385" s="57"/>
    </row>
    <row r="2386" spans="1:13" ht="15" customHeight="1">
      <c r="A2386" s="73"/>
      <c r="B2386" s="2"/>
      <c r="C2386" s="2"/>
      <c r="D2386" s="2"/>
      <c r="E2386" s="4"/>
      <c r="F2386" s="4"/>
      <c r="G2386" s="4"/>
      <c r="H2386" s="61"/>
      <c r="I2386" s="62"/>
      <c r="J2386" s="62"/>
      <c r="K2386" s="78"/>
      <c r="L2386" s="57"/>
      <c r="M2386" s="57"/>
    </row>
    <row r="2387" spans="1:13" ht="15" customHeight="1">
      <c r="A2387" s="73"/>
      <c r="B2387" s="2"/>
      <c r="C2387" s="2"/>
      <c r="D2387" s="2"/>
      <c r="E2387" s="4"/>
      <c r="F2387" s="4"/>
      <c r="G2387" s="4"/>
      <c r="H2387" s="61"/>
      <c r="I2387" s="62"/>
      <c r="J2387" s="62"/>
      <c r="K2387" s="78"/>
      <c r="L2387" s="57"/>
      <c r="M2387" s="57"/>
    </row>
    <row r="2388" spans="1:13" ht="15" customHeight="1">
      <c r="A2388" s="73"/>
      <c r="B2388" s="2"/>
      <c r="C2388" s="2"/>
      <c r="D2388" s="2"/>
      <c r="E2388" s="4"/>
      <c r="F2388" s="4"/>
      <c r="G2388" s="4"/>
      <c r="H2388" s="61"/>
      <c r="I2388" s="62"/>
      <c r="J2388" s="62"/>
      <c r="K2388" s="78"/>
      <c r="L2388" s="57"/>
      <c r="M2388" s="57"/>
    </row>
    <row r="2389" spans="1:13" ht="15" customHeight="1">
      <c r="A2389" s="73"/>
      <c r="B2389" s="2"/>
      <c r="C2389" s="2"/>
      <c r="D2389" s="2"/>
      <c r="E2389" s="4"/>
      <c r="F2389" s="4"/>
      <c r="G2389" s="4"/>
      <c r="H2389" s="61"/>
      <c r="I2389" s="62"/>
      <c r="J2389" s="62"/>
      <c r="K2389" s="78"/>
      <c r="L2389" s="57"/>
      <c r="M2389" s="57"/>
    </row>
    <row r="2390" spans="1:13" ht="15" customHeight="1">
      <c r="A2390" s="73"/>
      <c r="B2390" s="2"/>
      <c r="C2390" s="2"/>
      <c r="D2390" s="2"/>
      <c r="E2390" s="4"/>
      <c r="F2390" s="4"/>
      <c r="G2390" s="4"/>
      <c r="H2390" s="61"/>
      <c r="I2390" s="62"/>
      <c r="J2390" s="62"/>
      <c r="K2390" s="78"/>
      <c r="L2390" s="57"/>
      <c r="M2390" s="57"/>
    </row>
    <row r="2391" spans="1:13" ht="15" customHeight="1">
      <c r="A2391" s="73"/>
      <c r="B2391" s="2"/>
      <c r="C2391" s="2"/>
      <c r="D2391" s="2"/>
      <c r="E2391" s="4"/>
      <c r="F2391" s="4"/>
      <c r="G2391" s="4"/>
      <c r="H2391" s="61"/>
      <c r="I2391" s="62"/>
      <c r="J2391" s="62"/>
      <c r="K2391" s="78"/>
      <c r="L2391" s="57"/>
      <c r="M2391" s="57"/>
    </row>
    <row r="2392" spans="1:13" ht="15" customHeight="1">
      <c r="A2392" s="73"/>
      <c r="B2392" s="2"/>
      <c r="C2392" s="2"/>
      <c r="D2392" s="2"/>
      <c r="E2392" s="4"/>
      <c r="F2392" s="4"/>
      <c r="G2392" s="4"/>
      <c r="H2392" s="61"/>
      <c r="I2392" s="62"/>
      <c r="J2392" s="62"/>
      <c r="K2392" s="78"/>
      <c r="L2392" s="57"/>
      <c r="M2392" s="57"/>
    </row>
    <row r="2393" spans="1:13" ht="15" customHeight="1">
      <c r="A2393" s="73"/>
      <c r="B2393" s="2"/>
      <c r="C2393" s="2"/>
      <c r="D2393" s="2"/>
      <c r="E2393" s="4"/>
      <c r="F2393" s="4"/>
      <c r="G2393" s="4"/>
      <c r="H2393" s="61"/>
      <c r="I2393" s="62"/>
      <c r="J2393" s="62"/>
      <c r="K2393" s="78"/>
      <c r="L2393" s="57"/>
      <c r="M2393" s="57"/>
    </row>
    <row r="2394" spans="1:13" ht="15" customHeight="1">
      <c r="A2394" s="73"/>
      <c r="B2394" s="2"/>
      <c r="C2394" s="2"/>
      <c r="D2394" s="2"/>
      <c r="E2394" s="4"/>
      <c r="F2394" s="4"/>
      <c r="G2394" s="4"/>
      <c r="H2394" s="61"/>
      <c r="I2394" s="62"/>
      <c r="J2394" s="62"/>
      <c r="K2394" s="78"/>
      <c r="L2394" s="57"/>
      <c r="M2394" s="57"/>
    </row>
    <row r="2395" spans="1:13" ht="15" customHeight="1">
      <c r="A2395" s="73"/>
      <c r="B2395" s="2"/>
      <c r="C2395" s="2"/>
      <c r="D2395" s="2"/>
      <c r="E2395" s="4"/>
      <c r="F2395" s="4"/>
      <c r="G2395" s="4"/>
      <c r="H2395" s="61"/>
      <c r="I2395" s="62"/>
      <c r="J2395" s="62"/>
      <c r="K2395" s="78"/>
      <c r="L2395" s="57"/>
      <c r="M2395" s="57"/>
    </row>
    <row r="2396" spans="1:13" ht="15" customHeight="1">
      <c r="A2396" s="73"/>
      <c r="B2396" s="2"/>
      <c r="C2396" s="2"/>
      <c r="D2396" s="2"/>
      <c r="E2396" s="4"/>
      <c r="F2396" s="4"/>
      <c r="G2396" s="4"/>
      <c r="H2396" s="61"/>
      <c r="I2396" s="62"/>
      <c r="J2396" s="62"/>
      <c r="K2396" s="78"/>
      <c r="L2396" s="57"/>
      <c r="M2396" s="57"/>
    </row>
    <row r="2397" spans="1:13" ht="15" customHeight="1">
      <c r="A2397" s="73"/>
      <c r="B2397" s="2"/>
      <c r="C2397" s="2"/>
      <c r="D2397" s="2"/>
      <c r="E2397" s="4"/>
      <c r="F2397" s="4"/>
      <c r="G2397" s="4"/>
      <c r="H2397" s="61"/>
      <c r="I2397" s="62"/>
      <c r="J2397" s="62"/>
      <c r="K2397" s="78"/>
      <c r="L2397" s="57"/>
      <c r="M2397" s="57"/>
    </row>
    <row r="2398" spans="1:13" ht="15" customHeight="1">
      <c r="A2398" s="73"/>
      <c r="B2398" s="2"/>
      <c r="C2398" s="2"/>
      <c r="D2398" s="2"/>
      <c r="E2398" s="4"/>
      <c r="F2398" s="4"/>
      <c r="G2398" s="4"/>
      <c r="H2398" s="61"/>
      <c r="I2398" s="62"/>
      <c r="J2398" s="62"/>
      <c r="K2398" s="78"/>
      <c r="L2398" s="57"/>
      <c r="M2398" s="57"/>
    </row>
    <row r="2399" spans="1:13" ht="15" customHeight="1">
      <c r="A2399" s="73"/>
      <c r="B2399" s="2"/>
      <c r="C2399" s="2"/>
      <c r="D2399" s="2"/>
      <c r="E2399" s="4"/>
      <c r="F2399" s="4"/>
      <c r="G2399" s="4"/>
      <c r="H2399" s="61"/>
      <c r="I2399" s="62"/>
      <c r="J2399" s="62"/>
      <c r="K2399" s="78"/>
      <c r="L2399" s="57"/>
      <c r="M2399" s="57"/>
    </row>
    <row r="2400" spans="1:13" ht="15" customHeight="1">
      <c r="A2400" s="73"/>
      <c r="B2400" s="2"/>
      <c r="C2400" s="2"/>
      <c r="D2400" s="2"/>
      <c r="E2400" s="4"/>
      <c r="F2400" s="4"/>
      <c r="G2400" s="4"/>
      <c r="H2400" s="61"/>
      <c r="I2400" s="62"/>
      <c r="J2400" s="62"/>
      <c r="K2400" s="78"/>
      <c r="L2400" s="57"/>
      <c r="M2400" s="57"/>
    </row>
    <row r="2401" spans="1:13" ht="15" customHeight="1">
      <c r="A2401" s="73"/>
      <c r="B2401" s="2"/>
      <c r="C2401" s="2"/>
      <c r="D2401" s="2"/>
      <c r="E2401" s="4"/>
      <c r="F2401" s="4"/>
      <c r="G2401" s="4"/>
      <c r="H2401" s="61"/>
      <c r="I2401" s="62"/>
      <c r="J2401" s="62"/>
      <c r="K2401" s="78"/>
      <c r="L2401" s="57"/>
      <c r="M2401" s="57"/>
    </row>
    <row r="2402" spans="1:13" ht="15" customHeight="1">
      <c r="A2402" s="73"/>
      <c r="B2402" s="2"/>
      <c r="C2402" s="2"/>
      <c r="D2402" s="2"/>
      <c r="E2402" s="4"/>
      <c r="F2402" s="4"/>
      <c r="G2402" s="4"/>
      <c r="H2402" s="61"/>
      <c r="I2402" s="62"/>
      <c r="J2402" s="62"/>
      <c r="K2402" s="78"/>
      <c r="L2402" s="57"/>
      <c r="M2402" s="57"/>
    </row>
    <row r="2403" spans="1:13" ht="15" customHeight="1">
      <c r="A2403" s="73"/>
      <c r="B2403" s="2"/>
      <c r="C2403" s="2"/>
      <c r="D2403" s="2"/>
      <c r="E2403" s="4"/>
      <c r="F2403" s="4"/>
      <c r="G2403" s="4"/>
      <c r="H2403" s="61"/>
      <c r="I2403" s="62"/>
      <c r="J2403" s="62"/>
      <c r="K2403" s="78"/>
      <c r="L2403" s="57"/>
      <c r="M2403" s="57"/>
    </row>
    <row r="2404" spans="1:13" ht="15" customHeight="1">
      <c r="A2404" s="73"/>
      <c r="B2404" s="2"/>
      <c r="C2404" s="2"/>
      <c r="D2404" s="2"/>
      <c r="E2404" s="4"/>
      <c r="F2404" s="4"/>
      <c r="G2404" s="4"/>
      <c r="H2404" s="61"/>
      <c r="I2404" s="62"/>
      <c r="J2404" s="62"/>
      <c r="K2404" s="78"/>
      <c r="L2404" s="57"/>
      <c r="M2404" s="57"/>
    </row>
    <row r="2405" spans="1:13" ht="15" customHeight="1">
      <c r="A2405" s="73"/>
      <c r="B2405" s="2"/>
      <c r="C2405" s="2"/>
      <c r="D2405" s="2"/>
      <c r="E2405" s="4"/>
      <c r="F2405" s="4"/>
      <c r="G2405" s="4"/>
      <c r="H2405" s="61"/>
      <c r="I2405" s="62"/>
      <c r="J2405" s="62"/>
      <c r="K2405" s="78"/>
      <c r="L2405" s="57"/>
      <c r="M2405" s="57"/>
    </row>
    <row r="2406" spans="1:13" ht="15" customHeight="1">
      <c r="A2406" s="73"/>
      <c r="B2406" s="2"/>
      <c r="C2406" s="2"/>
      <c r="D2406" s="2"/>
      <c r="E2406" s="4"/>
      <c r="F2406" s="4"/>
      <c r="G2406" s="4"/>
      <c r="H2406" s="61"/>
      <c r="I2406" s="62"/>
      <c r="J2406" s="62"/>
      <c r="K2406" s="78"/>
      <c r="L2406" s="57"/>
      <c r="M2406" s="57"/>
    </row>
    <row r="2407" spans="1:13" ht="15" customHeight="1">
      <c r="A2407" s="73"/>
      <c r="B2407" s="2"/>
      <c r="C2407" s="2"/>
      <c r="D2407" s="2"/>
      <c r="E2407" s="4"/>
      <c r="F2407" s="4"/>
      <c r="G2407" s="4"/>
      <c r="H2407" s="61"/>
      <c r="I2407" s="62"/>
      <c r="J2407" s="62"/>
      <c r="K2407" s="78"/>
      <c r="L2407" s="57"/>
      <c r="M2407" s="57"/>
    </row>
    <row r="2408" spans="1:13" ht="15" customHeight="1">
      <c r="A2408" s="73"/>
      <c r="B2408" s="2"/>
      <c r="C2408" s="2"/>
      <c r="D2408" s="2"/>
      <c r="E2408" s="4"/>
      <c r="F2408" s="4"/>
      <c r="G2408" s="4"/>
      <c r="H2408" s="61"/>
      <c r="I2408" s="62"/>
      <c r="J2408" s="62"/>
      <c r="K2408" s="78"/>
      <c r="L2408" s="57"/>
      <c r="M2408" s="57"/>
    </row>
    <row r="2409" spans="1:13" ht="15" customHeight="1">
      <c r="A2409" s="73"/>
      <c r="B2409" s="2"/>
      <c r="C2409" s="2"/>
      <c r="D2409" s="2"/>
      <c r="E2409" s="4"/>
      <c r="F2409" s="4"/>
      <c r="G2409" s="4"/>
      <c r="H2409" s="61"/>
      <c r="I2409" s="62"/>
      <c r="J2409" s="62"/>
      <c r="K2409" s="78"/>
      <c r="L2409" s="57"/>
      <c r="M2409" s="57"/>
    </row>
    <row r="2410" spans="1:13" ht="15" customHeight="1">
      <c r="A2410" s="73"/>
      <c r="B2410" s="2"/>
      <c r="C2410" s="2"/>
      <c r="D2410" s="2"/>
      <c r="E2410" s="4"/>
      <c r="F2410" s="4"/>
      <c r="G2410" s="4"/>
      <c r="H2410" s="61"/>
      <c r="I2410" s="62"/>
      <c r="J2410" s="62"/>
      <c r="K2410" s="78"/>
      <c r="L2410" s="57"/>
      <c r="M2410" s="57"/>
    </row>
    <row r="2411" spans="1:13" ht="15" customHeight="1">
      <c r="A2411" s="73"/>
      <c r="B2411" s="2"/>
      <c r="C2411" s="2"/>
      <c r="D2411" s="2"/>
      <c r="E2411" s="4"/>
      <c r="F2411" s="4"/>
      <c r="G2411" s="4"/>
      <c r="H2411" s="61"/>
      <c r="I2411" s="62"/>
      <c r="J2411" s="62"/>
      <c r="K2411" s="78"/>
      <c r="L2411" s="57"/>
      <c r="M2411" s="57"/>
    </row>
    <row r="2412" spans="1:13" ht="15" customHeight="1">
      <c r="A2412" s="73"/>
      <c r="B2412" s="2"/>
      <c r="C2412" s="2"/>
      <c r="D2412" s="2"/>
      <c r="E2412" s="4"/>
      <c r="F2412" s="4"/>
      <c r="G2412" s="4"/>
      <c r="H2412" s="61"/>
      <c r="I2412" s="62"/>
      <c r="J2412" s="62"/>
      <c r="K2412" s="78"/>
      <c r="L2412" s="57"/>
      <c r="M2412" s="57"/>
    </row>
    <row r="2413" spans="1:13" ht="15" customHeight="1">
      <c r="A2413" s="73"/>
      <c r="B2413" s="2"/>
      <c r="C2413" s="2"/>
      <c r="D2413" s="2"/>
      <c r="E2413" s="63"/>
      <c r="F2413" s="4"/>
      <c r="G2413" s="4"/>
      <c r="H2413" s="61"/>
      <c r="I2413" s="62"/>
      <c r="J2413" s="62"/>
      <c r="K2413" s="78"/>
      <c r="L2413" s="57"/>
      <c r="M2413" s="57"/>
    </row>
    <row r="2414" spans="1:13" ht="15" customHeight="1">
      <c r="A2414" s="73"/>
      <c r="B2414" s="2"/>
      <c r="C2414" s="2"/>
      <c r="D2414" s="2"/>
      <c r="E2414" s="4"/>
      <c r="F2414" s="4"/>
      <c r="G2414" s="4"/>
      <c r="H2414" s="61"/>
      <c r="I2414" s="62"/>
      <c r="J2414" s="62"/>
      <c r="K2414" s="78"/>
      <c r="L2414" s="57"/>
      <c r="M2414" s="57"/>
    </row>
    <row r="2415" spans="1:13" ht="15" customHeight="1">
      <c r="A2415" s="73"/>
      <c r="B2415" s="2"/>
      <c r="C2415" s="2"/>
      <c r="D2415" s="2"/>
      <c r="E2415" s="63"/>
      <c r="F2415" s="4"/>
      <c r="G2415" s="4"/>
      <c r="H2415" s="61"/>
      <c r="I2415" s="62"/>
      <c r="J2415" s="62"/>
      <c r="K2415" s="78"/>
      <c r="L2415" s="57"/>
      <c r="M2415" s="57"/>
    </row>
    <row r="2416" spans="1:13" ht="15" customHeight="1">
      <c r="A2416" s="73"/>
      <c r="B2416" s="2"/>
      <c r="C2416" s="2"/>
      <c r="D2416" s="2"/>
      <c r="E2416" s="4"/>
      <c r="F2416" s="4"/>
      <c r="G2416" s="4"/>
      <c r="H2416" s="61"/>
      <c r="I2416" s="62"/>
      <c r="J2416" s="62"/>
      <c r="K2416" s="78"/>
      <c r="L2416" s="57"/>
      <c r="M2416" s="57"/>
    </row>
    <row r="2417" spans="1:13" ht="15" customHeight="1">
      <c r="A2417" s="73"/>
      <c r="B2417" s="2"/>
      <c r="C2417" s="2"/>
      <c r="D2417" s="2"/>
      <c r="E2417" s="63"/>
      <c r="F2417" s="4"/>
      <c r="G2417" s="4"/>
      <c r="H2417" s="61"/>
      <c r="I2417" s="62"/>
      <c r="J2417" s="62"/>
      <c r="K2417" s="78"/>
      <c r="L2417" s="57"/>
      <c r="M2417" s="57"/>
    </row>
    <row r="2418" spans="1:13" ht="15" customHeight="1">
      <c r="A2418" s="73"/>
      <c r="B2418" s="2"/>
      <c r="C2418" s="2"/>
      <c r="D2418" s="2"/>
      <c r="E2418" s="4"/>
      <c r="F2418" s="4"/>
      <c r="G2418" s="4"/>
      <c r="H2418" s="61"/>
      <c r="I2418" s="62"/>
      <c r="J2418" s="62"/>
      <c r="K2418" s="78"/>
      <c r="L2418" s="57"/>
      <c r="M2418" s="57"/>
    </row>
    <row r="2419" spans="1:13" ht="15" customHeight="1">
      <c r="A2419" s="73"/>
      <c r="B2419" s="2"/>
      <c r="C2419" s="2"/>
      <c r="D2419" s="2"/>
      <c r="E2419" s="4"/>
      <c r="F2419" s="4"/>
      <c r="G2419" s="4"/>
      <c r="H2419" s="61"/>
      <c r="I2419" s="62"/>
      <c r="J2419" s="62"/>
      <c r="K2419" s="78"/>
      <c r="L2419" s="57"/>
      <c r="M2419" s="57"/>
    </row>
    <row r="2420" spans="1:13" ht="15" customHeight="1">
      <c r="A2420" s="73"/>
      <c r="B2420" s="2"/>
      <c r="C2420" s="2"/>
      <c r="D2420" s="2"/>
      <c r="E2420" s="4"/>
      <c r="F2420" s="4"/>
      <c r="G2420" s="4"/>
      <c r="H2420" s="61"/>
      <c r="I2420" s="62"/>
      <c r="J2420" s="62"/>
      <c r="K2420" s="78"/>
      <c r="L2420" s="57"/>
      <c r="M2420" s="57"/>
    </row>
    <row r="2421" spans="1:13" ht="15" customHeight="1">
      <c r="A2421" s="73"/>
      <c r="B2421" s="2"/>
      <c r="C2421" s="2"/>
      <c r="D2421" s="2"/>
      <c r="E2421" s="4"/>
      <c r="F2421" s="4"/>
      <c r="G2421" s="4"/>
      <c r="H2421" s="61"/>
      <c r="I2421" s="62"/>
      <c r="J2421" s="62"/>
      <c r="K2421" s="78"/>
      <c r="L2421" s="57"/>
      <c r="M2421" s="57"/>
    </row>
    <row r="2422" spans="1:13" ht="15" customHeight="1">
      <c r="A2422" s="73"/>
      <c r="B2422" s="2"/>
      <c r="C2422" s="2"/>
      <c r="D2422" s="2"/>
      <c r="E2422" s="4"/>
      <c r="F2422" s="4"/>
      <c r="G2422" s="4"/>
      <c r="H2422" s="61"/>
      <c r="I2422" s="62"/>
      <c r="J2422" s="62"/>
      <c r="K2422" s="78"/>
      <c r="L2422" s="57"/>
      <c r="M2422" s="57"/>
    </row>
    <row r="2423" spans="1:13" ht="15" customHeight="1">
      <c r="A2423" s="73"/>
      <c r="B2423" s="2"/>
      <c r="C2423" s="2"/>
      <c r="D2423" s="2"/>
      <c r="E2423" s="4"/>
      <c r="F2423" s="4"/>
      <c r="G2423" s="4"/>
      <c r="H2423" s="61"/>
      <c r="I2423" s="62"/>
      <c r="J2423" s="62"/>
      <c r="K2423" s="78"/>
      <c r="L2423" s="57"/>
      <c r="M2423" s="57"/>
    </row>
    <row r="2424" spans="1:13" ht="15" customHeight="1">
      <c r="A2424" s="73"/>
      <c r="B2424" s="2"/>
      <c r="C2424" s="2"/>
      <c r="D2424" s="2"/>
      <c r="E2424" s="4"/>
      <c r="F2424" s="4"/>
      <c r="G2424" s="4"/>
      <c r="H2424" s="61"/>
      <c r="I2424" s="62"/>
      <c r="J2424" s="62"/>
      <c r="K2424" s="78"/>
      <c r="L2424" s="57"/>
      <c r="M2424" s="57"/>
    </row>
    <row r="2425" spans="1:13" ht="15" customHeight="1">
      <c r="A2425" s="73"/>
      <c r="B2425" s="2"/>
      <c r="C2425" s="2"/>
      <c r="D2425" s="2"/>
      <c r="E2425" s="4"/>
      <c r="F2425" s="4"/>
      <c r="G2425" s="4"/>
      <c r="H2425" s="61"/>
      <c r="I2425" s="62"/>
      <c r="J2425" s="62"/>
      <c r="K2425" s="78"/>
      <c r="L2425" s="57"/>
      <c r="M2425" s="57"/>
    </row>
    <row r="2426" spans="1:13" ht="15" customHeight="1">
      <c r="A2426" s="73"/>
      <c r="B2426" s="2"/>
      <c r="C2426" s="2"/>
      <c r="D2426" s="2"/>
      <c r="E2426" s="4"/>
      <c r="F2426" s="4"/>
      <c r="G2426" s="4"/>
      <c r="H2426" s="61"/>
      <c r="I2426" s="62"/>
      <c r="J2426" s="62"/>
      <c r="K2426" s="78"/>
      <c r="L2426" s="57"/>
      <c r="M2426" s="57"/>
    </row>
    <row r="2427" spans="1:13" ht="15" customHeight="1">
      <c r="A2427" s="73"/>
      <c r="B2427" s="2"/>
      <c r="C2427" s="2"/>
      <c r="D2427" s="2"/>
      <c r="E2427" s="4"/>
      <c r="F2427" s="4"/>
      <c r="G2427" s="4"/>
      <c r="H2427" s="61"/>
      <c r="I2427" s="62"/>
      <c r="J2427" s="62"/>
      <c r="K2427" s="78"/>
      <c r="L2427" s="57"/>
      <c r="M2427" s="57"/>
    </row>
    <row r="2428" spans="1:13" ht="15" customHeight="1">
      <c r="A2428" s="73"/>
      <c r="B2428" s="2"/>
      <c r="C2428" s="2"/>
      <c r="D2428" s="2"/>
      <c r="E2428" s="4"/>
      <c r="F2428" s="4"/>
      <c r="G2428" s="4"/>
      <c r="H2428" s="61"/>
      <c r="I2428" s="62"/>
      <c r="J2428" s="62"/>
      <c r="K2428" s="78"/>
      <c r="L2428" s="57"/>
      <c r="M2428" s="57"/>
    </row>
    <row r="2429" spans="1:13" ht="15" customHeight="1">
      <c r="A2429" s="73"/>
      <c r="B2429" s="2"/>
      <c r="C2429" s="2"/>
      <c r="D2429" s="2"/>
      <c r="E2429" s="4"/>
      <c r="F2429" s="4"/>
      <c r="G2429" s="4"/>
      <c r="H2429" s="61"/>
      <c r="I2429" s="62"/>
      <c r="J2429" s="62"/>
      <c r="K2429" s="78"/>
      <c r="L2429" s="57"/>
      <c r="M2429" s="57"/>
    </row>
    <row r="2430" spans="1:13" ht="15" customHeight="1">
      <c r="A2430" s="73"/>
      <c r="B2430" s="2"/>
      <c r="C2430" s="2"/>
      <c r="D2430" s="2"/>
      <c r="E2430" s="4"/>
      <c r="F2430" s="4"/>
      <c r="G2430" s="4"/>
      <c r="H2430" s="61"/>
      <c r="I2430" s="62"/>
      <c r="J2430" s="62"/>
      <c r="K2430" s="78"/>
      <c r="L2430" s="57"/>
      <c r="M2430" s="57"/>
    </row>
    <row r="2431" spans="1:13" ht="15" customHeight="1">
      <c r="A2431" s="73"/>
      <c r="B2431" s="2"/>
      <c r="C2431" s="2"/>
      <c r="D2431" s="2"/>
      <c r="E2431" s="4"/>
      <c r="F2431" s="4"/>
      <c r="G2431" s="4"/>
      <c r="H2431" s="61"/>
      <c r="I2431" s="62"/>
      <c r="J2431" s="62"/>
      <c r="K2431" s="78"/>
      <c r="L2431" s="57"/>
      <c r="M2431" s="57"/>
    </row>
    <row r="2432" spans="1:13" ht="15" customHeight="1">
      <c r="A2432" s="73"/>
      <c r="B2432" s="2"/>
      <c r="C2432" s="2"/>
      <c r="D2432" s="2"/>
      <c r="E2432" s="4"/>
      <c r="F2432" s="4"/>
      <c r="G2432" s="4"/>
      <c r="H2432" s="61"/>
      <c r="I2432" s="62"/>
      <c r="J2432" s="62"/>
      <c r="K2432" s="78"/>
      <c r="L2432" s="57"/>
      <c r="M2432" s="57"/>
    </row>
    <row r="2433" spans="1:13" ht="15" customHeight="1">
      <c r="A2433" s="73"/>
      <c r="B2433" s="2"/>
      <c r="C2433" s="2"/>
      <c r="D2433" s="2"/>
      <c r="E2433" s="4"/>
      <c r="F2433" s="4"/>
      <c r="G2433" s="4"/>
      <c r="H2433" s="61"/>
      <c r="I2433" s="62"/>
      <c r="J2433" s="62"/>
      <c r="K2433" s="78"/>
      <c r="L2433" s="57"/>
      <c r="M2433" s="57"/>
    </row>
    <row r="2434" spans="1:13" ht="15" customHeight="1">
      <c r="A2434" s="73"/>
      <c r="B2434" s="2"/>
      <c r="C2434" s="2"/>
      <c r="D2434" s="2"/>
      <c r="E2434" s="4"/>
      <c r="F2434" s="4"/>
      <c r="G2434" s="4"/>
      <c r="H2434" s="61"/>
      <c r="I2434" s="62"/>
      <c r="J2434" s="62"/>
      <c r="K2434" s="78"/>
      <c r="L2434" s="57"/>
      <c r="M2434" s="57"/>
    </row>
    <row r="2435" spans="1:13" ht="15" customHeight="1">
      <c r="A2435" s="73"/>
      <c r="B2435" s="2"/>
      <c r="C2435" s="2"/>
      <c r="D2435" s="2"/>
      <c r="E2435" s="63"/>
      <c r="F2435" s="4"/>
      <c r="G2435" s="4"/>
      <c r="H2435" s="61"/>
      <c r="I2435" s="62"/>
      <c r="J2435" s="62"/>
      <c r="K2435" s="78"/>
      <c r="L2435" s="57"/>
      <c r="M2435" s="57"/>
    </row>
    <row r="2436" spans="1:13" ht="15" customHeight="1">
      <c r="A2436" s="73"/>
      <c r="B2436" s="2"/>
      <c r="C2436" s="2"/>
      <c r="D2436" s="2"/>
      <c r="E2436" s="4"/>
      <c r="F2436" s="4"/>
      <c r="G2436" s="4"/>
      <c r="H2436" s="61"/>
      <c r="I2436" s="62"/>
      <c r="J2436" s="62"/>
      <c r="K2436" s="78"/>
      <c r="L2436" s="57"/>
      <c r="M2436" s="57"/>
    </row>
    <row r="2437" spans="1:13" ht="15" customHeight="1">
      <c r="A2437" s="73"/>
      <c r="B2437" s="2"/>
      <c r="C2437" s="2"/>
      <c r="D2437" s="2"/>
      <c r="E2437" s="63"/>
      <c r="F2437" s="4"/>
      <c r="G2437" s="4"/>
      <c r="H2437" s="61"/>
      <c r="I2437" s="62"/>
      <c r="J2437" s="62"/>
      <c r="K2437" s="78"/>
      <c r="L2437" s="57"/>
      <c r="M2437" s="57"/>
    </row>
    <row r="2438" spans="1:13" ht="15" customHeight="1">
      <c r="A2438" s="73"/>
      <c r="B2438" s="2"/>
      <c r="C2438" s="2"/>
      <c r="D2438" s="2"/>
      <c r="E2438" s="4"/>
      <c r="F2438" s="4"/>
      <c r="G2438" s="4"/>
      <c r="H2438" s="61"/>
      <c r="I2438" s="62"/>
      <c r="J2438" s="62"/>
      <c r="K2438" s="78"/>
      <c r="L2438" s="57"/>
      <c r="M2438" s="57"/>
    </row>
    <row r="2439" spans="1:13" ht="15" customHeight="1">
      <c r="A2439" s="73"/>
      <c r="B2439" s="2"/>
      <c r="C2439" s="2"/>
      <c r="D2439" s="2"/>
      <c r="E2439" s="4"/>
      <c r="F2439" s="4"/>
      <c r="G2439" s="4"/>
      <c r="H2439" s="61"/>
      <c r="I2439" s="62"/>
      <c r="J2439" s="62"/>
      <c r="K2439" s="78"/>
      <c r="L2439" s="57"/>
      <c r="M2439" s="57"/>
    </row>
    <row r="2440" spans="1:13" ht="15" customHeight="1">
      <c r="A2440" s="73"/>
      <c r="B2440" s="2"/>
      <c r="C2440" s="2"/>
      <c r="D2440" s="2"/>
      <c r="E2440" s="4"/>
      <c r="F2440" s="4"/>
      <c r="G2440" s="4"/>
      <c r="H2440" s="61"/>
      <c r="I2440" s="62"/>
      <c r="J2440" s="62"/>
      <c r="K2440" s="78"/>
      <c r="L2440" s="57"/>
      <c r="M2440" s="57"/>
    </row>
    <row r="2441" spans="1:13" ht="15" customHeight="1">
      <c r="A2441" s="73"/>
      <c r="B2441" s="2"/>
      <c r="C2441" s="2"/>
      <c r="D2441" s="2"/>
      <c r="E2441" s="4"/>
      <c r="F2441" s="4"/>
      <c r="G2441" s="4"/>
      <c r="H2441" s="61"/>
      <c r="I2441" s="62"/>
      <c r="J2441" s="62"/>
      <c r="K2441" s="78"/>
      <c r="L2441" s="57"/>
      <c r="M2441" s="57"/>
    </row>
    <row r="2442" spans="1:13" ht="15" customHeight="1">
      <c r="A2442" s="73"/>
      <c r="B2442" s="2"/>
      <c r="C2442" s="2"/>
      <c r="D2442" s="2"/>
      <c r="E2442" s="4"/>
      <c r="F2442" s="4"/>
      <c r="G2442" s="4"/>
      <c r="H2442" s="61"/>
      <c r="I2442" s="62"/>
      <c r="J2442" s="62"/>
      <c r="K2442" s="78"/>
      <c r="L2442" s="57"/>
      <c r="M2442" s="57"/>
    </row>
    <row r="2443" spans="1:13" ht="15" customHeight="1">
      <c r="A2443" s="73"/>
      <c r="B2443" s="2"/>
      <c r="C2443" s="2"/>
      <c r="D2443" s="2"/>
      <c r="E2443" s="4"/>
      <c r="F2443" s="4"/>
      <c r="G2443" s="4"/>
      <c r="H2443" s="61"/>
      <c r="I2443" s="62"/>
      <c r="J2443" s="62"/>
      <c r="K2443" s="78"/>
      <c r="L2443" s="57"/>
      <c r="M2443" s="57"/>
    </row>
    <row r="2444" spans="1:13" ht="15" customHeight="1">
      <c r="A2444" s="73"/>
      <c r="B2444" s="2"/>
      <c r="C2444" s="2"/>
      <c r="D2444" s="2"/>
      <c r="E2444" s="4"/>
      <c r="F2444" s="4"/>
      <c r="G2444" s="4"/>
      <c r="H2444" s="61"/>
      <c r="I2444" s="62"/>
      <c r="J2444" s="62"/>
      <c r="K2444" s="78"/>
      <c r="L2444" s="57"/>
      <c r="M2444" s="57"/>
    </row>
    <row r="2445" spans="1:13" ht="15" customHeight="1">
      <c r="A2445" s="73"/>
      <c r="B2445" s="2"/>
      <c r="C2445" s="2"/>
      <c r="D2445" s="2"/>
      <c r="E2445" s="4"/>
      <c r="F2445" s="4"/>
      <c r="G2445" s="4"/>
      <c r="H2445" s="61"/>
      <c r="I2445" s="62"/>
      <c r="J2445" s="62"/>
      <c r="K2445" s="78"/>
      <c r="L2445" s="57"/>
      <c r="M2445" s="57"/>
    </row>
    <row r="2446" spans="1:13" ht="15" customHeight="1">
      <c r="A2446" s="73"/>
      <c r="B2446" s="2"/>
      <c r="C2446" s="2"/>
      <c r="D2446" s="2"/>
      <c r="E2446" s="4"/>
      <c r="F2446" s="4"/>
      <c r="G2446" s="4"/>
      <c r="H2446" s="61"/>
      <c r="I2446" s="62"/>
      <c r="J2446" s="62"/>
      <c r="K2446" s="78"/>
      <c r="L2446" s="57"/>
      <c r="M2446" s="57"/>
    </row>
    <row r="2447" spans="1:13" ht="15" customHeight="1">
      <c r="A2447" s="73"/>
      <c r="B2447" s="2"/>
      <c r="C2447" s="2"/>
      <c r="D2447" s="2"/>
      <c r="E2447" s="4"/>
      <c r="F2447" s="4"/>
      <c r="G2447" s="4"/>
      <c r="H2447" s="61"/>
      <c r="I2447" s="62"/>
      <c r="J2447" s="62"/>
      <c r="K2447" s="78"/>
      <c r="L2447" s="57"/>
      <c r="M2447" s="57"/>
    </row>
    <row r="2448" spans="1:13" ht="15" customHeight="1">
      <c r="A2448" s="73"/>
      <c r="B2448" s="2"/>
      <c r="C2448" s="2"/>
      <c r="D2448" s="2"/>
      <c r="E2448" s="4"/>
      <c r="F2448" s="4"/>
      <c r="G2448" s="4"/>
      <c r="H2448" s="61"/>
      <c r="I2448" s="62"/>
      <c r="J2448" s="62"/>
      <c r="K2448" s="78"/>
      <c r="L2448" s="57"/>
      <c r="M2448" s="57"/>
    </row>
    <row r="2449" spans="1:13" ht="15" customHeight="1">
      <c r="A2449" s="73"/>
      <c r="B2449" s="2"/>
      <c r="C2449" s="2"/>
      <c r="D2449" s="2"/>
      <c r="E2449" s="4"/>
      <c r="F2449" s="4"/>
      <c r="G2449" s="4"/>
      <c r="H2449" s="61"/>
      <c r="I2449" s="62"/>
      <c r="J2449" s="62"/>
      <c r="K2449" s="78"/>
      <c r="L2449" s="57"/>
      <c r="M2449" s="57"/>
    </row>
    <row r="2450" spans="1:13" ht="15" customHeight="1">
      <c r="A2450" s="73"/>
      <c r="B2450" s="2"/>
      <c r="C2450" s="2"/>
      <c r="D2450" s="2"/>
      <c r="E2450" s="4"/>
      <c r="F2450" s="4"/>
      <c r="G2450" s="4"/>
      <c r="H2450" s="61"/>
      <c r="I2450" s="62"/>
      <c r="J2450" s="62"/>
      <c r="K2450" s="78"/>
      <c r="L2450" s="57"/>
      <c r="M2450" s="57"/>
    </row>
    <row r="2451" spans="1:13" ht="15" customHeight="1">
      <c r="A2451" s="73"/>
      <c r="B2451" s="2"/>
      <c r="C2451" s="2"/>
      <c r="D2451" s="2"/>
      <c r="E2451" s="4"/>
      <c r="F2451" s="4"/>
      <c r="G2451" s="4"/>
      <c r="H2451" s="61"/>
      <c r="I2451" s="62"/>
      <c r="J2451" s="62"/>
      <c r="K2451" s="78"/>
      <c r="L2451" s="57"/>
      <c r="M2451" s="57"/>
    </row>
    <row r="2452" spans="1:13" ht="15" customHeight="1">
      <c r="A2452" s="73"/>
      <c r="B2452" s="2"/>
      <c r="C2452" s="2"/>
      <c r="D2452" s="2"/>
      <c r="E2452" s="4"/>
      <c r="F2452" s="4"/>
      <c r="G2452" s="4"/>
      <c r="H2452" s="61"/>
      <c r="I2452" s="62"/>
      <c r="J2452" s="62"/>
      <c r="K2452" s="78"/>
      <c r="L2452" s="57"/>
      <c r="M2452" s="57"/>
    </row>
    <row r="2453" spans="1:13" ht="15" customHeight="1">
      <c r="A2453" s="73"/>
      <c r="B2453" s="2"/>
      <c r="C2453" s="2"/>
      <c r="D2453" s="2"/>
      <c r="E2453" s="4"/>
      <c r="F2453" s="4"/>
      <c r="G2453" s="4"/>
      <c r="H2453" s="61"/>
      <c r="I2453" s="62"/>
      <c r="J2453" s="62"/>
      <c r="K2453" s="78"/>
      <c r="L2453" s="57"/>
      <c r="M2453" s="57"/>
    </row>
    <row r="2454" spans="1:13" ht="15" customHeight="1">
      <c r="A2454" s="73"/>
      <c r="B2454" s="2"/>
      <c r="C2454" s="2"/>
      <c r="D2454" s="2"/>
      <c r="E2454" s="4"/>
      <c r="F2454" s="4"/>
      <c r="G2454" s="4"/>
      <c r="H2454" s="61"/>
      <c r="I2454" s="62"/>
      <c r="J2454" s="62"/>
      <c r="K2454" s="78"/>
      <c r="L2454" s="57"/>
      <c r="M2454" s="57"/>
    </row>
    <row r="2455" spans="1:13" ht="15" customHeight="1">
      <c r="A2455" s="73"/>
      <c r="B2455" s="2"/>
      <c r="C2455" s="2"/>
      <c r="D2455" s="2"/>
      <c r="E2455" s="4"/>
      <c r="F2455" s="4"/>
      <c r="G2455" s="4"/>
      <c r="H2455" s="61"/>
      <c r="I2455" s="62"/>
      <c r="J2455" s="62"/>
      <c r="K2455" s="78"/>
      <c r="L2455" s="57"/>
      <c r="M2455" s="57"/>
    </row>
    <row r="2456" spans="1:13" ht="15" customHeight="1">
      <c r="A2456" s="73"/>
      <c r="B2456" s="2"/>
      <c r="C2456" s="2"/>
      <c r="D2456" s="2"/>
      <c r="E2456" s="4"/>
      <c r="F2456" s="4"/>
      <c r="G2456" s="4"/>
      <c r="H2456" s="61"/>
      <c r="I2456" s="62"/>
      <c r="J2456" s="62"/>
      <c r="K2456" s="78"/>
      <c r="L2456" s="57"/>
      <c r="M2456" s="57"/>
    </row>
    <row r="2457" spans="1:13" ht="15" customHeight="1">
      <c r="A2457" s="73"/>
      <c r="B2457" s="2"/>
      <c r="C2457" s="2"/>
      <c r="D2457" s="2"/>
      <c r="E2457" s="4"/>
      <c r="F2457" s="4"/>
      <c r="G2457" s="4"/>
      <c r="H2457" s="61"/>
      <c r="I2457" s="62"/>
      <c r="J2457" s="62"/>
      <c r="K2457" s="78"/>
      <c r="L2457" s="57"/>
      <c r="M2457" s="57"/>
    </row>
    <row r="2458" spans="1:13" ht="15" customHeight="1">
      <c r="A2458" s="73"/>
      <c r="B2458" s="2"/>
      <c r="C2458" s="2"/>
      <c r="D2458" s="2"/>
      <c r="E2458" s="4"/>
      <c r="F2458" s="4"/>
      <c r="G2458" s="4"/>
      <c r="H2458" s="61"/>
      <c r="I2458" s="62"/>
      <c r="J2458" s="62"/>
      <c r="K2458" s="78"/>
      <c r="L2458" s="57"/>
      <c r="M2458" s="57"/>
    </row>
    <row r="2459" spans="1:13" ht="15" customHeight="1">
      <c r="A2459" s="73"/>
      <c r="B2459" s="2"/>
      <c r="C2459" s="2"/>
      <c r="D2459" s="2"/>
      <c r="E2459" s="4"/>
      <c r="F2459" s="4"/>
      <c r="G2459" s="4"/>
      <c r="H2459" s="61"/>
      <c r="I2459" s="62"/>
      <c r="J2459" s="62"/>
      <c r="K2459" s="78"/>
      <c r="L2459" s="57"/>
      <c r="M2459" s="57"/>
    </row>
    <row r="2460" spans="1:13" ht="15" customHeight="1">
      <c r="A2460" s="73"/>
      <c r="B2460" s="2"/>
      <c r="C2460" s="2"/>
      <c r="D2460" s="2"/>
      <c r="E2460" s="4"/>
      <c r="F2460" s="4"/>
      <c r="G2460" s="4"/>
      <c r="H2460" s="61"/>
      <c r="I2460" s="62"/>
      <c r="J2460" s="62"/>
      <c r="K2460" s="78"/>
      <c r="L2460" s="57"/>
      <c r="M2460" s="57"/>
    </row>
    <row r="2461" spans="1:13" ht="15" customHeight="1">
      <c r="A2461" s="73"/>
      <c r="B2461" s="2"/>
      <c r="C2461" s="2"/>
      <c r="D2461" s="2"/>
      <c r="E2461" s="4"/>
      <c r="F2461" s="4"/>
      <c r="G2461" s="4"/>
      <c r="H2461" s="61"/>
      <c r="I2461" s="62"/>
      <c r="J2461" s="62"/>
      <c r="K2461" s="78"/>
      <c r="L2461" s="57"/>
      <c r="M2461" s="57"/>
    </row>
    <row r="2462" spans="1:13" ht="15" customHeight="1">
      <c r="A2462" s="73"/>
      <c r="B2462" s="2"/>
      <c r="C2462" s="2"/>
      <c r="D2462" s="2"/>
      <c r="E2462" s="4"/>
      <c r="F2462" s="4"/>
      <c r="G2462" s="4"/>
      <c r="H2462" s="61"/>
      <c r="I2462" s="62"/>
      <c r="J2462" s="62"/>
      <c r="K2462" s="78"/>
      <c r="L2462" s="57"/>
      <c r="M2462" s="57"/>
    </row>
    <row r="2463" spans="1:13" ht="15" customHeight="1">
      <c r="A2463" s="73"/>
      <c r="B2463" s="2"/>
      <c r="C2463" s="2"/>
      <c r="D2463" s="2"/>
      <c r="E2463" s="4"/>
      <c r="F2463" s="4"/>
      <c r="G2463" s="4"/>
      <c r="H2463" s="61"/>
      <c r="I2463" s="62"/>
      <c r="J2463" s="62"/>
      <c r="K2463" s="78"/>
      <c r="L2463" s="57"/>
      <c r="M2463" s="57"/>
    </row>
    <row r="2464" spans="1:13" ht="15" customHeight="1">
      <c r="A2464" s="73"/>
      <c r="B2464" s="2"/>
      <c r="C2464" s="2"/>
      <c r="D2464" s="2"/>
      <c r="E2464" s="63"/>
      <c r="F2464" s="4"/>
      <c r="G2464" s="4"/>
      <c r="H2464" s="61"/>
      <c r="I2464" s="62"/>
      <c r="J2464" s="62"/>
      <c r="K2464" s="78"/>
      <c r="L2464" s="57"/>
      <c r="M2464" s="57"/>
    </row>
    <row r="2465" spans="1:13" ht="15" customHeight="1">
      <c r="A2465" s="73"/>
      <c r="B2465" s="2"/>
      <c r="C2465" s="2"/>
      <c r="D2465" s="2"/>
      <c r="E2465" s="4"/>
      <c r="F2465" s="4"/>
      <c r="G2465" s="4"/>
      <c r="H2465" s="61"/>
      <c r="I2465" s="62"/>
      <c r="J2465" s="62"/>
      <c r="K2465" s="78"/>
      <c r="L2465" s="57"/>
      <c r="M2465" s="57"/>
    </row>
    <row r="2466" spans="1:13" ht="15" customHeight="1">
      <c r="A2466" s="73"/>
      <c r="B2466" s="2"/>
      <c r="C2466" s="2"/>
      <c r="D2466" s="2"/>
      <c r="E2466" s="4"/>
      <c r="F2466" s="4"/>
      <c r="G2466" s="4"/>
      <c r="H2466" s="61"/>
      <c r="I2466" s="62"/>
      <c r="J2466" s="62"/>
      <c r="K2466" s="78"/>
      <c r="L2466" s="57"/>
      <c r="M2466" s="57"/>
    </row>
    <row r="2467" spans="1:13" ht="15" customHeight="1">
      <c r="A2467" s="73"/>
      <c r="B2467" s="2"/>
      <c r="C2467" s="2"/>
      <c r="D2467" s="2"/>
      <c r="E2467" s="4"/>
      <c r="F2467" s="4"/>
      <c r="G2467" s="4"/>
      <c r="H2467" s="61"/>
      <c r="I2467" s="62"/>
      <c r="J2467" s="62"/>
      <c r="K2467" s="78"/>
      <c r="L2467" s="57"/>
      <c r="M2467" s="57"/>
    </row>
    <row r="2468" spans="1:13" ht="15" customHeight="1">
      <c r="A2468" s="73"/>
      <c r="B2468" s="2"/>
      <c r="C2468" s="2"/>
      <c r="D2468" s="2"/>
      <c r="E2468" s="4"/>
      <c r="F2468" s="4"/>
      <c r="G2468" s="4"/>
      <c r="H2468" s="61"/>
      <c r="I2468" s="62"/>
      <c r="J2468" s="62"/>
      <c r="K2468" s="78"/>
      <c r="L2468" s="57"/>
      <c r="M2468" s="57"/>
    </row>
    <row r="2469" spans="1:13" ht="15" customHeight="1">
      <c r="A2469" s="73"/>
      <c r="B2469" s="2"/>
      <c r="C2469" s="2"/>
      <c r="D2469" s="2"/>
      <c r="E2469" s="4"/>
      <c r="F2469" s="4"/>
      <c r="G2469" s="4"/>
      <c r="H2469" s="61"/>
      <c r="I2469" s="62"/>
      <c r="J2469" s="62"/>
      <c r="K2469" s="78"/>
      <c r="L2469" s="57"/>
      <c r="M2469" s="57"/>
    </row>
    <row r="2470" spans="1:13" ht="15" customHeight="1">
      <c r="A2470" s="73"/>
      <c r="B2470" s="2"/>
      <c r="C2470" s="2"/>
      <c r="D2470" s="2"/>
      <c r="E2470" s="4"/>
      <c r="F2470" s="4"/>
      <c r="G2470" s="4"/>
      <c r="H2470" s="61"/>
      <c r="I2470" s="62"/>
      <c r="J2470" s="62"/>
      <c r="K2470" s="78"/>
      <c r="L2470" s="57"/>
      <c r="M2470" s="57"/>
    </row>
    <row r="2471" spans="1:13" ht="15" customHeight="1">
      <c r="A2471" s="73"/>
      <c r="B2471" s="2"/>
      <c r="C2471" s="2"/>
      <c r="D2471" s="2"/>
      <c r="E2471" s="4"/>
      <c r="F2471" s="4"/>
      <c r="G2471" s="4"/>
      <c r="H2471" s="61"/>
      <c r="I2471" s="62"/>
      <c r="J2471" s="62"/>
      <c r="K2471" s="78"/>
      <c r="L2471" s="57"/>
      <c r="M2471" s="57"/>
    </row>
    <row r="2472" spans="1:13" ht="15" customHeight="1">
      <c r="A2472" s="73"/>
      <c r="B2472" s="2"/>
      <c r="C2472" s="2"/>
      <c r="D2472" s="2"/>
      <c r="E2472" s="4"/>
      <c r="F2472" s="4"/>
      <c r="G2472" s="4"/>
      <c r="H2472" s="61"/>
      <c r="I2472" s="62"/>
      <c r="J2472" s="62"/>
      <c r="K2472" s="78"/>
      <c r="L2472" s="57"/>
      <c r="M2472" s="57"/>
    </row>
    <row r="2473" spans="1:13" ht="15" customHeight="1">
      <c r="A2473" s="73"/>
      <c r="B2473" s="2"/>
      <c r="C2473" s="2"/>
      <c r="D2473" s="2"/>
      <c r="E2473" s="4"/>
      <c r="F2473" s="4"/>
      <c r="G2473" s="4"/>
      <c r="H2473" s="61"/>
      <c r="I2473" s="62"/>
      <c r="J2473" s="62"/>
      <c r="K2473" s="78"/>
      <c r="L2473" s="57"/>
      <c r="M2473" s="57"/>
    </row>
    <row r="2474" spans="1:13" ht="15" customHeight="1">
      <c r="A2474" s="73"/>
      <c r="B2474" s="2"/>
      <c r="C2474" s="2"/>
      <c r="D2474" s="2"/>
      <c r="E2474" s="4"/>
      <c r="F2474" s="4"/>
      <c r="G2474" s="4"/>
      <c r="H2474" s="61"/>
      <c r="I2474" s="62"/>
      <c r="J2474" s="62"/>
      <c r="K2474" s="78"/>
      <c r="L2474" s="57"/>
      <c r="M2474" s="57"/>
    </row>
    <row r="2475" spans="1:13" ht="15" customHeight="1">
      <c r="A2475" s="73"/>
      <c r="B2475" s="2"/>
      <c r="C2475" s="2"/>
      <c r="D2475" s="2"/>
      <c r="E2475" s="4"/>
      <c r="F2475" s="4"/>
      <c r="G2475" s="4"/>
      <c r="H2475" s="61"/>
      <c r="I2475" s="62"/>
      <c r="J2475" s="62"/>
      <c r="K2475" s="78"/>
      <c r="L2475" s="57"/>
      <c r="M2475" s="57"/>
    </row>
    <row r="2476" spans="1:13" ht="15" customHeight="1">
      <c r="A2476" s="73"/>
      <c r="B2476" s="2"/>
      <c r="C2476" s="2"/>
      <c r="D2476" s="2"/>
      <c r="E2476" s="4"/>
      <c r="F2476" s="4"/>
      <c r="G2476" s="4"/>
      <c r="H2476" s="61"/>
      <c r="I2476" s="62"/>
      <c r="J2476" s="62"/>
      <c r="K2476" s="78"/>
      <c r="L2476" s="57"/>
      <c r="M2476" s="57"/>
    </row>
    <row r="2477" spans="1:13" ht="15" customHeight="1">
      <c r="A2477" s="73"/>
      <c r="B2477" s="2"/>
      <c r="C2477" s="2"/>
      <c r="D2477" s="2"/>
      <c r="E2477" s="4"/>
      <c r="F2477" s="4"/>
      <c r="G2477" s="4"/>
      <c r="H2477" s="61"/>
      <c r="I2477" s="62"/>
      <c r="J2477" s="62"/>
      <c r="K2477" s="78"/>
      <c r="L2477" s="57"/>
      <c r="M2477" s="57"/>
    </row>
    <row r="2478" spans="1:13" ht="15" customHeight="1">
      <c r="A2478" s="73"/>
      <c r="B2478" s="2"/>
      <c r="C2478" s="2"/>
      <c r="D2478" s="2"/>
      <c r="E2478" s="4"/>
      <c r="F2478" s="4"/>
      <c r="G2478" s="4"/>
      <c r="H2478" s="61"/>
      <c r="I2478" s="62"/>
      <c r="J2478" s="62"/>
      <c r="K2478" s="78"/>
      <c r="L2478" s="57"/>
      <c r="M2478" s="57"/>
    </row>
    <row r="2479" spans="1:13" ht="15" customHeight="1">
      <c r="A2479" s="73"/>
      <c r="B2479" s="2"/>
      <c r="C2479" s="2"/>
      <c r="D2479" s="2"/>
      <c r="E2479" s="4"/>
      <c r="F2479" s="4"/>
      <c r="G2479" s="4"/>
      <c r="H2479" s="61"/>
      <c r="I2479" s="62"/>
      <c r="J2479" s="62"/>
      <c r="K2479" s="78"/>
      <c r="L2479" s="57"/>
      <c r="M2479" s="57"/>
    </row>
    <row r="2480" spans="1:13" ht="15" customHeight="1">
      <c r="A2480" s="73"/>
      <c r="B2480" s="2"/>
      <c r="C2480" s="2"/>
      <c r="D2480" s="2"/>
      <c r="E2480" s="4"/>
      <c r="F2480" s="4"/>
      <c r="G2480" s="4"/>
      <c r="H2480" s="61"/>
      <c r="I2480" s="62"/>
      <c r="J2480" s="62"/>
      <c r="K2480" s="78"/>
      <c r="L2480" s="57"/>
      <c r="M2480" s="57"/>
    </row>
    <row r="2481" spans="1:13" ht="15" customHeight="1">
      <c r="A2481" s="73"/>
      <c r="B2481" s="2"/>
      <c r="C2481" s="2"/>
      <c r="D2481" s="2"/>
      <c r="E2481" s="4"/>
      <c r="F2481" s="4"/>
      <c r="G2481" s="4"/>
      <c r="H2481" s="61"/>
      <c r="I2481" s="62"/>
      <c r="J2481" s="62"/>
      <c r="K2481" s="78"/>
      <c r="L2481" s="57"/>
      <c r="M2481" s="57"/>
    </row>
    <row r="2482" spans="1:13" ht="15" customHeight="1">
      <c r="A2482" s="73"/>
      <c r="B2482" s="2"/>
      <c r="C2482" s="2"/>
      <c r="D2482" s="2"/>
      <c r="E2482" s="4"/>
      <c r="F2482" s="4"/>
      <c r="G2482" s="4"/>
      <c r="H2482" s="61"/>
      <c r="I2482" s="62"/>
      <c r="J2482" s="62"/>
      <c r="K2482" s="78"/>
      <c r="L2482" s="57"/>
      <c r="M2482" s="57"/>
    </row>
    <row r="2483" spans="1:13" ht="15" customHeight="1">
      <c r="A2483" s="73"/>
      <c r="B2483" s="2"/>
      <c r="C2483" s="2"/>
      <c r="D2483" s="2"/>
      <c r="E2483" s="4"/>
      <c r="F2483" s="4"/>
      <c r="G2483" s="4"/>
      <c r="H2483" s="61"/>
      <c r="I2483" s="62"/>
      <c r="J2483" s="62"/>
      <c r="K2483" s="78"/>
      <c r="L2483" s="57"/>
      <c r="M2483" s="57"/>
    </row>
    <row r="2484" spans="1:13" ht="15" customHeight="1">
      <c r="A2484" s="73"/>
      <c r="B2484" s="2"/>
      <c r="C2484" s="2"/>
      <c r="D2484" s="2"/>
      <c r="E2484" s="63"/>
      <c r="F2484" s="4"/>
      <c r="G2484" s="4"/>
      <c r="H2484" s="61"/>
      <c r="I2484" s="62"/>
      <c r="J2484" s="62"/>
      <c r="K2484" s="78"/>
      <c r="L2484" s="57"/>
      <c r="M2484" s="57"/>
    </row>
    <row r="2485" spans="1:13" ht="15" customHeight="1">
      <c r="A2485" s="73"/>
      <c r="B2485" s="2"/>
      <c r="C2485" s="2"/>
      <c r="D2485" s="2"/>
      <c r="E2485" s="4"/>
      <c r="F2485" s="4"/>
      <c r="G2485" s="4"/>
      <c r="H2485" s="61"/>
      <c r="I2485" s="62"/>
      <c r="J2485" s="62"/>
      <c r="K2485" s="78"/>
      <c r="L2485" s="57"/>
      <c r="M2485" s="57"/>
    </row>
    <row r="2486" spans="1:13" ht="15" customHeight="1">
      <c r="A2486" s="73"/>
      <c r="B2486" s="2"/>
      <c r="C2486" s="2"/>
      <c r="D2486" s="2"/>
      <c r="E2486" s="4"/>
      <c r="F2486" s="4"/>
      <c r="G2486" s="4"/>
      <c r="H2486" s="61"/>
      <c r="I2486" s="62"/>
      <c r="J2486" s="62"/>
      <c r="K2486" s="78"/>
      <c r="L2486" s="57"/>
      <c r="M2486" s="57"/>
    </row>
    <row r="2487" spans="1:13" ht="15" customHeight="1">
      <c r="A2487" s="73"/>
      <c r="B2487" s="2"/>
      <c r="C2487" s="2"/>
      <c r="D2487" s="2"/>
      <c r="E2487" s="63"/>
      <c r="F2487" s="4"/>
      <c r="G2487" s="4"/>
      <c r="H2487" s="61"/>
      <c r="I2487" s="62"/>
      <c r="J2487" s="62"/>
      <c r="K2487" s="78"/>
      <c r="L2487" s="57"/>
      <c r="M2487" s="57"/>
    </row>
    <row r="2488" spans="1:13" ht="15" customHeight="1">
      <c r="A2488" s="73"/>
      <c r="B2488" s="2"/>
      <c r="C2488" s="2"/>
      <c r="D2488" s="2"/>
      <c r="E2488" s="63"/>
      <c r="F2488" s="4"/>
      <c r="G2488" s="4"/>
      <c r="H2488" s="61"/>
      <c r="I2488" s="62"/>
      <c r="J2488" s="62"/>
      <c r="K2488" s="78"/>
      <c r="L2488" s="57"/>
      <c r="M2488" s="57"/>
    </row>
    <row r="2489" spans="1:13" ht="15" customHeight="1">
      <c r="A2489" s="73"/>
      <c r="B2489" s="2"/>
      <c r="C2489" s="2"/>
      <c r="D2489" s="2"/>
      <c r="E2489" s="4"/>
      <c r="F2489" s="4"/>
      <c r="G2489" s="4"/>
      <c r="H2489" s="61"/>
      <c r="I2489" s="62"/>
      <c r="J2489" s="62"/>
      <c r="K2489" s="78"/>
      <c r="L2489" s="57"/>
      <c r="M2489" s="57"/>
    </row>
    <row r="2490" spans="1:13" ht="15" customHeight="1">
      <c r="A2490" s="73"/>
      <c r="B2490" s="2"/>
      <c r="C2490" s="2"/>
      <c r="D2490" s="2"/>
      <c r="E2490" s="63"/>
      <c r="F2490" s="4"/>
      <c r="G2490" s="4"/>
      <c r="H2490" s="61"/>
      <c r="I2490" s="62"/>
      <c r="J2490" s="62"/>
      <c r="K2490" s="78"/>
      <c r="L2490" s="57"/>
      <c r="M2490" s="57"/>
    </row>
    <row r="2491" spans="1:13" ht="15" customHeight="1">
      <c r="A2491" s="73"/>
      <c r="B2491" s="2"/>
      <c r="C2491" s="2"/>
      <c r="D2491" s="2"/>
      <c r="E2491" s="4"/>
      <c r="F2491" s="4"/>
      <c r="G2491" s="4"/>
      <c r="H2491" s="61"/>
      <c r="I2491" s="62"/>
      <c r="J2491" s="62"/>
      <c r="K2491" s="78"/>
      <c r="L2491" s="57"/>
      <c r="M2491" s="57"/>
    </row>
    <row r="2492" spans="1:13" ht="15" customHeight="1">
      <c r="A2492" s="73"/>
      <c r="B2492" s="2"/>
      <c r="C2492" s="2"/>
      <c r="D2492" s="2"/>
      <c r="E2492" s="63"/>
      <c r="F2492" s="4"/>
      <c r="G2492" s="4"/>
      <c r="H2492" s="61"/>
      <c r="I2492" s="62"/>
      <c r="J2492" s="62"/>
      <c r="K2492" s="78"/>
      <c r="L2492" s="57"/>
      <c r="M2492" s="57"/>
    </row>
    <row r="2493" spans="1:13" ht="15" customHeight="1">
      <c r="A2493" s="73"/>
      <c r="B2493" s="2"/>
      <c r="C2493" s="2"/>
      <c r="D2493" s="2"/>
      <c r="E2493" s="4"/>
      <c r="F2493" s="4"/>
      <c r="G2493" s="4"/>
      <c r="H2493" s="61"/>
      <c r="I2493" s="62"/>
      <c r="J2493" s="62"/>
      <c r="K2493" s="78"/>
      <c r="L2493" s="57"/>
      <c r="M2493" s="57"/>
    </row>
    <row r="2494" spans="1:13" ht="15" customHeight="1">
      <c r="A2494" s="73"/>
      <c r="B2494" s="2"/>
      <c r="C2494" s="2"/>
      <c r="D2494" s="2"/>
      <c r="E2494" s="4"/>
      <c r="F2494" s="4"/>
      <c r="G2494" s="4"/>
      <c r="H2494" s="61"/>
      <c r="I2494" s="62"/>
      <c r="J2494" s="62"/>
      <c r="K2494" s="78"/>
      <c r="L2494" s="57"/>
      <c r="M2494" s="57"/>
    </row>
    <row r="2495" spans="1:13" ht="15" customHeight="1">
      <c r="A2495" s="73"/>
      <c r="B2495" s="2"/>
      <c r="C2495" s="2"/>
      <c r="D2495" s="2"/>
      <c r="E2495" s="4"/>
      <c r="F2495" s="4"/>
      <c r="G2495" s="4"/>
      <c r="H2495" s="61"/>
      <c r="I2495" s="62"/>
      <c r="J2495" s="62"/>
      <c r="K2495" s="78"/>
      <c r="L2495" s="57"/>
      <c r="M2495" s="57"/>
    </row>
    <row r="2496" spans="1:13" ht="15" customHeight="1">
      <c r="A2496" s="73"/>
      <c r="B2496" s="2"/>
      <c r="C2496" s="2"/>
      <c r="D2496" s="2"/>
      <c r="E2496" s="4"/>
      <c r="F2496" s="4"/>
      <c r="G2496" s="4"/>
      <c r="H2496" s="61"/>
      <c r="I2496" s="62"/>
      <c r="J2496" s="62"/>
      <c r="K2496" s="78"/>
      <c r="L2496" s="57"/>
      <c r="M2496" s="57"/>
    </row>
    <row r="2497" spans="1:13" ht="15" customHeight="1">
      <c r="A2497" s="73"/>
      <c r="B2497" s="2"/>
      <c r="C2497" s="2"/>
      <c r="D2497" s="2"/>
      <c r="E2497" s="4"/>
      <c r="F2497" s="4"/>
      <c r="G2497" s="4"/>
      <c r="H2497" s="61"/>
      <c r="I2497" s="62"/>
      <c r="J2497" s="62"/>
      <c r="K2497" s="78"/>
      <c r="L2497" s="57"/>
      <c r="M2497" s="57"/>
    </row>
    <row r="2498" spans="1:13" ht="15" customHeight="1">
      <c r="A2498" s="73"/>
      <c r="B2498" s="2"/>
      <c r="C2498" s="2"/>
      <c r="D2498" s="2"/>
      <c r="E2498" s="63"/>
      <c r="F2498" s="4"/>
      <c r="G2498" s="4"/>
      <c r="H2498" s="61"/>
      <c r="I2498" s="62"/>
      <c r="J2498" s="62"/>
      <c r="K2498" s="78"/>
      <c r="L2498" s="57"/>
      <c r="M2498" s="57"/>
    </row>
    <row r="2499" spans="1:13" ht="15" customHeight="1">
      <c r="A2499" s="73"/>
      <c r="B2499" s="2"/>
      <c r="C2499" s="2"/>
      <c r="D2499" s="2"/>
      <c r="E2499" s="63"/>
      <c r="F2499" s="4"/>
      <c r="G2499" s="4"/>
      <c r="H2499" s="61"/>
      <c r="I2499" s="62"/>
      <c r="J2499" s="62"/>
      <c r="K2499" s="78"/>
      <c r="L2499" s="57"/>
      <c r="M2499" s="57"/>
    </row>
    <row r="2500" spans="1:13" ht="15" customHeight="1">
      <c r="A2500" s="73"/>
      <c r="B2500" s="2"/>
      <c r="C2500" s="2"/>
      <c r="D2500" s="2"/>
      <c r="E2500" s="4"/>
      <c r="F2500" s="4"/>
      <c r="G2500" s="4"/>
      <c r="H2500" s="61"/>
      <c r="I2500" s="62"/>
      <c r="J2500" s="62"/>
      <c r="K2500" s="78"/>
      <c r="L2500" s="57"/>
      <c r="M2500" s="57"/>
    </row>
    <row r="2501" spans="1:13" ht="15" customHeight="1">
      <c r="A2501" s="73"/>
      <c r="B2501" s="2"/>
      <c r="C2501" s="2"/>
      <c r="D2501" s="2"/>
      <c r="E2501" s="4"/>
      <c r="F2501" s="4"/>
      <c r="G2501" s="4"/>
      <c r="H2501" s="61"/>
      <c r="I2501" s="62"/>
      <c r="J2501" s="62"/>
      <c r="K2501" s="78"/>
      <c r="L2501" s="57"/>
      <c r="M2501" s="57"/>
    </row>
    <row r="2502" spans="1:13" ht="15" customHeight="1">
      <c r="A2502" s="73"/>
      <c r="B2502" s="2"/>
      <c r="C2502" s="2"/>
      <c r="D2502" s="2"/>
      <c r="E2502" s="4"/>
      <c r="F2502" s="4"/>
      <c r="G2502" s="4"/>
      <c r="H2502" s="61"/>
      <c r="I2502" s="62"/>
      <c r="J2502" s="62"/>
      <c r="K2502" s="78"/>
      <c r="L2502" s="57"/>
      <c r="M2502" s="57"/>
    </row>
    <row r="2503" spans="1:13" ht="15" customHeight="1">
      <c r="A2503" s="73"/>
      <c r="B2503" s="2"/>
      <c r="C2503" s="2"/>
      <c r="D2503" s="2"/>
      <c r="E2503" s="4"/>
      <c r="F2503" s="4"/>
      <c r="G2503" s="4"/>
      <c r="H2503" s="61"/>
      <c r="I2503" s="62"/>
      <c r="J2503" s="62"/>
      <c r="K2503" s="78"/>
      <c r="L2503" s="57"/>
      <c r="M2503" s="57"/>
    </row>
    <row r="2504" spans="1:13" ht="15" customHeight="1">
      <c r="A2504" s="73"/>
      <c r="B2504" s="2"/>
      <c r="C2504" s="2"/>
      <c r="D2504" s="2"/>
      <c r="E2504" s="4"/>
      <c r="F2504" s="4"/>
      <c r="G2504" s="4"/>
      <c r="H2504" s="61"/>
      <c r="I2504" s="62"/>
      <c r="J2504" s="62"/>
      <c r="K2504" s="78"/>
      <c r="L2504" s="57"/>
      <c r="M2504" s="57"/>
    </row>
    <row r="2505" spans="1:13" ht="15" customHeight="1">
      <c r="A2505" s="73"/>
      <c r="B2505" s="2"/>
      <c r="C2505" s="2"/>
      <c r="D2505" s="2"/>
      <c r="E2505" s="4"/>
      <c r="F2505" s="4"/>
      <c r="G2505" s="4"/>
      <c r="H2505" s="61"/>
      <c r="I2505" s="62"/>
      <c r="J2505" s="62"/>
      <c r="K2505" s="78"/>
      <c r="L2505" s="57"/>
      <c r="M2505" s="57"/>
    </row>
    <row r="2506" spans="1:13" ht="15" customHeight="1">
      <c r="A2506" s="73"/>
      <c r="B2506" s="2"/>
      <c r="C2506" s="2"/>
      <c r="D2506" s="2"/>
      <c r="E2506" s="4"/>
      <c r="F2506" s="4"/>
      <c r="G2506" s="4"/>
      <c r="H2506" s="61"/>
      <c r="I2506" s="62"/>
      <c r="J2506" s="62"/>
      <c r="K2506" s="78"/>
      <c r="L2506" s="57"/>
      <c r="M2506" s="57"/>
    </row>
    <row r="2507" spans="1:13" ht="15" customHeight="1">
      <c r="A2507" s="73"/>
      <c r="B2507" s="2"/>
      <c r="C2507" s="2"/>
      <c r="D2507" s="2"/>
      <c r="E2507" s="4"/>
      <c r="F2507" s="4"/>
      <c r="G2507" s="4"/>
      <c r="H2507" s="61"/>
      <c r="I2507" s="62"/>
      <c r="J2507" s="62"/>
      <c r="K2507" s="78"/>
      <c r="L2507" s="57"/>
      <c r="M2507" s="57"/>
    </row>
    <row r="2508" spans="1:13" ht="15" customHeight="1">
      <c r="A2508" s="73"/>
      <c r="B2508" s="2"/>
      <c r="C2508" s="2"/>
      <c r="D2508" s="2"/>
      <c r="E2508" s="4"/>
      <c r="F2508" s="4"/>
      <c r="G2508" s="4"/>
      <c r="H2508" s="61"/>
      <c r="I2508" s="62"/>
      <c r="J2508" s="62"/>
      <c r="K2508" s="78"/>
      <c r="L2508" s="57"/>
      <c r="M2508" s="57"/>
    </row>
    <row r="2509" spans="1:13" ht="15" customHeight="1">
      <c r="A2509" s="73"/>
      <c r="B2509" s="2"/>
      <c r="C2509" s="2"/>
      <c r="D2509" s="2"/>
      <c r="E2509" s="63"/>
      <c r="F2509" s="4"/>
      <c r="G2509" s="4"/>
      <c r="H2509" s="61"/>
      <c r="I2509" s="62"/>
      <c r="J2509" s="62"/>
      <c r="K2509" s="78"/>
      <c r="L2509" s="57"/>
      <c r="M2509" s="57"/>
    </row>
    <row r="2510" spans="1:13" ht="15" customHeight="1">
      <c r="A2510" s="73"/>
      <c r="B2510" s="2"/>
      <c r="C2510" s="2"/>
      <c r="D2510" s="2"/>
      <c r="E2510" s="4"/>
      <c r="F2510" s="4"/>
      <c r="G2510" s="4"/>
      <c r="H2510" s="61"/>
      <c r="I2510" s="62"/>
      <c r="J2510" s="62"/>
      <c r="K2510" s="78"/>
      <c r="L2510" s="57"/>
      <c r="M2510" s="57"/>
    </row>
    <row r="2511" spans="1:13" ht="15" customHeight="1">
      <c r="A2511" s="73"/>
      <c r="B2511" s="2"/>
      <c r="C2511" s="2"/>
      <c r="D2511" s="2"/>
      <c r="E2511" s="4"/>
      <c r="F2511" s="4"/>
      <c r="G2511" s="4"/>
      <c r="H2511" s="61"/>
      <c r="I2511" s="62"/>
      <c r="J2511" s="62"/>
      <c r="K2511" s="78"/>
      <c r="L2511" s="57"/>
      <c r="M2511" s="57"/>
    </row>
    <row r="2512" spans="1:13" ht="15" customHeight="1">
      <c r="A2512" s="73"/>
      <c r="B2512" s="2"/>
      <c r="C2512" s="2"/>
      <c r="D2512" s="2"/>
      <c r="E2512" s="4"/>
      <c r="F2512" s="4"/>
      <c r="G2512" s="4"/>
      <c r="H2512" s="61"/>
      <c r="I2512" s="62"/>
      <c r="J2512" s="62"/>
      <c r="K2512" s="78"/>
      <c r="L2512" s="57"/>
      <c r="M2512" s="57"/>
    </row>
    <row r="2513" spans="1:13" ht="15" customHeight="1">
      <c r="A2513" s="73"/>
      <c r="B2513" s="2"/>
      <c r="C2513" s="2"/>
      <c r="D2513" s="2"/>
      <c r="E2513" s="4"/>
      <c r="F2513" s="4"/>
      <c r="G2513" s="4"/>
      <c r="H2513" s="61"/>
      <c r="I2513" s="62"/>
      <c r="J2513" s="62"/>
      <c r="K2513" s="78"/>
      <c r="L2513" s="57"/>
      <c r="M2513" s="57"/>
    </row>
    <row r="2514" spans="1:13" ht="15" customHeight="1">
      <c r="A2514" s="73"/>
      <c r="B2514" s="2"/>
      <c r="C2514" s="2"/>
      <c r="D2514" s="2"/>
      <c r="E2514" s="63"/>
      <c r="F2514" s="4"/>
      <c r="G2514" s="4"/>
      <c r="H2514" s="61"/>
      <c r="I2514" s="62"/>
      <c r="J2514" s="62"/>
      <c r="K2514" s="78"/>
      <c r="L2514" s="57"/>
      <c r="M2514" s="57"/>
    </row>
    <row r="2515" spans="1:13" ht="15" customHeight="1">
      <c r="A2515" s="73"/>
      <c r="B2515" s="2"/>
      <c r="C2515" s="2"/>
      <c r="D2515" s="2"/>
      <c r="E2515" s="4"/>
      <c r="F2515" s="4"/>
      <c r="G2515" s="4"/>
      <c r="H2515" s="61"/>
      <c r="I2515" s="62"/>
      <c r="J2515" s="62"/>
      <c r="K2515" s="78"/>
      <c r="L2515" s="57"/>
      <c r="M2515" s="57"/>
    </row>
    <row r="2516" spans="1:13" ht="15" customHeight="1">
      <c r="A2516" s="73"/>
      <c r="B2516" s="2"/>
      <c r="C2516" s="2"/>
      <c r="D2516" s="2"/>
      <c r="E2516" s="4"/>
      <c r="F2516" s="4"/>
      <c r="G2516" s="4"/>
      <c r="H2516" s="61"/>
      <c r="I2516" s="62"/>
      <c r="J2516" s="62"/>
      <c r="K2516" s="78"/>
      <c r="L2516" s="57"/>
      <c r="M2516" s="57"/>
    </row>
    <row r="2517" spans="1:13" ht="15" customHeight="1">
      <c r="A2517" s="73"/>
      <c r="B2517" s="2"/>
      <c r="C2517" s="2"/>
      <c r="D2517" s="2"/>
      <c r="E2517" s="4"/>
      <c r="F2517" s="4"/>
      <c r="G2517" s="4"/>
      <c r="H2517" s="61"/>
      <c r="I2517" s="62"/>
      <c r="J2517" s="62"/>
      <c r="K2517" s="78"/>
      <c r="L2517" s="57"/>
      <c r="M2517" s="57"/>
    </row>
    <row r="2518" spans="1:13" ht="15" customHeight="1">
      <c r="A2518" s="73"/>
      <c r="B2518" s="2"/>
      <c r="C2518" s="2"/>
      <c r="D2518" s="2"/>
      <c r="E2518" s="4"/>
      <c r="F2518" s="4"/>
      <c r="G2518" s="4"/>
      <c r="H2518" s="61"/>
      <c r="I2518" s="62"/>
      <c r="J2518" s="62"/>
      <c r="K2518" s="78"/>
      <c r="L2518" s="57"/>
      <c r="M2518" s="57"/>
    </row>
    <row r="2519" spans="1:13" ht="15" customHeight="1">
      <c r="A2519" s="73"/>
      <c r="B2519" s="2"/>
      <c r="C2519" s="2"/>
      <c r="D2519" s="2"/>
      <c r="E2519" s="4"/>
      <c r="F2519" s="4"/>
      <c r="G2519" s="4"/>
      <c r="H2519" s="61"/>
      <c r="I2519" s="62"/>
      <c r="J2519" s="62"/>
      <c r="K2519" s="78"/>
      <c r="L2519" s="57"/>
      <c r="M2519" s="57"/>
    </row>
    <row r="2520" spans="1:13" ht="15" customHeight="1">
      <c r="A2520" s="73"/>
      <c r="B2520" s="2"/>
      <c r="C2520" s="2"/>
      <c r="D2520" s="2"/>
      <c r="E2520" s="4"/>
      <c r="F2520" s="4"/>
      <c r="G2520" s="4"/>
      <c r="H2520" s="61"/>
      <c r="I2520" s="62"/>
      <c r="J2520" s="62"/>
      <c r="K2520" s="78"/>
      <c r="L2520" s="57"/>
      <c r="M2520" s="57"/>
    </row>
    <row r="2521" spans="1:13" ht="15" customHeight="1">
      <c r="A2521" s="73"/>
      <c r="B2521" s="2"/>
      <c r="C2521" s="2"/>
      <c r="D2521" s="2"/>
      <c r="E2521" s="4"/>
      <c r="F2521" s="4"/>
      <c r="G2521" s="4"/>
      <c r="H2521" s="61"/>
      <c r="I2521" s="62"/>
      <c r="J2521" s="62"/>
      <c r="K2521" s="78"/>
      <c r="L2521" s="57"/>
      <c r="M2521" s="57"/>
    </row>
    <row r="2522" spans="1:13" ht="15" customHeight="1">
      <c r="A2522" s="73"/>
      <c r="B2522" s="2"/>
      <c r="C2522" s="2"/>
      <c r="D2522" s="2"/>
      <c r="E2522" s="4"/>
      <c r="F2522" s="4"/>
      <c r="G2522" s="4"/>
      <c r="H2522" s="61"/>
      <c r="I2522" s="62"/>
      <c r="J2522" s="62"/>
      <c r="K2522" s="78"/>
      <c r="L2522" s="57"/>
      <c r="M2522" s="57"/>
    </row>
    <row r="2523" spans="1:13" ht="15" customHeight="1">
      <c r="A2523" s="73"/>
      <c r="B2523" s="2"/>
      <c r="C2523" s="2"/>
      <c r="D2523" s="2"/>
      <c r="E2523" s="4"/>
      <c r="F2523" s="4"/>
      <c r="G2523" s="4"/>
      <c r="H2523" s="61"/>
      <c r="I2523" s="62"/>
      <c r="J2523" s="62"/>
      <c r="K2523" s="78"/>
      <c r="L2523" s="57"/>
      <c r="M2523" s="57"/>
    </row>
    <row r="2524" spans="1:13" ht="15" customHeight="1">
      <c r="A2524" s="73"/>
      <c r="B2524" s="2"/>
      <c r="C2524" s="2"/>
      <c r="D2524" s="2"/>
      <c r="E2524" s="4"/>
      <c r="F2524" s="4"/>
      <c r="G2524" s="4"/>
      <c r="H2524" s="61"/>
      <c r="I2524" s="62"/>
      <c r="J2524" s="62"/>
      <c r="K2524" s="78"/>
      <c r="L2524" s="57"/>
      <c r="M2524" s="57"/>
    </row>
    <row r="2525" spans="1:13" ht="15" customHeight="1">
      <c r="A2525" s="73"/>
      <c r="B2525" s="2"/>
      <c r="C2525" s="2"/>
      <c r="D2525" s="2"/>
      <c r="E2525" s="4"/>
      <c r="F2525" s="4"/>
      <c r="G2525" s="4"/>
      <c r="H2525" s="61"/>
      <c r="I2525" s="62"/>
      <c r="J2525" s="62"/>
      <c r="K2525" s="78"/>
      <c r="L2525" s="57"/>
      <c r="M2525" s="57"/>
    </row>
    <row r="2526" spans="1:13" ht="15" customHeight="1">
      <c r="A2526" s="73"/>
      <c r="B2526" s="2"/>
      <c r="C2526" s="2"/>
      <c r="D2526" s="2"/>
      <c r="E2526" s="4"/>
      <c r="F2526" s="4"/>
      <c r="G2526" s="4"/>
      <c r="H2526" s="61"/>
      <c r="I2526" s="62"/>
      <c r="J2526" s="62"/>
      <c r="K2526" s="78"/>
      <c r="L2526" s="57"/>
      <c r="M2526" s="57"/>
    </row>
    <row r="2527" spans="1:13" ht="15" customHeight="1">
      <c r="A2527" s="73"/>
      <c r="B2527" s="2"/>
      <c r="C2527" s="2"/>
      <c r="D2527" s="2"/>
      <c r="E2527" s="4"/>
      <c r="F2527" s="4"/>
      <c r="G2527" s="4"/>
      <c r="H2527" s="61"/>
      <c r="I2527" s="62"/>
      <c r="J2527" s="62"/>
      <c r="K2527" s="78"/>
      <c r="L2527" s="57"/>
      <c r="M2527" s="57"/>
    </row>
    <row r="2528" spans="1:13" ht="15" customHeight="1">
      <c r="A2528" s="73"/>
      <c r="B2528" s="2"/>
      <c r="C2528" s="2"/>
      <c r="D2528" s="2"/>
      <c r="E2528" s="4"/>
      <c r="F2528" s="4"/>
      <c r="G2528" s="4"/>
      <c r="H2528" s="61"/>
      <c r="I2528" s="62"/>
      <c r="J2528" s="62"/>
      <c r="K2528" s="78"/>
      <c r="L2528" s="57"/>
      <c r="M2528" s="57"/>
    </row>
    <row r="2529" spans="1:13" ht="15" customHeight="1">
      <c r="A2529" s="73"/>
      <c r="B2529" s="2"/>
      <c r="C2529" s="2"/>
      <c r="D2529" s="2"/>
      <c r="E2529" s="4"/>
      <c r="F2529" s="4"/>
      <c r="G2529" s="4"/>
      <c r="H2529" s="61"/>
      <c r="I2529" s="62"/>
      <c r="J2529" s="62"/>
      <c r="K2529" s="78"/>
      <c r="L2529" s="57"/>
      <c r="M2529" s="57"/>
    </row>
    <row r="2530" spans="1:13" ht="15" customHeight="1">
      <c r="A2530" s="73"/>
      <c r="B2530" s="2"/>
      <c r="C2530" s="2"/>
      <c r="D2530" s="2"/>
      <c r="E2530" s="4"/>
      <c r="F2530" s="4"/>
      <c r="G2530" s="4"/>
      <c r="H2530" s="61"/>
      <c r="I2530" s="62"/>
      <c r="J2530" s="62"/>
      <c r="K2530" s="78"/>
      <c r="L2530" s="57"/>
      <c r="M2530" s="57"/>
    </row>
    <row r="2531" spans="1:13" ht="15" customHeight="1">
      <c r="A2531" s="73"/>
      <c r="B2531" s="2"/>
      <c r="C2531" s="2"/>
      <c r="D2531" s="2"/>
      <c r="E2531" s="4"/>
      <c r="F2531" s="4"/>
      <c r="G2531" s="4"/>
      <c r="H2531" s="61"/>
      <c r="I2531" s="62"/>
      <c r="J2531" s="62"/>
      <c r="K2531" s="78"/>
      <c r="L2531" s="57"/>
      <c r="M2531" s="57"/>
    </row>
    <row r="2532" spans="1:13" ht="15" customHeight="1">
      <c r="A2532" s="73"/>
      <c r="B2532" s="2"/>
      <c r="C2532" s="2"/>
      <c r="D2532" s="2"/>
      <c r="E2532" s="4"/>
      <c r="F2532" s="4"/>
      <c r="G2532" s="4"/>
      <c r="H2532" s="61"/>
      <c r="I2532" s="62"/>
      <c r="J2532" s="62"/>
      <c r="K2532" s="78"/>
      <c r="L2532" s="57"/>
      <c r="M2532" s="57"/>
    </row>
    <row r="2533" spans="1:13" ht="15" customHeight="1">
      <c r="A2533" s="73"/>
      <c r="B2533" s="2"/>
      <c r="C2533" s="2"/>
      <c r="D2533" s="2"/>
      <c r="E2533" s="63"/>
      <c r="F2533" s="4"/>
      <c r="G2533" s="4"/>
      <c r="H2533" s="61"/>
      <c r="I2533" s="62"/>
      <c r="J2533" s="62"/>
      <c r="K2533" s="78"/>
      <c r="L2533" s="57"/>
      <c r="M2533" s="57"/>
    </row>
    <row r="2534" spans="1:13" ht="15" customHeight="1">
      <c r="A2534" s="73"/>
      <c r="B2534" s="2"/>
      <c r="C2534" s="2"/>
      <c r="D2534" s="2"/>
      <c r="E2534" s="63"/>
      <c r="F2534" s="4"/>
      <c r="G2534" s="4"/>
      <c r="H2534" s="61"/>
      <c r="I2534" s="62"/>
      <c r="J2534" s="62"/>
      <c r="K2534" s="78"/>
      <c r="L2534" s="57"/>
      <c r="M2534" s="57"/>
    </row>
    <row r="2535" spans="1:13" ht="15" customHeight="1">
      <c r="A2535" s="73"/>
      <c r="B2535" s="2"/>
      <c r="C2535" s="2"/>
      <c r="D2535" s="2"/>
      <c r="E2535" s="4"/>
      <c r="F2535" s="4"/>
      <c r="G2535" s="4"/>
      <c r="H2535" s="61"/>
      <c r="I2535" s="62"/>
      <c r="J2535" s="62"/>
      <c r="K2535" s="78"/>
      <c r="L2535" s="57"/>
      <c r="M2535" s="57"/>
    </row>
    <row r="2536" spans="1:13" ht="15" customHeight="1">
      <c r="A2536" s="73"/>
      <c r="B2536" s="2"/>
      <c r="C2536" s="2"/>
      <c r="D2536" s="2"/>
      <c r="E2536" s="63"/>
      <c r="F2536" s="4"/>
      <c r="G2536" s="4"/>
      <c r="H2536" s="61"/>
      <c r="I2536" s="62"/>
      <c r="J2536" s="62"/>
      <c r="K2536" s="78"/>
      <c r="L2536" s="57"/>
      <c r="M2536" s="57"/>
    </row>
    <row r="2537" spans="1:13" ht="15" customHeight="1">
      <c r="A2537" s="73"/>
      <c r="B2537" s="2"/>
      <c r="C2537" s="2"/>
      <c r="D2537" s="2"/>
      <c r="E2537" s="63"/>
      <c r="F2537" s="4"/>
      <c r="G2537" s="4"/>
      <c r="H2537" s="61"/>
      <c r="I2537" s="62"/>
      <c r="J2537" s="62"/>
      <c r="K2537" s="78"/>
      <c r="L2537" s="57"/>
      <c r="M2537" s="57"/>
    </row>
    <row r="2538" spans="1:13" ht="15" customHeight="1">
      <c r="A2538" s="73"/>
      <c r="B2538" s="2"/>
      <c r="C2538" s="2"/>
      <c r="D2538" s="2"/>
      <c r="E2538" s="63"/>
      <c r="F2538" s="4"/>
      <c r="G2538" s="4"/>
      <c r="H2538" s="61"/>
      <c r="I2538" s="62"/>
      <c r="J2538" s="62"/>
      <c r="K2538" s="78"/>
      <c r="L2538" s="57"/>
      <c r="M2538" s="57"/>
    </row>
    <row r="2539" spans="1:13" ht="15" customHeight="1">
      <c r="A2539" s="73"/>
      <c r="B2539" s="2"/>
      <c r="C2539" s="2"/>
      <c r="D2539" s="2"/>
      <c r="E2539" s="63"/>
      <c r="F2539" s="4"/>
      <c r="G2539" s="4"/>
      <c r="H2539" s="61"/>
      <c r="I2539" s="62"/>
      <c r="J2539" s="62"/>
      <c r="K2539" s="78"/>
      <c r="L2539" s="57"/>
      <c r="M2539" s="57"/>
    </row>
    <row r="2540" spans="1:13" ht="15" customHeight="1">
      <c r="A2540" s="73"/>
      <c r="B2540" s="2"/>
      <c r="C2540" s="2"/>
      <c r="D2540" s="2"/>
      <c r="E2540" s="63"/>
      <c r="F2540" s="4"/>
      <c r="G2540" s="4"/>
      <c r="H2540" s="61"/>
      <c r="I2540" s="62"/>
      <c r="J2540" s="62"/>
      <c r="K2540" s="78"/>
      <c r="L2540" s="57"/>
      <c r="M2540" s="57"/>
    </row>
    <row r="2541" spans="1:13" ht="15" customHeight="1">
      <c r="A2541" s="73"/>
      <c r="B2541" s="2"/>
      <c r="C2541" s="2"/>
      <c r="D2541" s="2"/>
      <c r="E2541" s="4"/>
      <c r="F2541" s="4"/>
      <c r="G2541" s="4"/>
      <c r="H2541" s="61"/>
      <c r="I2541" s="62"/>
      <c r="J2541" s="62"/>
      <c r="K2541" s="78"/>
      <c r="L2541" s="57"/>
      <c r="M2541" s="57"/>
    </row>
    <row r="2542" spans="1:13" ht="15" customHeight="1">
      <c r="A2542" s="73"/>
      <c r="B2542" s="2"/>
      <c r="C2542" s="2"/>
      <c r="D2542" s="2"/>
      <c r="E2542" s="63"/>
      <c r="F2542" s="4"/>
      <c r="G2542" s="4"/>
      <c r="H2542" s="61"/>
      <c r="I2542" s="62"/>
      <c r="J2542" s="62"/>
      <c r="K2542" s="78"/>
      <c r="L2542" s="57"/>
      <c r="M2542" s="57"/>
    </row>
    <row r="2543" spans="1:13" ht="15" customHeight="1">
      <c r="A2543" s="73"/>
      <c r="B2543" s="2"/>
      <c r="C2543" s="2"/>
      <c r="D2543" s="2"/>
      <c r="E2543" s="4"/>
      <c r="F2543" s="4"/>
      <c r="G2543" s="4"/>
      <c r="H2543" s="61"/>
      <c r="I2543" s="62"/>
      <c r="J2543" s="62"/>
      <c r="K2543" s="78"/>
      <c r="L2543" s="57"/>
      <c r="M2543" s="57"/>
    </row>
    <row r="2544" spans="1:13" ht="15" customHeight="1">
      <c r="A2544" s="73"/>
      <c r="B2544" s="2"/>
      <c r="C2544" s="2"/>
      <c r="D2544" s="2"/>
      <c r="E2544" s="4"/>
      <c r="F2544" s="4"/>
      <c r="G2544" s="4"/>
      <c r="H2544" s="61"/>
      <c r="I2544" s="62"/>
      <c r="J2544" s="62"/>
      <c r="K2544" s="78"/>
      <c r="L2544" s="57"/>
      <c r="M2544" s="57"/>
    </row>
    <row r="2545" spans="1:13" ht="15" customHeight="1">
      <c r="A2545" s="73"/>
      <c r="B2545" s="2"/>
      <c r="C2545" s="2"/>
      <c r="D2545" s="2"/>
      <c r="E2545" s="4"/>
      <c r="F2545" s="4"/>
      <c r="G2545" s="4"/>
      <c r="H2545" s="61"/>
      <c r="I2545" s="62"/>
      <c r="J2545" s="62"/>
      <c r="K2545" s="78"/>
      <c r="L2545" s="57"/>
      <c r="M2545" s="57"/>
    </row>
    <row r="2546" spans="1:13" ht="15" customHeight="1">
      <c r="A2546" s="73"/>
      <c r="B2546" s="2"/>
      <c r="C2546" s="2"/>
      <c r="D2546" s="2"/>
      <c r="E2546" s="4"/>
      <c r="F2546" s="4"/>
      <c r="G2546" s="4"/>
      <c r="H2546" s="61"/>
      <c r="I2546" s="62"/>
      <c r="J2546" s="62"/>
      <c r="K2546" s="78"/>
      <c r="L2546" s="57"/>
      <c r="M2546" s="57"/>
    </row>
    <row r="2547" spans="1:13" ht="15" customHeight="1">
      <c r="A2547" s="73"/>
      <c r="B2547" s="2"/>
      <c r="C2547" s="2"/>
      <c r="D2547" s="2"/>
      <c r="E2547" s="4"/>
      <c r="F2547" s="4"/>
      <c r="G2547" s="4"/>
      <c r="H2547" s="61"/>
      <c r="I2547" s="62"/>
      <c r="J2547" s="62"/>
      <c r="K2547" s="78"/>
      <c r="L2547" s="57"/>
      <c r="M2547" s="57"/>
    </row>
    <row r="2548" spans="1:13" ht="15" customHeight="1">
      <c r="A2548" s="73"/>
      <c r="B2548" s="2"/>
      <c r="C2548" s="2"/>
      <c r="D2548" s="2"/>
      <c r="E2548" s="4"/>
      <c r="F2548" s="4"/>
      <c r="G2548" s="4"/>
      <c r="H2548" s="61"/>
      <c r="I2548" s="62"/>
      <c r="J2548" s="62"/>
      <c r="K2548" s="78"/>
      <c r="L2548" s="57"/>
      <c r="M2548" s="57"/>
    </row>
    <row r="2549" spans="1:13" ht="15" customHeight="1">
      <c r="A2549" s="73"/>
      <c r="B2549" s="2"/>
      <c r="C2549" s="2"/>
      <c r="D2549" s="2"/>
      <c r="E2549" s="4"/>
      <c r="F2549" s="4"/>
      <c r="G2549" s="4"/>
      <c r="H2549" s="61"/>
      <c r="I2549" s="62"/>
      <c r="J2549" s="62"/>
      <c r="K2549" s="78"/>
      <c r="L2549" s="57"/>
      <c r="M2549" s="57"/>
    </row>
    <row r="2550" spans="1:13" ht="15" customHeight="1">
      <c r="A2550" s="73"/>
      <c r="B2550" s="2"/>
      <c r="C2550" s="2"/>
      <c r="D2550" s="2"/>
      <c r="E2550" s="4"/>
      <c r="F2550" s="4"/>
      <c r="G2550" s="4"/>
      <c r="H2550" s="61"/>
      <c r="I2550" s="62"/>
      <c r="J2550" s="62"/>
      <c r="K2550" s="78"/>
      <c r="L2550" s="57"/>
      <c r="M2550" s="57"/>
    </row>
    <row r="2551" spans="1:13" ht="15" customHeight="1">
      <c r="A2551" s="73"/>
      <c r="B2551" s="2"/>
      <c r="C2551" s="2"/>
      <c r="D2551" s="2"/>
      <c r="E2551" s="63"/>
      <c r="F2551" s="4"/>
      <c r="G2551" s="4"/>
      <c r="H2551" s="61"/>
      <c r="I2551" s="62"/>
      <c r="J2551" s="62"/>
      <c r="K2551" s="78"/>
      <c r="L2551" s="57"/>
      <c r="M2551" s="57"/>
    </row>
    <row r="2552" spans="1:13" ht="15" customHeight="1">
      <c r="A2552" s="73"/>
      <c r="B2552" s="2"/>
      <c r="C2552" s="2"/>
      <c r="D2552" s="2"/>
      <c r="E2552" s="4"/>
      <c r="F2552" s="4"/>
      <c r="G2552" s="4"/>
      <c r="H2552" s="61"/>
      <c r="I2552" s="62"/>
      <c r="J2552" s="62"/>
      <c r="K2552" s="78"/>
      <c r="L2552" s="57"/>
      <c r="M2552" s="57"/>
    </row>
    <row r="2553" spans="1:13" ht="15" customHeight="1">
      <c r="A2553" s="73"/>
      <c r="B2553" s="2"/>
      <c r="C2553" s="2"/>
      <c r="D2553" s="2"/>
      <c r="E2553" s="4"/>
      <c r="F2553" s="4"/>
      <c r="G2553" s="4"/>
      <c r="H2553" s="61"/>
      <c r="I2553" s="62"/>
      <c r="J2553" s="62"/>
      <c r="K2553" s="78"/>
      <c r="L2553" s="57"/>
      <c r="M2553" s="57"/>
    </row>
    <row r="2554" spans="1:13" ht="15" customHeight="1">
      <c r="A2554" s="73"/>
      <c r="B2554" s="2"/>
      <c r="C2554" s="2"/>
      <c r="D2554" s="2"/>
      <c r="E2554" s="4"/>
      <c r="F2554" s="4"/>
      <c r="G2554" s="4"/>
      <c r="H2554" s="61"/>
      <c r="I2554" s="62"/>
      <c r="J2554" s="62"/>
      <c r="K2554" s="78"/>
      <c r="L2554" s="57"/>
      <c r="M2554" s="57"/>
    </row>
    <row r="2555" spans="1:13" ht="15" customHeight="1">
      <c r="A2555" s="73"/>
      <c r="B2555" s="2"/>
      <c r="C2555" s="2"/>
      <c r="D2555" s="2"/>
      <c r="E2555" s="63"/>
      <c r="F2555" s="4"/>
      <c r="G2555" s="4"/>
      <c r="H2555" s="61"/>
      <c r="I2555" s="62"/>
      <c r="J2555" s="62"/>
      <c r="K2555" s="78"/>
      <c r="L2555" s="57"/>
      <c r="M2555" s="57"/>
    </row>
    <row r="2556" spans="1:13" ht="15" customHeight="1">
      <c r="A2556" s="73"/>
      <c r="B2556" s="2"/>
      <c r="C2556" s="2"/>
      <c r="D2556" s="2"/>
      <c r="E2556" s="4"/>
      <c r="F2556" s="4"/>
      <c r="G2556" s="4"/>
      <c r="H2556" s="61"/>
      <c r="I2556" s="62"/>
      <c r="J2556" s="62"/>
      <c r="K2556" s="78"/>
      <c r="L2556" s="57"/>
      <c r="M2556" s="57"/>
    </row>
    <row r="2557" spans="1:13" ht="15" customHeight="1">
      <c r="A2557" s="73"/>
      <c r="B2557" s="2"/>
      <c r="C2557" s="2"/>
      <c r="D2557" s="2"/>
      <c r="E2557" s="4"/>
      <c r="F2557" s="4"/>
      <c r="G2557" s="4"/>
      <c r="H2557" s="61"/>
      <c r="I2557" s="62"/>
      <c r="J2557" s="62"/>
      <c r="K2557" s="78"/>
      <c r="L2557" s="57"/>
      <c r="M2557" s="57"/>
    </row>
    <row r="2558" spans="1:13" ht="15" customHeight="1">
      <c r="A2558" s="73"/>
      <c r="B2558" s="2"/>
      <c r="C2558" s="2"/>
      <c r="D2558" s="2"/>
      <c r="E2558" s="4"/>
      <c r="F2558" s="4"/>
      <c r="G2558" s="4"/>
      <c r="H2558" s="61"/>
      <c r="I2558" s="62"/>
      <c r="J2558" s="62"/>
      <c r="K2558" s="78"/>
      <c r="L2558" s="57"/>
      <c r="M2558" s="57"/>
    </row>
    <row r="2559" spans="1:13" ht="15" customHeight="1">
      <c r="A2559" s="73"/>
      <c r="B2559" s="2"/>
      <c r="C2559" s="2"/>
      <c r="D2559" s="2"/>
      <c r="E2559" s="63"/>
      <c r="F2559" s="4"/>
      <c r="G2559" s="4"/>
      <c r="H2559" s="61"/>
      <c r="I2559" s="62"/>
      <c r="J2559" s="62"/>
      <c r="K2559" s="78"/>
      <c r="L2559" s="57"/>
      <c r="M2559" s="57"/>
    </row>
    <row r="2560" spans="1:13" ht="15" customHeight="1">
      <c r="A2560" s="73"/>
      <c r="B2560" s="2"/>
      <c r="C2560" s="2"/>
      <c r="D2560" s="2"/>
      <c r="E2560" s="4"/>
      <c r="F2560" s="4"/>
      <c r="G2560" s="4"/>
      <c r="H2560" s="61"/>
      <c r="I2560" s="62"/>
      <c r="J2560" s="62"/>
      <c r="K2560" s="78"/>
      <c r="L2560" s="57"/>
      <c r="M2560" s="57"/>
    </row>
    <row r="2561" spans="1:13" ht="15" customHeight="1">
      <c r="A2561" s="73"/>
      <c r="B2561" s="2"/>
      <c r="C2561" s="2"/>
      <c r="D2561" s="2"/>
      <c r="E2561" s="4"/>
      <c r="F2561" s="4"/>
      <c r="G2561" s="4"/>
      <c r="H2561" s="61"/>
      <c r="I2561" s="62"/>
      <c r="J2561" s="62"/>
      <c r="K2561" s="78"/>
      <c r="L2561" s="57"/>
      <c r="M2561" s="57"/>
    </row>
    <row r="2562" spans="1:13" ht="15" customHeight="1">
      <c r="A2562" s="73"/>
      <c r="B2562" s="2"/>
      <c r="C2562" s="2"/>
      <c r="D2562" s="2"/>
      <c r="E2562" s="4"/>
      <c r="F2562" s="4"/>
      <c r="G2562" s="4"/>
      <c r="H2562" s="61"/>
      <c r="I2562" s="62"/>
      <c r="J2562" s="62"/>
      <c r="K2562" s="78"/>
      <c r="L2562" s="57"/>
      <c r="M2562" s="57"/>
    </row>
    <row r="2563" spans="1:13" ht="15" customHeight="1">
      <c r="A2563" s="73"/>
      <c r="B2563" s="2"/>
      <c r="C2563" s="2"/>
      <c r="D2563" s="2"/>
      <c r="E2563" s="63"/>
      <c r="F2563" s="4"/>
      <c r="G2563" s="4"/>
      <c r="H2563" s="61"/>
      <c r="I2563" s="62"/>
      <c r="J2563" s="62"/>
      <c r="K2563" s="78"/>
      <c r="L2563" s="57"/>
      <c r="M2563" s="57"/>
    </row>
    <row r="2564" spans="1:13" ht="15" customHeight="1">
      <c r="A2564" s="73"/>
      <c r="B2564" s="2"/>
      <c r="C2564" s="2"/>
      <c r="D2564" s="2"/>
      <c r="E2564" s="63"/>
      <c r="F2564" s="4"/>
      <c r="G2564" s="4"/>
      <c r="H2564" s="61"/>
      <c r="I2564" s="62"/>
      <c r="J2564" s="62"/>
      <c r="K2564" s="78"/>
      <c r="L2564" s="57"/>
      <c r="M2564" s="57"/>
    </row>
    <row r="2565" spans="1:13" ht="15" customHeight="1">
      <c r="A2565" s="73"/>
      <c r="B2565" s="2"/>
      <c r="C2565" s="2"/>
      <c r="D2565" s="2"/>
      <c r="E2565" s="63"/>
      <c r="F2565" s="4"/>
      <c r="G2565" s="4"/>
      <c r="H2565" s="61"/>
      <c r="I2565" s="62"/>
      <c r="J2565" s="62"/>
      <c r="K2565" s="78"/>
      <c r="L2565" s="57"/>
      <c r="M2565" s="57"/>
    </row>
    <row r="2566" spans="1:13" ht="15" customHeight="1">
      <c r="A2566" s="73"/>
      <c r="B2566" s="2"/>
      <c r="C2566" s="2"/>
      <c r="D2566" s="2"/>
      <c r="E2566" s="4"/>
      <c r="F2566" s="4"/>
      <c r="G2566" s="4"/>
      <c r="H2566" s="61"/>
      <c r="I2566" s="62"/>
      <c r="J2566" s="62"/>
      <c r="K2566" s="78"/>
      <c r="L2566" s="57"/>
      <c r="M2566" s="57"/>
    </row>
    <row r="2567" spans="1:13" ht="15" customHeight="1">
      <c r="A2567" s="73"/>
      <c r="B2567" s="2"/>
      <c r="C2567" s="2"/>
      <c r="D2567" s="2"/>
      <c r="E2567" s="63"/>
      <c r="F2567" s="4"/>
      <c r="G2567" s="4"/>
      <c r="H2567" s="61"/>
      <c r="I2567" s="62"/>
      <c r="J2567" s="62"/>
      <c r="K2567" s="78"/>
      <c r="L2567" s="57"/>
      <c r="M2567" s="57"/>
    </row>
    <row r="2568" spans="1:13" ht="15" customHeight="1">
      <c r="A2568" s="73"/>
      <c r="B2568" s="2"/>
      <c r="C2568" s="2"/>
      <c r="D2568" s="2"/>
      <c r="E2568" s="4"/>
      <c r="F2568" s="4"/>
      <c r="G2568" s="4"/>
      <c r="H2568" s="61"/>
      <c r="I2568" s="62"/>
      <c r="J2568" s="62"/>
      <c r="K2568" s="78"/>
      <c r="L2568" s="57"/>
      <c r="M2568" s="57"/>
    </row>
    <row r="2569" spans="1:13" ht="15" customHeight="1">
      <c r="A2569" s="73"/>
      <c r="B2569" s="2"/>
      <c r="C2569" s="2"/>
      <c r="D2569" s="2"/>
      <c r="E2569" s="4"/>
      <c r="F2569" s="4"/>
      <c r="G2569" s="4"/>
      <c r="H2569" s="61"/>
      <c r="I2569" s="62"/>
      <c r="J2569" s="62"/>
      <c r="K2569" s="78"/>
      <c r="L2569" s="57"/>
      <c r="M2569" s="57"/>
    </row>
    <row r="2570" spans="1:13" ht="15" customHeight="1">
      <c r="A2570" s="73"/>
      <c r="B2570" s="2"/>
      <c r="C2570" s="2"/>
      <c r="D2570" s="2"/>
      <c r="E2570" s="4"/>
      <c r="F2570" s="4"/>
      <c r="G2570" s="4"/>
      <c r="H2570" s="61"/>
      <c r="I2570" s="62"/>
      <c r="J2570" s="62"/>
      <c r="K2570" s="78"/>
      <c r="L2570" s="57"/>
      <c r="M2570" s="57"/>
    </row>
    <row r="2571" spans="1:13" ht="15" customHeight="1">
      <c r="A2571" s="73"/>
      <c r="B2571" s="2"/>
      <c r="C2571" s="2"/>
      <c r="D2571" s="2"/>
      <c r="E2571" s="4"/>
      <c r="F2571" s="4"/>
      <c r="G2571" s="4"/>
      <c r="H2571" s="61"/>
      <c r="I2571" s="62"/>
      <c r="J2571" s="62"/>
      <c r="K2571" s="78"/>
      <c r="L2571" s="57"/>
      <c r="M2571" s="57"/>
    </row>
    <row r="2572" spans="1:13" ht="15" customHeight="1">
      <c r="A2572" s="73"/>
      <c r="B2572" s="2"/>
      <c r="C2572" s="2"/>
      <c r="D2572" s="2"/>
      <c r="E2572" s="4"/>
      <c r="F2572" s="4"/>
      <c r="G2572" s="4"/>
      <c r="H2572" s="61"/>
      <c r="I2572" s="62"/>
      <c r="J2572" s="62"/>
      <c r="K2572" s="78"/>
      <c r="L2572" s="57"/>
      <c r="M2572" s="57"/>
    </row>
    <row r="2573" spans="1:13" ht="15" customHeight="1">
      <c r="A2573" s="73"/>
      <c r="B2573" s="2"/>
      <c r="C2573" s="2"/>
      <c r="D2573" s="2"/>
      <c r="E2573" s="4"/>
      <c r="F2573" s="4"/>
      <c r="G2573" s="4"/>
      <c r="H2573" s="61"/>
      <c r="I2573" s="62"/>
      <c r="J2573" s="62"/>
      <c r="K2573" s="78"/>
      <c r="L2573" s="57"/>
      <c r="M2573" s="57"/>
    </row>
    <row r="2574" spans="1:13" ht="15" customHeight="1">
      <c r="A2574" s="73"/>
      <c r="B2574" s="2"/>
      <c r="C2574" s="2"/>
      <c r="D2574" s="2"/>
      <c r="E2574" s="4"/>
      <c r="F2574" s="4"/>
      <c r="G2574" s="4"/>
      <c r="H2574" s="61"/>
      <c r="I2574" s="62"/>
      <c r="J2574" s="62"/>
      <c r="K2574" s="78"/>
      <c r="L2574" s="57"/>
      <c r="M2574" s="57"/>
    </row>
    <row r="2575" spans="1:13" ht="15" customHeight="1">
      <c r="A2575" s="73"/>
      <c r="B2575" s="2"/>
      <c r="C2575" s="2"/>
      <c r="D2575" s="2"/>
      <c r="E2575" s="4"/>
      <c r="F2575" s="4"/>
      <c r="G2575" s="4"/>
      <c r="H2575" s="61"/>
      <c r="I2575" s="62"/>
      <c r="J2575" s="62"/>
      <c r="K2575" s="78"/>
      <c r="L2575" s="57"/>
      <c r="M2575" s="57"/>
    </row>
    <row r="2576" spans="1:13" ht="15" customHeight="1">
      <c r="A2576" s="73"/>
      <c r="B2576" s="2"/>
      <c r="C2576" s="2"/>
      <c r="D2576" s="2"/>
      <c r="E2576" s="4"/>
      <c r="F2576" s="4"/>
      <c r="G2576" s="4"/>
      <c r="H2576" s="61"/>
      <c r="I2576" s="62"/>
      <c r="J2576" s="62"/>
      <c r="K2576" s="78"/>
      <c r="L2576" s="57"/>
      <c r="M2576" s="57"/>
    </row>
    <row r="2577" spans="1:13" ht="15" customHeight="1">
      <c r="A2577" s="73"/>
      <c r="B2577" s="2"/>
      <c r="C2577" s="2"/>
      <c r="D2577" s="2"/>
      <c r="E2577" s="4"/>
      <c r="F2577" s="4"/>
      <c r="G2577" s="4"/>
      <c r="H2577" s="61"/>
      <c r="I2577" s="62"/>
      <c r="J2577" s="62"/>
      <c r="K2577" s="78"/>
      <c r="L2577" s="57"/>
      <c r="M2577" s="57"/>
    </row>
    <row r="2578" spans="1:13" ht="15" customHeight="1">
      <c r="A2578" s="73"/>
      <c r="B2578" s="2"/>
      <c r="C2578" s="2"/>
      <c r="D2578" s="2"/>
      <c r="E2578" s="4"/>
      <c r="F2578" s="4"/>
      <c r="G2578" s="4"/>
      <c r="H2578" s="61"/>
      <c r="I2578" s="62"/>
      <c r="J2578" s="62"/>
      <c r="K2578" s="78"/>
      <c r="L2578" s="57"/>
      <c r="M2578" s="57"/>
    </row>
    <row r="2579" spans="1:13" ht="15" customHeight="1">
      <c r="A2579" s="73"/>
      <c r="B2579" s="2"/>
      <c r="C2579" s="2"/>
      <c r="D2579" s="2"/>
      <c r="E2579" s="4"/>
      <c r="F2579" s="4"/>
      <c r="G2579" s="4"/>
      <c r="H2579" s="61"/>
      <c r="I2579" s="62"/>
      <c r="J2579" s="62"/>
      <c r="K2579" s="78"/>
      <c r="L2579" s="57"/>
      <c r="M2579" s="57"/>
    </row>
    <row r="2580" spans="1:13" ht="15" customHeight="1">
      <c r="A2580" s="73"/>
      <c r="B2580" s="2"/>
      <c r="C2580" s="2"/>
      <c r="D2580" s="2"/>
      <c r="E2580" s="4"/>
      <c r="F2580" s="4"/>
      <c r="G2580" s="4"/>
      <c r="H2580" s="61"/>
      <c r="I2580" s="62"/>
      <c r="J2580" s="62"/>
      <c r="K2580" s="78"/>
      <c r="L2580" s="57"/>
      <c r="M2580" s="57"/>
    </row>
    <row r="2581" spans="1:13" ht="15" customHeight="1">
      <c r="A2581" s="73"/>
      <c r="B2581" s="2"/>
      <c r="C2581" s="2"/>
      <c r="D2581" s="2"/>
      <c r="E2581" s="4"/>
      <c r="F2581" s="4"/>
      <c r="G2581" s="4"/>
      <c r="H2581" s="61"/>
      <c r="I2581" s="62"/>
      <c r="J2581" s="62"/>
      <c r="K2581" s="78"/>
      <c r="L2581" s="57"/>
      <c r="M2581" s="57"/>
    </row>
    <row r="2582" spans="1:13" ht="15" customHeight="1">
      <c r="A2582" s="73"/>
      <c r="B2582" s="2"/>
      <c r="C2582" s="2"/>
      <c r="D2582" s="2"/>
      <c r="E2582" s="4"/>
      <c r="F2582" s="4"/>
      <c r="G2582" s="4"/>
      <c r="H2582" s="61"/>
      <c r="I2582" s="62"/>
      <c r="J2582" s="62"/>
      <c r="K2582" s="78"/>
      <c r="L2582" s="57"/>
      <c r="M2582" s="57"/>
    </row>
    <row r="2583" spans="1:13" ht="15" customHeight="1">
      <c r="A2583" s="73"/>
      <c r="B2583" s="2"/>
      <c r="C2583" s="2"/>
      <c r="D2583" s="2"/>
      <c r="E2583" s="4"/>
      <c r="F2583" s="4"/>
      <c r="G2583" s="4"/>
      <c r="H2583" s="61"/>
      <c r="I2583" s="62"/>
      <c r="J2583" s="62"/>
      <c r="K2583" s="78"/>
      <c r="L2583" s="57"/>
      <c r="M2583" s="57"/>
    </row>
    <row r="2584" spans="1:13" ht="15" customHeight="1">
      <c r="A2584" s="73"/>
      <c r="B2584" s="2"/>
      <c r="C2584" s="2"/>
      <c r="D2584" s="2"/>
      <c r="E2584" s="4"/>
      <c r="F2584" s="4"/>
      <c r="G2584" s="4"/>
      <c r="H2584" s="61"/>
      <c r="I2584" s="62"/>
      <c r="J2584" s="62"/>
      <c r="K2584" s="78"/>
      <c r="L2584" s="57"/>
      <c r="M2584" s="57"/>
    </row>
    <row r="2585" spans="1:13" ht="15" customHeight="1">
      <c r="A2585" s="73"/>
      <c r="B2585" s="2"/>
      <c r="C2585" s="2"/>
      <c r="D2585" s="2"/>
      <c r="E2585" s="4"/>
      <c r="F2585" s="4"/>
      <c r="G2585" s="4"/>
      <c r="H2585" s="61"/>
      <c r="I2585" s="62"/>
      <c r="J2585" s="62"/>
      <c r="K2585" s="78"/>
      <c r="L2585" s="57"/>
      <c r="M2585" s="57"/>
    </row>
    <row r="2586" spans="1:13" ht="15" customHeight="1">
      <c r="A2586" s="73"/>
      <c r="B2586" s="2"/>
      <c r="C2586" s="2"/>
      <c r="D2586" s="2"/>
      <c r="E2586" s="4"/>
      <c r="F2586" s="4"/>
      <c r="G2586" s="4"/>
      <c r="H2586" s="61"/>
      <c r="I2586" s="62"/>
      <c r="J2586" s="62"/>
      <c r="K2586" s="78"/>
      <c r="L2586" s="57"/>
      <c r="M2586" s="57"/>
    </row>
    <row r="2587" spans="1:13" ht="15" customHeight="1">
      <c r="A2587" s="73"/>
      <c r="B2587" s="2"/>
      <c r="C2587" s="2"/>
      <c r="D2587" s="2"/>
      <c r="E2587" s="63"/>
      <c r="F2587" s="4"/>
      <c r="G2587" s="4"/>
      <c r="H2587" s="61"/>
      <c r="I2587" s="62"/>
      <c r="J2587" s="62"/>
      <c r="K2587" s="78"/>
      <c r="L2587" s="57"/>
      <c r="M2587" s="57"/>
    </row>
    <row r="2588" spans="1:13" ht="15" customHeight="1">
      <c r="A2588" s="73"/>
      <c r="B2588" s="2"/>
      <c r="C2588" s="2"/>
      <c r="D2588" s="2"/>
      <c r="E2588" s="4"/>
      <c r="F2588" s="4"/>
      <c r="G2588" s="4"/>
      <c r="H2588" s="61"/>
      <c r="I2588" s="62"/>
      <c r="J2588" s="62"/>
      <c r="K2588" s="78"/>
      <c r="L2588" s="57"/>
      <c r="M2588" s="57"/>
    </row>
    <row r="2589" spans="1:13" ht="15" customHeight="1">
      <c r="A2589" s="73"/>
      <c r="B2589" s="2"/>
      <c r="C2589" s="2"/>
      <c r="D2589" s="2"/>
      <c r="E2589" s="4"/>
      <c r="F2589" s="4"/>
      <c r="G2589" s="4"/>
      <c r="H2589" s="61"/>
      <c r="I2589" s="62"/>
      <c r="J2589" s="62"/>
      <c r="K2589" s="78"/>
      <c r="L2589" s="57"/>
      <c r="M2589" s="57"/>
    </row>
    <row r="2590" spans="1:13" ht="15" customHeight="1">
      <c r="A2590" s="73"/>
      <c r="B2590" s="2"/>
      <c r="C2590" s="2"/>
      <c r="D2590" s="2"/>
      <c r="E2590" s="4"/>
      <c r="F2590" s="4"/>
      <c r="G2590" s="4"/>
      <c r="H2590" s="61"/>
      <c r="I2590" s="62"/>
      <c r="J2590" s="62"/>
      <c r="K2590" s="78"/>
      <c r="L2590" s="57"/>
      <c r="M2590" s="57"/>
    </row>
    <row r="2591" spans="1:13" ht="15" customHeight="1">
      <c r="A2591" s="73"/>
      <c r="B2591" s="2"/>
      <c r="C2591" s="2"/>
      <c r="D2591" s="2"/>
      <c r="E2591" s="4"/>
      <c r="F2591" s="4"/>
      <c r="G2591" s="4"/>
      <c r="H2591" s="61"/>
      <c r="I2591" s="62"/>
      <c r="J2591" s="62"/>
      <c r="K2591" s="78"/>
      <c r="L2591" s="57"/>
      <c r="M2591" s="57"/>
    </row>
    <row r="2592" spans="1:13" ht="15" customHeight="1">
      <c r="A2592" s="73"/>
      <c r="B2592" s="2"/>
      <c r="C2592" s="2"/>
      <c r="D2592" s="2"/>
      <c r="E2592" s="4"/>
      <c r="F2592" s="4"/>
      <c r="G2592" s="4"/>
      <c r="H2592" s="61"/>
      <c r="I2592" s="62"/>
      <c r="J2592" s="62"/>
      <c r="K2592" s="78"/>
      <c r="L2592" s="57"/>
      <c r="M2592" s="57"/>
    </row>
    <row r="2593" spans="1:13" ht="15" customHeight="1">
      <c r="A2593" s="73"/>
      <c r="B2593" s="2"/>
      <c r="C2593" s="2"/>
      <c r="D2593" s="2"/>
      <c r="E2593" s="4"/>
      <c r="F2593" s="4"/>
      <c r="G2593" s="4"/>
      <c r="H2593" s="61"/>
      <c r="I2593" s="62"/>
      <c r="J2593" s="62"/>
      <c r="K2593" s="78"/>
      <c r="L2593" s="57"/>
      <c r="M2593" s="57"/>
    </row>
    <row r="2594" spans="1:13" ht="15" customHeight="1">
      <c r="A2594" s="73"/>
      <c r="B2594" s="2"/>
      <c r="C2594" s="2"/>
      <c r="D2594" s="2"/>
      <c r="E2594" s="63"/>
      <c r="F2594" s="4"/>
      <c r="G2594" s="4"/>
      <c r="H2594" s="61"/>
      <c r="I2594" s="62"/>
      <c r="J2594" s="62"/>
      <c r="K2594" s="78"/>
      <c r="L2594" s="57"/>
      <c r="M2594" s="57"/>
    </row>
    <row r="2595" spans="1:13" ht="15" customHeight="1">
      <c r="A2595" s="73"/>
      <c r="B2595" s="2"/>
      <c r="C2595" s="2"/>
      <c r="D2595" s="2"/>
      <c r="E2595" s="4"/>
      <c r="F2595" s="4"/>
      <c r="G2595" s="4"/>
      <c r="H2595" s="61"/>
      <c r="I2595" s="62"/>
      <c r="J2595" s="62"/>
      <c r="K2595" s="78"/>
      <c r="L2595" s="57"/>
      <c r="M2595" s="57"/>
    </row>
    <row r="2596" spans="1:13" ht="15" customHeight="1">
      <c r="A2596" s="73"/>
      <c r="B2596" s="2"/>
      <c r="C2596" s="2"/>
      <c r="D2596" s="2"/>
      <c r="E2596" s="4"/>
      <c r="F2596" s="4"/>
      <c r="G2596" s="4"/>
      <c r="H2596" s="61"/>
      <c r="I2596" s="62"/>
      <c r="J2596" s="62"/>
      <c r="K2596" s="78"/>
      <c r="L2596" s="57"/>
      <c r="M2596" s="57"/>
    </row>
    <row r="2597" spans="1:13" ht="15" customHeight="1">
      <c r="A2597" s="73"/>
      <c r="B2597" s="2"/>
      <c r="C2597" s="2"/>
      <c r="D2597" s="2"/>
      <c r="E2597" s="4"/>
      <c r="F2597" s="4"/>
      <c r="G2597" s="4"/>
      <c r="H2597" s="61"/>
      <c r="I2597" s="62"/>
      <c r="J2597" s="62"/>
      <c r="K2597" s="78"/>
      <c r="L2597" s="57"/>
      <c r="M2597" s="57"/>
    </row>
    <row r="2598" spans="1:13" ht="15" customHeight="1">
      <c r="A2598" s="73"/>
      <c r="B2598" s="2"/>
      <c r="C2598" s="2"/>
      <c r="D2598" s="2"/>
      <c r="E2598" s="4"/>
      <c r="F2598" s="4"/>
      <c r="G2598" s="4"/>
      <c r="H2598" s="61"/>
      <c r="I2598" s="62"/>
      <c r="J2598" s="62"/>
      <c r="K2598" s="78"/>
      <c r="L2598" s="57"/>
      <c r="M2598" s="57"/>
    </row>
    <row r="2599" spans="1:13" ht="15" customHeight="1">
      <c r="A2599" s="73"/>
      <c r="B2599" s="2"/>
      <c r="C2599" s="2"/>
      <c r="D2599" s="2"/>
      <c r="E2599" s="4"/>
      <c r="F2599" s="4"/>
      <c r="G2599" s="4"/>
      <c r="H2599" s="61"/>
      <c r="I2599" s="62"/>
      <c r="J2599" s="62"/>
      <c r="K2599" s="78"/>
      <c r="L2599" s="57"/>
      <c r="M2599" s="57"/>
    </row>
    <row r="2600" spans="1:13" ht="15" customHeight="1">
      <c r="A2600" s="73"/>
      <c r="B2600" s="2"/>
      <c r="C2600" s="2"/>
      <c r="D2600" s="2"/>
      <c r="E2600" s="63"/>
      <c r="F2600" s="4"/>
      <c r="G2600" s="4"/>
      <c r="H2600" s="61"/>
      <c r="I2600" s="62"/>
      <c r="J2600" s="62"/>
      <c r="K2600" s="78"/>
      <c r="L2600" s="57"/>
      <c r="M2600" s="57"/>
    </row>
    <row r="2601" spans="1:13" ht="15" customHeight="1">
      <c r="A2601" s="73"/>
      <c r="B2601" s="2"/>
      <c r="C2601" s="2"/>
      <c r="D2601" s="2"/>
      <c r="E2601" s="4"/>
      <c r="F2601" s="4"/>
      <c r="G2601" s="4"/>
      <c r="H2601" s="61"/>
      <c r="I2601" s="62"/>
      <c r="J2601" s="62"/>
      <c r="K2601" s="78"/>
      <c r="L2601" s="57"/>
      <c r="M2601" s="57"/>
    </row>
    <row r="2602" spans="1:13" ht="15" customHeight="1">
      <c r="A2602" s="73"/>
      <c r="B2602" s="2"/>
      <c r="C2602" s="2"/>
      <c r="D2602" s="2"/>
      <c r="E2602" s="63"/>
      <c r="F2602" s="4"/>
      <c r="G2602" s="4"/>
      <c r="H2602" s="61"/>
      <c r="I2602" s="62"/>
      <c r="J2602" s="62"/>
      <c r="K2602" s="78"/>
      <c r="L2602" s="57"/>
      <c r="M2602" s="57"/>
    </row>
    <row r="2603" spans="1:13" ht="15" customHeight="1">
      <c r="A2603" s="73"/>
      <c r="B2603" s="2"/>
      <c r="C2603" s="2"/>
      <c r="D2603" s="2"/>
      <c r="E2603" s="63"/>
      <c r="F2603" s="4"/>
      <c r="G2603" s="4"/>
      <c r="H2603" s="61"/>
      <c r="I2603" s="62"/>
      <c r="J2603" s="62"/>
      <c r="K2603" s="78"/>
      <c r="L2603" s="57"/>
      <c r="M2603" s="57"/>
    </row>
    <row r="2604" spans="1:13" ht="15" customHeight="1">
      <c r="A2604" s="73"/>
      <c r="B2604" s="2"/>
      <c r="C2604" s="2"/>
      <c r="D2604" s="2"/>
      <c r="E2604" s="4"/>
      <c r="F2604" s="4"/>
      <c r="G2604" s="4"/>
      <c r="H2604" s="61"/>
      <c r="I2604" s="62"/>
      <c r="J2604" s="62"/>
      <c r="K2604" s="78"/>
      <c r="L2604" s="57"/>
      <c r="M2604" s="57"/>
    </row>
    <row r="2605" spans="1:13" ht="15" customHeight="1">
      <c r="A2605" s="73"/>
      <c r="B2605" s="2"/>
      <c r="C2605" s="2"/>
      <c r="D2605" s="2"/>
      <c r="E2605" s="4"/>
      <c r="F2605" s="4"/>
      <c r="G2605" s="4"/>
      <c r="H2605" s="61"/>
      <c r="I2605" s="62"/>
      <c r="J2605" s="62"/>
      <c r="K2605" s="78"/>
      <c r="L2605" s="57"/>
      <c r="M2605" s="57"/>
    </row>
    <row r="2606" spans="1:13" ht="15" customHeight="1">
      <c r="A2606" s="73"/>
      <c r="B2606" s="2"/>
      <c r="C2606" s="2"/>
      <c r="D2606" s="2"/>
      <c r="E2606" s="63"/>
      <c r="F2606" s="4"/>
      <c r="G2606" s="4"/>
      <c r="H2606" s="61"/>
      <c r="I2606" s="62"/>
      <c r="J2606" s="62"/>
      <c r="K2606" s="78"/>
      <c r="L2606" s="57"/>
      <c r="M2606" s="57"/>
    </row>
    <row r="2607" spans="1:13" ht="15" customHeight="1">
      <c r="A2607" s="73"/>
      <c r="B2607" s="2"/>
      <c r="C2607" s="2"/>
      <c r="D2607" s="2"/>
      <c r="E2607" s="4"/>
      <c r="F2607" s="4"/>
      <c r="G2607" s="4"/>
      <c r="H2607" s="61"/>
      <c r="I2607" s="62"/>
      <c r="J2607" s="62"/>
      <c r="K2607" s="78"/>
      <c r="L2607" s="57"/>
      <c r="M2607" s="57"/>
    </row>
    <row r="2608" spans="1:13" ht="15" customHeight="1">
      <c r="A2608" s="73"/>
      <c r="B2608" s="2"/>
      <c r="C2608" s="2"/>
      <c r="D2608" s="2"/>
      <c r="E2608" s="63"/>
      <c r="F2608" s="4"/>
      <c r="G2608" s="4"/>
      <c r="H2608" s="61"/>
      <c r="I2608" s="62"/>
      <c r="J2608" s="62"/>
      <c r="K2608" s="78"/>
      <c r="L2608" s="57"/>
      <c r="M2608" s="57"/>
    </row>
    <row r="2609" spans="1:13" ht="15" customHeight="1">
      <c r="A2609" s="73"/>
      <c r="B2609" s="2"/>
      <c r="C2609" s="2"/>
      <c r="D2609" s="2"/>
      <c r="E2609" s="4"/>
      <c r="F2609" s="4"/>
      <c r="G2609" s="4"/>
      <c r="H2609" s="61"/>
      <c r="I2609" s="62"/>
      <c r="J2609" s="62"/>
      <c r="K2609" s="78"/>
      <c r="L2609" s="57"/>
      <c r="M2609" s="57"/>
    </row>
    <row r="2610" spans="1:13" ht="15" customHeight="1">
      <c r="A2610" s="73"/>
      <c r="B2610" s="2"/>
      <c r="C2610" s="2"/>
      <c r="D2610" s="2"/>
      <c r="E2610" s="4"/>
      <c r="F2610" s="4"/>
      <c r="G2610" s="4"/>
      <c r="H2610" s="61"/>
      <c r="I2610" s="62"/>
      <c r="J2610" s="62"/>
      <c r="K2610" s="78"/>
      <c r="L2610" s="57"/>
      <c r="M2610" s="57"/>
    </row>
    <row r="2611" spans="1:13" ht="15" customHeight="1">
      <c r="A2611" s="73"/>
      <c r="B2611" s="2"/>
      <c r="C2611" s="2"/>
      <c r="D2611" s="2"/>
      <c r="E2611" s="4"/>
      <c r="F2611" s="4"/>
      <c r="G2611" s="4"/>
      <c r="H2611" s="61"/>
      <c r="I2611" s="62"/>
      <c r="J2611" s="62"/>
      <c r="K2611" s="78"/>
      <c r="L2611" s="57"/>
      <c r="M2611" s="57"/>
    </row>
    <row r="2612" spans="1:13" ht="15" customHeight="1">
      <c r="A2612" s="73"/>
      <c r="B2612" s="2"/>
      <c r="C2612" s="2"/>
      <c r="D2612" s="2"/>
      <c r="E2612" s="4"/>
      <c r="F2612" s="4"/>
      <c r="G2612" s="4"/>
      <c r="H2612" s="61"/>
      <c r="I2612" s="62"/>
      <c r="J2612" s="62"/>
      <c r="K2612" s="78"/>
      <c r="L2612" s="57"/>
      <c r="M2612" s="57"/>
    </row>
    <row r="2613" spans="1:13" ht="15" customHeight="1">
      <c r="A2613" s="73"/>
      <c r="B2613" s="2"/>
      <c r="C2613" s="2"/>
      <c r="D2613" s="2"/>
      <c r="E2613" s="63"/>
      <c r="F2613" s="4"/>
      <c r="G2613" s="4"/>
      <c r="H2613" s="61"/>
      <c r="I2613" s="62"/>
      <c r="J2613" s="62"/>
      <c r="K2613" s="78"/>
      <c r="L2613" s="57"/>
      <c r="M2613" s="57"/>
    </row>
    <row r="2614" spans="1:13" ht="15" customHeight="1">
      <c r="A2614" s="73"/>
      <c r="B2614" s="2"/>
      <c r="C2614" s="2"/>
      <c r="D2614" s="2"/>
      <c r="E2614" s="63"/>
      <c r="F2614" s="4"/>
      <c r="G2614" s="4"/>
      <c r="H2614" s="61"/>
      <c r="I2614" s="62"/>
      <c r="J2614" s="62"/>
      <c r="K2614" s="78"/>
      <c r="L2614" s="57"/>
      <c r="M2614" s="57"/>
    </row>
    <row r="2615" spans="1:13" ht="15" customHeight="1">
      <c r="A2615" s="73"/>
      <c r="B2615" s="2"/>
      <c r="C2615" s="2"/>
      <c r="D2615" s="2"/>
      <c r="E2615" s="4"/>
      <c r="F2615" s="4"/>
      <c r="G2615" s="4"/>
      <c r="H2615" s="61"/>
      <c r="I2615" s="62"/>
      <c r="J2615" s="62"/>
      <c r="K2615" s="78"/>
      <c r="L2615" s="57"/>
      <c r="M2615" s="57"/>
    </row>
    <row r="2616" spans="1:13" ht="15" customHeight="1">
      <c r="A2616" s="73"/>
      <c r="B2616" s="2"/>
      <c r="C2616" s="2"/>
      <c r="D2616" s="2"/>
      <c r="E2616" s="4"/>
      <c r="F2616" s="4"/>
      <c r="G2616" s="4"/>
      <c r="H2616" s="61"/>
      <c r="I2616" s="62"/>
      <c r="J2616" s="62"/>
      <c r="K2616" s="78"/>
      <c r="L2616" s="57"/>
      <c r="M2616" s="57"/>
    </row>
    <row r="2617" spans="1:13" ht="15" customHeight="1">
      <c r="A2617" s="73"/>
      <c r="B2617" s="2"/>
      <c r="C2617" s="2"/>
      <c r="D2617" s="2"/>
      <c r="E2617" s="4"/>
      <c r="F2617" s="4"/>
      <c r="G2617" s="4"/>
      <c r="H2617" s="61"/>
      <c r="I2617" s="62"/>
      <c r="J2617" s="62"/>
      <c r="K2617" s="78"/>
      <c r="L2617" s="57"/>
      <c r="M2617" s="57"/>
    </row>
    <row r="2618" spans="1:13" ht="15" customHeight="1">
      <c r="A2618" s="73"/>
      <c r="B2618" s="2"/>
      <c r="C2618" s="2"/>
      <c r="D2618" s="2"/>
      <c r="E2618" s="4"/>
      <c r="F2618" s="4"/>
      <c r="G2618" s="4"/>
      <c r="H2618" s="61"/>
      <c r="I2618" s="62"/>
      <c r="J2618" s="62"/>
      <c r="K2618" s="78"/>
      <c r="L2618" s="57"/>
      <c r="M2618" s="57"/>
    </row>
    <row r="2619" spans="1:13" ht="15" customHeight="1">
      <c r="A2619" s="73"/>
      <c r="B2619" s="2"/>
      <c r="C2619" s="2"/>
      <c r="D2619" s="2"/>
      <c r="E2619" s="63"/>
      <c r="F2619" s="4"/>
      <c r="G2619" s="4"/>
      <c r="H2619" s="61"/>
      <c r="I2619" s="62"/>
      <c r="J2619" s="62"/>
      <c r="K2619" s="78"/>
      <c r="L2619" s="57"/>
      <c r="M2619" s="57"/>
    </row>
    <row r="2620" spans="1:13" ht="15" customHeight="1">
      <c r="A2620" s="73"/>
      <c r="B2620" s="2"/>
      <c r="C2620" s="2"/>
      <c r="D2620" s="2"/>
      <c r="E2620" s="4"/>
      <c r="F2620" s="4"/>
      <c r="G2620" s="4"/>
      <c r="H2620" s="61"/>
      <c r="I2620" s="62"/>
      <c r="J2620" s="62"/>
      <c r="K2620" s="78"/>
      <c r="L2620" s="57"/>
      <c r="M2620" s="57"/>
    </row>
    <row r="2621" spans="1:13" ht="15" customHeight="1">
      <c r="A2621" s="73"/>
      <c r="B2621" s="2"/>
      <c r="C2621" s="2"/>
      <c r="D2621" s="2"/>
      <c r="E2621" s="4"/>
      <c r="F2621" s="4"/>
      <c r="G2621" s="4"/>
      <c r="H2621" s="61"/>
      <c r="I2621" s="62"/>
      <c r="J2621" s="62"/>
      <c r="K2621" s="78"/>
      <c r="L2621" s="57"/>
      <c r="M2621" s="57"/>
    </row>
    <row r="2622" spans="1:13" ht="15" customHeight="1">
      <c r="A2622" s="73"/>
      <c r="B2622" s="2"/>
      <c r="C2622" s="2"/>
      <c r="D2622" s="2"/>
      <c r="E2622" s="63"/>
      <c r="F2622" s="4"/>
      <c r="G2622" s="4"/>
      <c r="H2622" s="61"/>
      <c r="I2622" s="62"/>
      <c r="J2622" s="62"/>
      <c r="K2622" s="78"/>
      <c r="L2622" s="57"/>
      <c r="M2622" s="57"/>
    </row>
    <row r="2623" spans="1:13" ht="15" customHeight="1">
      <c r="A2623" s="73"/>
      <c r="B2623" s="2"/>
      <c r="C2623" s="2"/>
      <c r="D2623" s="2"/>
      <c r="E2623" s="4"/>
      <c r="F2623" s="4"/>
      <c r="G2623" s="4"/>
      <c r="H2623" s="61"/>
      <c r="I2623" s="62"/>
      <c r="J2623" s="62"/>
      <c r="K2623" s="78"/>
      <c r="L2623" s="57"/>
      <c r="M2623" s="57"/>
    </row>
    <row r="2624" spans="1:13" ht="15" customHeight="1">
      <c r="A2624" s="73"/>
      <c r="B2624" s="2"/>
      <c r="C2624" s="2"/>
      <c r="D2624" s="2"/>
      <c r="E2624" s="4"/>
      <c r="F2624" s="4"/>
      <c r="G2624" s="4"/>
      <c r="H2624" s="61"/>
      <c r="I2624" s="62"/>
      <c r="J2624" s="62"/>
      <c r="K2624" s="78"/>
      <c r="L2624" s="57"/>
      <c r="M2624" s="57"/>
    </row>
    <row r="2625" spans="1:13" ht="15" customHeight="1">
      <c r="A2625" s="73"/>
      <c r="B2625" s="2"/>
      <c r="C2625" s="2"/>
      <c r="D2625" s="2"/>
      <c r="E2625" s="4"/>
      <c r="F2625" s="4"/>
      <c r="G2625" s="4"/>
      <c r="H2625" s="61"/>
      <c r="I2625" s="62"/>
      <c r="J2625" s="62"/>
      <c r="K2625" s="78"/>
      <c r="L2625" s="57"/>
      <c r="M2625" s="57"/>
    </row>
    <row r="2626" spans="1:13" ht="15" customHeight="1">
      <c r="A2626" s="73"/>
      <c r="B2626" s="2"/>
      <c r="C2626" s="2"/>
      <c r="D2626" s="2"/>
      <c r="E2626" s="4"/>
      <c r="F2626" s="4"/>
      <c r="G2626" s="4"/>
      <c r="H2626" s="61"/>
      <c r="I2626" s="62"/>
      <c r="J2626" s="62"/>
      <c r="K2626" s="78"/>
      <c r="L2626" s="57"/>
      <c r="M2626" s="57"/>
    </row>
    <row r="2627" spans="1:13" ht="15" customHeight="1">
      <c r="A2627" s="73"/>
      <c r="B2627" s="2"/>
      <c r="C2627" s="2"/>
      <c r="D2627" s="2"/>
      <c r="E2627" s="4"/>
      <c r="F2627" s="4"/>
      <c r="G2627" s="4"/>
      <c r="H2627" s="61"/>
      <c r="I2627" s="62"/>
      <c r="J2627" s="62"/>
      <c r="K2627" s="78"/>
      <c r="L2627" s="57"/>
      <c r="M2627" s="57"/>
    </row>
    <row r="2628" spans="1:13" ht="15" customHeight="1">
      <c r="A2628" s="73"/>
      <c r="B2628" s="2"/>
      <c r="C2628" s="2"/>
      <c r="D2628" s="2"/>
      <c r="E2628" s="4"/>
      <c r="F2628" s="4"/>
      <c r="G2628" s="4"/>
      <c r="H2628" s="61"/>
      <c r="I2628" s="62"/>
      <c r="J2628" s="62"/>
      <c r="K2628" s="78"/>
      <c r="L2628" s="57"/>
      <c r="M2628" s="57"/>
    </row>
    <row r="2629" spans="1:13" ht="15" customHeight="1">
      <c r="A2629" s="73"/>
      <c r="B2629" s="2"/>
      <c r="C2629" s="2"/>
      <c r="D2629" s="2"/>
      <c r="E2629" s="4"/>
      <c r="F2629" s="4"/>
      <c r="G2629" s="4"/>
      <c r="H2629" s="61"/>
      <c r="I2629" s="62"/>
      <c r="J2629" s="62"/>
      <c r="K2629" s="78"/>
      <c r="L2629" s="57"/>
      <c r="M2629" s="57"/>
    </row>
    <row r="2630" spans="1:13" ht="15" customHeight="1">
      <c r="A2630" s="73"/>
      <c r="B2630" s="2"/>
      <c r="C2630" s="2"/>
      <c r="D2630" s="2"/>
      <c r="E2630" s="4"/>
      <c r="F2630" s="4"/>
      <c r="G2630" s="4"/>
      <c r="H2630" s="61"/>
      <c r="I2630" s="62"/>
      <c r="J2630" s="62"/>
      <c r="K2630" s="78"/>
      <c r="L2630" s="57"/>
      <c r="M2630" s="57"/>
    </row>
    <row r="2631" spans="1:13" ht="15" customHeight="1">
      <c r="A2631" s="73"/>
      <c r="B2631" s="2"/>
      <c r="C2631" s="2"/>
      <c r="D2631" s="2"/>
      <c r="E2631" s="4"/>
      <c r="F2631" s="4"/>
      <c r="G2631" s="4"/>
      <c r="H2631" s="61"/>
      <c r="I2631" s="62"/>
      <c r="J2631" s="62"/>
      <c r="K2631" s="78"/>
      <c r="L2631" s="57"/>
      <c r="M2631" s="57"/>
    </row>
    <row r="2632" spans="1:13" ht="15" customHeight="1">
      <c r="A2632" s="73"/>
      <c r="B2632" s="2"/>
      <c r="C2632" s="2"/>
      <c r="D2632" s="2"/>
      <c r="E2632" s="63"/>
      <c r="F2632" s="4"/>
      <c r="G2632" s="4"/>
      <c r="H2632" s="61"/>
      <c r="I2632" s="62"/>
      <c r="J2632" s="62"/>
      <c r="K2632" s="78"/>
      <c r="L2632" s="57"/>
      <c r="M2632" s="57"/>
    </row>
    <row r="2633" spans="1:13" ht="15" customHeight="1">
      <c r="A2633" s="73"/>
      <c r="B2633" s="2"/>
      <c r="C2633" s="2"/>
      <c r="D2633" s="2"/>
      <c r="E2633" s="63"/>
      <c r="F2633" s="4"/>
      <c r="G2633" s="4"/>
      <c r="H2633" s="61"/>
      <c r="I2633" s="62"/>
      <c r="J2633" s="62"/>
      <c r="K2633" s="78"/>
      <c r="L2633" s="57"/>
      <c r="M2633" s="57"/>
    </row>
    <row r="2634" spans="1:13" ht="15" customHeight="1">
      <c r="A2634" s="73"/>
      <c r="B2634" s="2"/>
      <c r="C2634" s="2"/>
      <c r="D2634" s="2"/>
      <c r="E2634" s="63"/>
      <c r="F2634" s="4"/>
      <c r="G2634" s="4"/>
      <c r="H2634" s="61"/>
      <c r="I2634" s="62"/>
      <c r="J2634" s="62"/>
      <c r="K2634" s="78"/>
      <c r="L2634" s="57"/>
      <c r="M2634" s="57"/>
    </row>
    <row r="2635" spans="1:13" ht="15" customHeight="1">
      <c r="A2635" s="73"/>
      <c r="B2635" s="2"/>
      <c r="C2635" s="2"/>
      <c r="D2635" s="2"/>
      <c r="E2635" s="63"/>
      <c r="F2635" s="4"/>
      <c r="G2635" s="4"/>
      <c r="H2635" s="61"/>
      <c r="I2635" s="62"/>
      <c r="J2635" s="62"/>
      <c r="K2635" s="78"/>
      <c r="L2635" s="57"/>
      <c r="M2635" s="57"/>
    </row>
    <row r="2636" spans="1:13" ht="15" customHeight="1">
      <c r="A2636" s="73"/>
      <c r="B2636" s="2"/>
      <c r="C2636" s="2"/>
      <c r="D2636" s="2"/>
      <c r="E2636" s="63"/>
      <c r="F2636" s="4"/>
      <c r="G2636" s="4"/>
      <c r="H2636" s="61"/>
      <c r="I2636" s="62"/>
      <c r="J2636" s="62"/>
      <c r="K2636" s="78"/>
      <c r="L2636" s="57"/>
      <c r="M2636" s="57"/>
    </row>
    <row r="2637" spans="1:13" ht="15" customHeight="1">
      <c r="A2637" s="73"/>
      <c r="B2637" s="2"/>
      <c r="C2637" s="2"/>
      <c r="D2637" s="2"/>
      <c r="E2637" s="63"/>
      <c r="F2637" s="4"/>
      <c r="G2637" s="4"/>
      <c r="H2637" s="61"/>
      <c r="I2637" s="62"/>
      <c r="J2637" s="62"/>
      <c r="K2637" s="78"/>
      <c r="L2637" s="57"/>
      <c r="M2637" s="57"/>
    </row>
    <row r="2638" spans="1:13" ht="15" customHeight="1">
      <c r="A2638" s="73"/>
      <c r="B2638" s="2"/>
      <c r="C2638" s="2"/>
      <c r="D2638" s="2"/>
      <c r="E2638" s="4"/>
      <c r="F2638" s="4"/>
      <c r="G2638" s="4"/>
      <c r="H2638" s="61"/>
      <c r="I2638" s="62"/>
      <c r="J2638" s="62"/>
      <c r="K2638" s="78"/>
      <c r="L2638" s="57"/>
      <c r="M2638" s="57"/>
    </row>
    <row r="2639" spans="1:13" ht="15" customHeight="1">
      <c r="A2639" s="73"/>
      <c r="B2639" s="2"/>
      <c r="C2639" s="2"/>
      <c r="D2639" s="2"/>
      <c r="E2639" s="4"/>
      <c r="F2639" s="4"/>
      <c r="G2639" s="4"/>
      <c r="H2639" s="61"/>
      <c r="I2639" s="62"/>
      <c r="J2639" s="62"/>
      <c r="K2639" s="78"/>
      <c r="L2639" s="57"/>
      <c r="M2639" s="57"/>
    </row>
    <row r="2640" spans="1:13" ht="15" customHeight="1">
      <c r="A2640" s="73"/>
      <c r="B2640" s="2"/>
      <c r="C2640" s="2"/>
      <c r="D2640" s="2"/>
      <c r="E2640" s="63"/>
      <c r="F2640" s="4"/>
      <c r="G2640" s="4"/>
      <c r="H2640" s="61"/>
      <c r="I2640" s="62"/>
      <c r="J2640" s="62"/>
      <c r="K2640" s="78"/>
      <c r="L2640" s="57"/>
      <c r="M2640" s="57"/>
    </row>
    <row r="2641" spans="1:13" ht="15" customHeight="1">
      <c r="A2641" s="73"/>
      <c r="B2641" s="2"/>
      <c r="C2641" s="2"/>
      <c r="D2641" s="2"/>
      <c r="E2641" s="4"/>
      <c r="F2641" s="4"/>
      <c r="G2641" s="4"/>
      <c r="H2641" s="61"/>
      <c r="I2641" s="62"/>
      <c r="J2641" s="62"/>
      <c r="K2641" s="78"/>
      <c r="L2641" s="57"/>
      <c r="M2641" s="57"/>
    </row>
    <row r="2642" spans="1:13" ht="15" customHeight="1">
      <c r="A2642" s="73"/>
      <c r="B2642" s="2"/>
      <c r="C2642" s="2"/>
      <c r="D2642" s="2"/>
      <c r="E2642" s="4"/>
      <c r="F2642" s="4"/>
      <c r="G2642" s="4"/>
      <c r="H2642" s="61"/>
      <c r="I2642" s="62"/>
      <c r="J2642" s="62"/>
      <c r="K2642" s="78"/>
      <c r="L2642" s="57"/>
      <c r="M2642" s="57"/>
    </row>
    <row r="2643" spans="1:13" ht="15" customHeight="1">
      <c r="A2643" s="73"/>
      <c r="B2643" s="2"/>
      <c r="C2643" s="2"/>
      <c r="D2643" s="2"/>
      <c r="E2643" s="63"/>
      <c r="F2643" s="4"/>
      <c r="G2643" s="4"/>
      <c r="H2643" s="61"/>
      <c r="I2643" s="62"/>
      <c r="J2643" s="62"/>
      <c r="K2643" s="78"/>
      <c r="L2643" s="57"/>
      <c r="M2643" s="57"/>
    </row>
    <row r="2644" spans="1:13" ht="15" customHeight="1">
      <c r="A2644" s="73"/>
      <c r="B2644" s="2"/>
      <c r="C2644" s="2"/>
      <c r="D2644" s="2"/>
      <c r="E2644" s="63"/>
      <c r="F2644" s="4"/>
      <c r="G2644" s="4"/>
      <c r="H2644" s="61"/>
      <c r="I2644" s="62"/>
      <c r="J2644" s="62"/>
      <c r="K2644" s="78"/>
      <c r="L2644" s="57"/>
      <c r="M2644" s="57"/>
    </row>
    <row r="2645" spans="1:13" ht="15" customHeight="1">
      <c r="A2645" s="73"/>
      <c r="B2645" s="2"/>
      <c r="C2645" s="2"/>
      <c r="D2645" s="2"/>
      <c r="E2645" s="63"/>
      <c r="F2645" s="4"/>
      <c r="G2645" s="4"/>
      <c r="H2645" s="61"/>
      <c r="I2645" s="62"/>
      <c r="J2645" s="62"/>
      <c r="K2645" s="78"/>
      <c r="L2645" s="57"/>
      <c r="M2645" s="57"/>
    </row>
    <row r="2646" spans="1:13" ht="15" customHeight="1">
      <c r="A2646" s="73"/>
      <c r="B2646" s="2"/>
      <c r="C2646" s="2"/>
      <c r="D2646" s="2"/>
      <c r="E2646" s="4"/>
      <c r="F2646" s="4"/>
      <c r="G2646" s="4"/>
      <c r="H2646" s="61"/>
      <c r="I2646" s="62"/>
      <c r="J2646" s="62"/>
      <c r="K2646" s="78"/>
      <c r="L2646" s="57"/>
      <c r="M2646" s="57"/>
    </row>
    <row r="2647" spans="1:13" ht="15" customHeight="1">
      <c r="A2647" s="73"/>
      <c r="B2647" s="2"/>
      <c r="C2647" s="2"/>
      <c r="D2647" s="2"/>
      <c r="E2647" s="4"/>
      <c r="F2647" s="4"/>
      <c r="G2647" s="4"/>
      <c r="H2647" s="61"/>
      <c r="I2647" s="62"/>
      <c r="J2647" s="62"/>
      <c r="K2647" s="78"/>
      <c r="L2647" s="57"/>
      <c r="M2647" s="57"/>
    </row>
    <row r="2648" spans="1:13" ht="15" customHeight="1">
      <c r="A2648" s="73"/>
      <c r="B2648" s="2"/>
      <c r="C2648" s="2"/>
      <c r="D2648" s="2"/>
      <c r="E2648" s="63"/>
      <c r="F2648" s="4"/>
      <c r="G2648" s="4"/>
      <c r="H2648" s="61"/>
      <c r="I2648" s="62"/>
      <c r="J2648" s="62"/>
      <c r="K2648" s="78"/>
      <c r="L2648" s="57"/>
      <c r="M2648" s="57"/>
    </row>
    <row r="2649" spans="1:13" ht="15" customHeight="1">
      <c r="A2649" s="73"/>
      <c r="B2649" s="2"/>
      <c r="C2649" s="2"/>
      <c r="D2649" s="2"/>
      <c r="E2649" s="4"/>
      <c r="F2649" s="4"/>
      <c r="G2649" s="4"/>
      <c r="H2649" s="61"/>
      <c r="I2649" s="62"/>
      <c r="J2649" s="62"/>
      <c r="K2649" s="78"/>
      <c r="L2649" s="57"/>
      <c r="M2649" s="57"/>
    </row>
    <row r="2650" spans="1:13" ht="15" customHeight="1">
      <c r="A2650" s="73"/>
      <c r="B2650" s="2"/>
      <c r="C2650" s="2"/>
      <c r="D2650" s="2"/>
      <c r="E2650" s="63"/>
      <c r="F2650" s="4"/>
      <c r="G2650" s="4"/>
      <c r="H2650" s="61"/>
      <c r="I2650" s="62"/>
      <c r="J2650" s="62"/>
      <c r="K2650" s="78"/>
      <c r="L2650" s="57"/>
      <c r="M2650" s="57"/>
    </row>
    <row r="2651" spans="1:13" ht="15" customHeight="1">
      <c r="A2651" s="73"/>
      <c r="B2651" s="2"/>
      <c r="C2651" s="2"/>
      <c r="D2651" s="2"/>
      <c r="E2651" s="63"/>
      <c r="F2651" s="4"/>
      <c r="G2651" s="4"/>
      <c r="H2651" s="61"/>
      <c r="I2651" s="62"/>
      <c r="J2651" s="62"/>
      <c r="K2651" s="78"/>
      <c r="L2651" s="57"/>
      <c r="M2651" s="57"/>
    </row>
    <row r="2652" spans="1:13" ht="15" customHeight="1">
      <c r="A2652" s="73"/>
      <c r="B2652" s="2"/>
      <c r="C2652" s="2"/>
      <c r="D2652" s="2"/>
      <c r="E2652" s="63"/>
      <c r="F2652" s="4"/>
      <c r="G2652" s="4"/>
      <c r="H2652" s="61"/>
      <c r="I2652" s="62"/>
      <c r="J2652" s="62"/>
      <c r="K2652" s="78"/>
      <c r="L2652" s="57"/>
      <c r="M2652" s="57"/>
    </row>
    <row r="2653" spans="1:13" ht="15" customHeight="1">
      <c r="A2653" s="73"/>
      <c r="B2653" s="2"/>
      <c r="C2653" s="2"/>
      <c r="D2653" s="2"/>
      <c r="E2653" s="4"/>
      <c r="F2653" s="4"/>
      <c r="G2653" s="4"/>
      <c r="H2653" s="61"/>
      <c r="I2653" s="62"/>
      <c r="J2653" s="62"/>
      <c r="K2653" s="78"/>
      <c r="L2653" s="57"/>
      <c r="M2653" s="57"/>
    </row>
    <row r="2654" spans="1:13" ht="15" customHeight="1">
      <c r="A2654" s="73"/>
      <c r="B2654" s="2"/>
      <c r="C2654" s="2"/>
      <c r="D2654" s="2"/>
      <c r="E2654" s="4"/>
      <c r="F2654" s="4"/>
      <c r="G2654" s="4"/>
      <c r="H2654" s="61"/>
      <c r="I2654" s="62"/>
      <c r="J2654" s="62"/>
      <c r="K2654" s="78"/>
      <c r="L2654" s="57"/>
      <c r="M2654" s="57"/>
    </row>
    <row r="2655" spans="1:13" ht="15" customHeight="1">
      <c r="A2655" s="73"/>
      <c r="B2655" s="2"/>
      <c r="C2655" s="2"/>
      <c r="D2655" s="2"/>
      <c r="E2655" s="4"/>
      <c r="F2655" s="4"/>
      <c r="G2655" s="4"/>
      <c r="H2655" s="61"/>
      <c r="I2655" s="62"/>
      <c r="J2655" s="62"/>
      <c r="K2655" s="78"/>
      <c r="L2655" s="57"/>
      <c r="M2655" s="57"/>
    </row>
    <row r="2656" spans="1:13" ht="15" customHeight="1">
      <c r="A2656" s="73"/>
      <c r="B2656" s="2"/>
      <c r="C2656" s="2"/>
      <c r="D2656" s="2"/>
      <c r="E2656" s="4"/>
      <c r="F2656" s="4"/>
      <c r="G2656" s="4"/>
      <c r="H2656" s="61"/>
      <c r="I2656" s="62"/>
      <c r="J2656" s="62"/>
      <c r="K2656" s="78"/>
      <c r="L2656" s="57"/>
      <c r="M2656" s="57"/>
    </row>
    <row r="2657" spans="1:13" ht="15" customHeight="1">
      <c r="A2657" s="73"/>
      <c r="B2657" s="2"/>
      <c r="C2657" s="2"/>
      <c r="D2657" s="2"/>
      <c r="E2657" s="63"/>
      <c r="F2657" s="4"/>
      <c r="G2657" s="4"/>
      <c r="H2657" s="61"/>
      <c r="I2657" s="62"/>
      <c r="J2657" s="62"/>
      <c r="K2657" s="78"/>
      <c r="L2657" s="57"/>
      <c r="M2657" s="57"/>
    </row>
    <row r="2658" spans="1:13" ht="15" customHeight="1">
      <c r="A2658" s="73"/>
      <c r="B2658" s="2"/>
      <c r="C2658" s="2"/>
      <c r="D2658" s="2"/>
      <c r="E2658" s="4"/>
      <c r="F2658" s="4"/>
      <c r="G2658" s="4"/>
      <c r="H2658" s="61"/>
      <c r="I2658" s="62"/>
      <c r="J2658" s="62"/>
      <c r="K2658" s="78"/>
      <c r="L2658" s="57"/>
      <c r="M2658" s="57"/>
    </row>
    <row r="2659" spans="1:13" ht="15" customHeight="1">
      <c r="A2659" s="73"/>
      <c r="B2659" s="2"/>
      <c r="C2659" s="2"/>
      <c r="D2659" s="2"/>
      <c r="E2659" s="4"/>
      <c r="F2659" s="4"/>
      <c r="G2659" s="4"/>
      <c r="H2659" s="61"/>
      <c r="I2659" s="62"/>
      <c r="J2659" s="62"/>
      <c r="K2659" s="78"/>
      <c r="L2659" s="57"/>
      <c r="M2659" s="57"/>
    </row>
    <row r="2660" spans="1:13" ht="15" customHeight="1">
      <c r="A2660" s="73"/>
      <c r="B2660" s="2"/>
      <c r="C2660" s="2"/>
      <c r="D2660" s="2"/>
      <c r="E2660" s="63"/>
      <c r="F2660" s="4"/>
      <c r="G2660" s="4"/>
      <c r="H2660" s="61"/>
      <c r="I2660" s="62"/>
      <c r="J2660" s="62"/>
      <c r="K2660" s="78"/>
      <c r="L2660" s="57"/>
      <c r="M2660" s="57"/>
    </row>
    <row r="2661" spans="1:13" ht="15" customHeight="1">
      <c r="A2661" s="73"/>
      <c r="B2661" s="2"/>
      <c r="C2661" s="2"/>
      <c r="D2661" s="2"/>
      <c r="E2661" s="4"/>
      <c r="F2661" s="4"/>
      <c r="G2661" s="4"/>
      <c r="H2661" s="61"/>
      <c r="I2661" s="62"/>
      <c r="J2661" s="62"/>
      <c r="K2661" s="78"/>
      <c r="L2661" s="57"/>
      <c r="M2661" s="57"/>
    </row>
    <row r="2662" spans="1:13" ht="15" customHeight="1">
      <c r="A2662" s="73"/>
      <c r="B2662" s="2"/>
      <c r="C2662" s="2"/>
      <c r="D2662" s="2"/>
      <c r="E2662" s="4"/>
      <c r="F2662" s="4"/>
      <c r="G2662" s="4"/>
      <c r="H2662" s="61"/>
      <c r="I2662" s="62"/>
      <c r="J2662" s="62"/>
      <c r="K2662" s="78"/>
      <c r="L2662" s="57"/>
      <c r="M2662" s="57"/>
    </row>
    <row r="2663" spans="1:13" ht="15" customHeight="1">
      <c r="A2663" s="73"/>
      <c r="B2663" s="2"/>
      <c r="C2663" s="2"/>
      <c r="D2663" s="2"/>
      <c r="E2663" s="63"/>
      <c r="F2663" s="4"/>
      <c r="G2663" s="4"/>
      <c r="H2663" s="61"/>
      <c r="I2663" s="62"/>
      <c r="J2663" s="62"/>
      <c r="K2663" s="78"/>
      <c r="L2663" s="57"/>
      <c r="M2663" s="57"/>
    </row>
    <row r="2664" spans="1:13" ht="15" customHeight="1">
      <c r="A2664" s="73"/>
      <c r="B2664" s="2"/>
      <c r="C2664" s="2"/>
      <c r="D2664" s="2"/>
      <c r="E2664" s="4"/>
      <c r="F2664" s="4"/>
      <c r="G2664" s="4"/>
      <c r="H2664" s="61"/>
      <c r="I2664" s="62"/>
      <c r="J2664" s="62"/>
      <c r="K2664" s="78"/>
      <c r="L2664" s="57"/>
      <c r="M2664" s="57"/>
    </row>
    <row r="2665" spans="1:13" ht="15" customHeight="1">
      <c r="A2665" s="73"/>
      <c r="B2665" s="2"/>
      <c r="C2665" s="2"/>
      <c r="D2665" s="2"/>
      <c r="E2665" s="4"/>
      <c r="F2665" s="4"/>
      <c r="G2665" s="4"/>
      <c r="H2665" s="61"/>
      <c r="I2665" s="62"/>
      <c r="J2665" s="62"/>
      <c r="K2665" s="78"/>
      <c r="L2665" s="57"/>
      <c r="M2665" s="57"/>
    </row>
    <row r="2666" spans="1:13" ht="15" customHeight="1">
      <c r="A2666" s="73"/>
      <c r="B2666" s="2"/>
      <c r="C2666" s="2"/>
      <c r="D2666" s="2"/>
      <c r="E2666" s="63"/>
      <c r="F2666" s="4"/>
      <c r="G2666" s="4"/>
      <c r="H2666" s="61"/>
      <c r="I2666" s="62"/>
      <c r="J2666" s="62"/>
      <c r="K2666" s="78"/>
      <c r="L2666" s="57"/>
      <c r="M2666" s="57"/>
    </row>
    <row r="2667" spans="1:13" ht="15" customHeight="1">
      <c r="A2667" s="73"/>
      <c r="B2667" s="2"/>
      <c r="C2667" s="2"/>
      <c r="D2667" s="2"/>
      <c r="E2667" s="4"/>
      <c r="F2667" s="4"/>
      <c r="G2667" s="4"/>
      <c r="H2667" s="61"/>
      <c r="I2667" s="62"/>
      <c r="J2667" s="62"/>
      <c r="K2667" s="78"/>
      <c r="L2667" s="57"/>
      <c r="M2667" s="57"/>
    </row>
    <row r="2668" spans="1:13" ht="15" customHeight="1">
      <c r="A2668" s="73"/>
      <c r="B2668" s="2"/>
      <c r="C2668" s="2"/>
      <c r="D2668" s="2"/>
      <c r="E2668" s="63"/>
      <c r="F2668" s="4"/>
      <c r="G2668" s="4"/>
      <c r="H2668" s="61"/>
      <c r="I2668" s="62"/>
      <c r="J2668" s="62"/>
      <c r="K2668" s="78"/>
      <c r="L2668" s="57"/>
      <c r="M2668" s="57"/>
    </row>
    <row r="2669" spans="1:13" ht="15" customHeight="1">
      <c r="A2669" s="73"/>
      <c r="B2669" s="2"/>
      <c r="C2669" s="2"/>
      <c r="D2669" s="2"/>
      <c r="E2669" s="4"/>
      <c r="F2669" s="4"/>
      <c r="G2669" s="4"/>
      <c r="H2669" s="61"/>
      <c r="I2669" s="62"/>
      <c r="J2669" s="62"/>
      <c r="K2669" s="78"/>
      <c r="L2669" s="57"/>
      <c r="M2669" s="57"/>
    </row>
    <row r="2670" spans="1:13" ht="15" customHeight="1">
      <c r="A2670" s="73"/>
      <c r="B2670" s="2"/>
      <c r="C2670" s="2"/>
      <c r="D2670" s="2"/>
      <c r="E2670" s="4"/>
      <c r="F2670" s="4"/>
      <c r="G2670" s="4"/>
      <c r="H2670" s="61"/>
      <c r="I2670" s="62"/>
      <c r="J2670" s="62"/>
      <c r="K2670" s="78"/>
      <c r="L2670" s="57"/>
      <c r="M2670" s="57"/>
    </row>
    <row r="2671" spans="1:13" ht="15" customHeight="1">
      <c r="A2671" s="73"/>
      <c r="B2671" s="2"/>
      <c r="C2671" s="2"/>
      <c r="D2671" s="2"/>
      <c r="E2671" s="4"/>
      <c r="F2671" s="4"/>
      <c r="G2671" s="4"/>
      <c r="H2671" s="61"/>
      <c r="I2671" s="62"/>
      <c r="J2671" s="62"/>
      <c r="K2671" s="78"/>
      <c r="L2671" s="57"/>
      <c r="M2671" s="57"/>
    </row>
    <row r="2672" spans="1:13" ht="15" customHeight="1">
      <c r="A2672" s="73"/>
      <c r="B2672" s="2"/>
      <c r="C2672" s="2"/>
      <c r="D2672" s="2"/>
      <c r="E2672" s="4"/>
      <c r="F2672" s="4"/>
      <c r="G2672" s="4"/>
      <c r="H2672" s="61"/>
      <c r="I2672" s="62"/>
      <c r="J2672" s="62"/>
      <c r="K2672" s="78"/>
      <c r="L2672" s="57"/>
      <c r="M2672" s="57"/>
    </row>
    <row r="2673" spans="1:13" ht="15" customHeight="1">
      <c r="A2673" s="73"/>
      <c r="B2673" s="2"/>
      <c r="C2673" s="2"/>
      <c r="D2673" s="2"/>
      <c r="E2673" s="4"/>
      <c r="F2673" s="4"/>
      <c r="G2673" s="4"/>
      <c r="H2673" s="61"/>
      <c r="I2673" s="62"/>
      <c r="J2673" s="62"/>
      <c r="K2673" s="78"/>
      <c r="L2673" s="57"/>
      <c r="M2673" s="57"/>
    </row>
    <row r="2674" spans="1:13" ht="15" customHeight="1">
      <c r="A2674" s="73"/>
      <c r="B2674" s="2"/>
      <c r="C2674" s="2"/>
      <c r="D2674" s="2"/>
      <c r="E2674" s="4"/>
      <c r="F2674" s="4"/>
      <c r="G2674" s="4"/>
      <c r="H2674" s="61"/>
      <c r="I2674" s="62"/>
      <c r="J2674" s="62"/>
      <c r="K2674" s="78"/>
      <c r="L2674" s="57"/>
      <c r="M2674" s="57"/>
    </row>
    <row r="2675" spans="1:13" ht="15" customHeight="1">
      <c r="A2675" s="73"/>
      <c r="B2675" s="2"/>
      <c r="C2675" s="2"/>
      <c r="D2675" s="2"/>
      <c r="E2675" s="4"/>
      <c r="F2675" s="4"/>
      <c r="G2675" s="4"/>
      <c r="H2675" s="61"/>
      <c r="I2675" s="62"/>
      <c r="J2675" s="62"/>
      <c r="K2675" s="78"/>
      <c r="L2675" s="57"/>
      <c r="M2675" s="57"/>
    </row>
    <row r="2676" spans="1:13" ht="15" customHeight="1">
      <c r="A2676" s="73"/>
      <c r="B2676" s="2"/>
      <c r="C2676" s="2"/>
      <c r="D2676" s="2"/>
      <c r="E2676" s="4"/>
      <c r="F2676" s="4"/>
      <c r="G2676" s="4"/>
      <c r="H2676" s="61"/>
      <c r="I2676" s="62"/>
      <c r="J2676" s="62"/>
      <c r="K2676" s="78"/>
      <c r="L2676" s="57"/>
      <c r="M2676" s="57"/>
    </row>
    <row r="2677" spans="1:13" ht="15" customHeight="1">
      <c r="A2677" s="73"/>
      <c r="B2677" s="2"/>
      <c r="C2677" s="2"/>
      <c r="D2677" s="2"/>
      <c r="E2677" s="63"/>
      <c r="F2677" s="4"/>
      <c r="G2677" s="4"/>
      <c r="H2677" s="61"/>
      <c r="I2677" s="62"/>
      <c r="J2677" s="62"/>
      <c r="K2677" s="78"/>
      <c r="L2677" s="57"/>
      <c r="M2677" s="57"/>
    </row>
    <row r="2678" spans="1:13" ht="15" customHeight="1">
      <c r="A2678" s="73"/>
      <c r="B2678" s="2"/>
      <c r="C2678" s="2"/>
      <c r="D2678" s="2"/>
      <c r="E2678" s="4"/>
      <c r="F2678" s="4"/>
      <c r="G2678" s="4"/>
      <c r="H2678" s="61"/>
      <c r="I2678" s="62"/>
      <c r="J2678" s="62"/>
      <c r="K2678" s="78"/>
      <c r="L2678" s="57"/>
      <c r="M2678" s="57"/>
    </row>
    <row r="2679" spans="1:13" ht="15" customHeight="1">
      <c r="A2679" s="73"/>
      <c r="B2679" s="2"/>
      <c r="C2679" s="2"/>
      <c r="D2679" s="2"/>
      <c r="E2679" s="63"/>
      <c r="F2679" s="4"/>
      <c r="G2679" s="4"/>
      <c r="H2679" s="61"/>
      <c r="I2679" s="62"/>
      <c r="J2679" s="62"/>
      <c r="K2679" s="78"/>
      <c r="L2679" s="57"/>
      <c r="M2679" s="57"/>
    </row>
    <row r="2680" spans="1:13" ht="15" customHeight="1">
      <c r="A2680" s="73"/>
      <c r="B2680" s="2"/>
      <c r="C2680" s="2"/>
      <c r="D2680" s="2"/>
      <c r="E2680" s="4"/>
      <c r="F2680" s="4"/>
      <c r="G2680" s="4"/>
      <c r="H2680" s="61"/>
      <c r="I2680" s="62"/>
      <c r="J2680" s="62"/>
      <c r="K2680" s="78"/>
      <c r="L2680" s="57"/>
      <c r="M2680" s="57"/>
    </row>
    <row r="2681" spans="1:13" ht="15" customHeight="1">
      <c r="A2681" s="73"/>
      <c r="B2681" s="2"/>
      <c r="C2681" s="2"/>
      <c r="D2681" s="2"/>
      <c r="E2681" s="4"/>
      <c r="F2681" s="4"/>
      <c r="G2681" s="4"/>
      <c r="H2681" s="61"/>
      <c r="I2681" s="62"/>
      <c r="J2681" s="62"/>
      <c r="K2681" s="78"/>
      <c r="L2681" s="57"/>
      <c r="M2681" s="57"/>
    </row>
    <row r="2682" spans="1:13" ht="15" customHeight="1">
      <c r="A2682" s="73"/>
      <c r="B2682" s="2"/>
      <c r="C2682" s="2"/>
      <c r="D2682" s="2"/>
      <c r="E2682" s="63"/>
      <c r="F2682" s="4"/>
      <c r="G2682" s="4"/>
      <c r="H2682" s="61"/>
      <c r="I2682" s="62"/>
      <c r="J2682" s="62"/>
      <c r="K2682" s="78"/>
      <c r="L2682" s="57"/>
      <c r="M2682" s="57"/>
    </row>
    <row r="2683" spans="1:13" ht="15" customHeight="1">
      <c r="A2683" s="73"/>
      <c r="B2683" s="2"/>
      <c r="C2683" s="2"/>
      <c r="D2683" s="2"/>
      <c r="E2683" s="4"/>
      <c r="F2683" s="4"/>
      <c r="G2683" s="4"/>
      <c r="H2683" s="61"/>
      <c r="I2683" s="62"/>
      <c r="J2683" s="62"/>
      <c r="K2683" s="78"/>
      <c r="L2683" s="57"/>
      <c r="M2683" s="57"/>
    </row>
    <row r="2684" spans="1:13" ht="15" customHeight="1">
      <c r="A2684" s="73"/>
      <c r="B2684" s="2"/>
      <c r="C2684" s="2"/>
      <c r="D2684" s="2"/>
      <c r="E2684" s="4"/>
      <c r="F2684" s="4"/>
      <c r="G2684" s="4"/>
      <c r="H2684" s="61"/>
      <c r="I2684" s="62"/>
      <c r="J2684" s="62"/>
      <c r="K2684" s="78"/>
      <c r="L2684" s="57"/>
      <c r="M2684" s="57"/>
    </row>
    <row r="2685" spans="1:13" ht="15" customHeight="1">
      <c r="A2685" s="73"/>
      <c r="B2685" s="2"/>
      <c r="C2685" s="2"/>
      <c r="D2685" s="2"/>
      <c r="E2685" s="4"/>
      <c r="F2685" s="4"/>
      <c r="G2685" s="4"/>
      <c r="H2685" s="61"/>
      <c r="I2685" s="62"/>
      <c r="J2685" s="62"/>
      <c r="K2685" s="78"/>
      <c r="L2685" s="57"/>
      <c r="M2685" s="57"/>
    </row>
    <row r="2686" spans="1:13" ht="15" customHeight="1">
      <c r="A2686" s="73"/>
      <c r="B2686" s="2"/>
      <c r="C2686" s="2"/>
      <c r="D2686" s="2"/>
      <c r="E2686" s="4"/>
      <c r="F2686" s="4"/>
      <c r="G2686" s="4"/>
      <c r="H2686" s="61"/>
      <c r="I2686" s="62"/>
      <c r="J2686" s="62"/>
      <c r="K2686" s="78"/>
      <c r="L2686" s="57"/>
      <c r="M2686" s="57"/>
    </row>
    <row r="2687" spans="1:13" ht="15" customHeight="1">
      <c r="A2687" s="73"/>
      <c r="B2687" s="2"/>
      <c r="C2687" s="2"/>
      <c r="D2687" s="2"/>
      <c r="E2687" s="63"/>
      <c r="F2687" s="4"/>
      <c r="G2687" s="4"/>
      <c r="H2687" s="61"/>
      <c r="I2687" s="62"/>
      <c r="J2687" s="62"/>
      <c r="K2687" s="78"/>
      <c r="L2687" s="57"/>
      <c r="M2687" s="57"/>
    </row>
    <row r="2688" spans="1:13" ht="15" customHeight="1">
      <c r="A2688" s="73"/>
      <c r="B2688" s="2"/>
      <c r="C2688" s="2"/>
      <c r="D2688" s="2"/>
      <c r="E2688" s="4"/>
      <c r="F2688" s="4"/>
      <c r="G2688" s="4"/>
      <c r="H2688" s="61"/>
      <c r="I2688" s="62"/>
      <c r="J2688" s="62"/>
      <c r="K2688" s="78"/>
      <c r="L2688" s="57"/>
      <c r="M2688" s="57"/>
    </row>
    <row r="2689" spans="1:13" ht="15" customHeight="1">
      <c r="A2689" s="73"/>
      <c r="B2689" s="2"/>
      <c r="C2689" s="2"/>
      <c r="D2689" s="2"/>
      <c r="E2689" s="63"/>
      <c r="F2689" s="4"/>
      <c r="G2689" s="4"/>
      <c r="H2689" s="61"/>
      <c r="I2689" s="62"/>
      <c r="J2689" s="62"/>
      <c r="K2689" s="78"/>
      <c r="L2689" s="57"/>
      <c r="M2689" s="57"/>
    </row>
    <row r="2690" spans="1:13" ht="15" customHeight="1">
      <c r="A2690" s="73"/>
      <c r="B2690" s="2"/>
      <c r="C2690" s="2"/>
      <c r="D2690" s="2"/>
      <c r="E2690" s="63"/>
      <c r="F2690" s="4"/>
      <c r="G2690" s="4"/>
      <c r="H2690" s="61"/>
      <c r="I2690" s="62"/>
      <c r="J2690" s="62"/>
      <c r="K2690" s="78"/>
      <c r="L2690" s="57"/>
      <c r="M2690" s="57"/>
    </row>
    <row r="2691" spans="1:13" ht="15" customHeight="1">
      <c r="A2691" s="73"/>
      <c r="B2691" s="2"/>
      <c r="C2691" s="2"/>
      <c r="D2691" s="2"/>
      <c r="E2691" s="4"/>
      <c r="F2691" s="4"/>
      <c r="G2691" s="4"/>
      <c r="H2691" s="61"/>
      <c r="I2691" s="62"/>
      <c r="J2691" s="62"/>
      <c r="K2691" s="78"/>
      <c r="L2691" s="57"/>
      <c r="M2691" s="57"/>
    </row>
    <row r="2692" spans="1:13" ht="15" customHeight="1">
      <c r="A2692" s="73"/>
      <c r="B2692" s="2"/>
      <c r="C2692" s="2"/>
      <c r="D2692" s="2"/>
      <c r="E2692" s="4"/>
      <c r="F2692" s="4"/>
      <c r="G2692" s="4"/>
      <c r="H2692" s="61"/>
      <c r="I2692" s="62"/>
      <c r="J2692" s="62"/>
      <c r="K2692" s="78"/>
      <c r="L2692" s="57"/>
      <c r="M2692" s="57"/>
    </row>
    <row r="2693" spans="1:13" ht="15" customHeight="1">
      <c r="A2693" s="73"/>
      <c r="B2693" s="2"/>
      <c r="C2693" s="2"/>
      <c r="D2693" s="2"/>
      <c r="E2693" s="4"/>
      <c r="F2693" s="4"/>
      <c r="G2693" s="4"/>
      <c r="H2693" s="61"/>
      <c r="I2693" s="62"/>
      <c r="J2693" s="62"/>
      <c r="K2693" s="78"/>
      <c r="L2693" s="57"/>
      <c r="M2693" s="57"/>
    </row>
    <row r="2694" spans="1:13" ht="15" customHeight="1">
      <c r="A2694" s="73"/>
      <c r="B2694" s="2"/>
      <c r="C2694" s="2"/>
      <c r="D2694" s="2"/>
      <c r="E2694" s="4"/>
      <c r="F2694" s="4"/>
      <c r="G2694" s="4"/>
      <c r="H2694" s="61"/>
      <c r="I2694" s="62"/>
      <c r="J2694" s="62"/>
      <c r="K2694" s="78"/>
      <c r="L2694" s="57"/>
      <c r="M2694" s="57"/>
    </row>
    <row r="2695" spans="1:13" ht="15" customHeight="1">
      <c r="A2695" s="73"/>
      <c r="B2695" s="2"/>
      <c r="C2695" s="2"/>
      <c r="D2695" s="2"/>
      <c r="E2695" s="4"/>
      <c r="F2695" s="4"/>
      <c r="G2695" s="4"/>
      <c r="H2695" s="61"/>
      <c r="I2695" s="62"/>
      <c r="J2695" s="62"/>
      <c r="K2695" s="78"/>
      <c r="L2695" s="57"/>
      <c r="M2695" s="57"/>
    </row>
    <row r="2696" spans="1:13" ht="15" customHeight="1">
      <c r="A2696" s="73"/>
      <c r="B2696" s="2"/>
      <c r="C2696" s="2"/>
      <c r="D2696" s="2"/>
      <c r="E2696" s="63"/>
      <c r="F2696" s="4"/>
      <c r="G2696" s="4"/>
      <c r="H2696" s="61"/>
      <c r="I2696" s="62"/>
      <c r="J2696" s="62"/>
      <c r="K2696" s="78"/>
      <c r="L2696" s="57"/>
      <c r="M2696" s="57"/>
    </row>
    <row r="2697" spans="1:13" ht="15" customHeight="1">
      <c r="A2697" s="73"/>
      <c r="B2697" s="2"/>
      <c r="C2697" s="2"/>
      <c r="D2697" s="2"/>
      <c r="E2697" s="4"/>
      <c r="F2697" s="4"/>
      <c r="G2697" s="4"/>
      <c r="H2697" s="61"/>
      <c r="I2697" s="62"/>
      <c r="J2697" s="62"/>
      <c r="K2697" s="78"/>
      <c r="L2697" s="57"/>
      <c r="M2697" s="57"/>
    </row>
    <row r="2698" spans="1:13" ht="15" customHeight="1">
      <c r="A2698" s="73"/>
      <c r="B2698" s="2"/>
      <c r="C2698" s="2"/>
      <c r="D2698" s="2"/>
      <c r="E2698" s="4"/>
      <c r="F2698" s="4"/>
      <c r="G2698" s="4"/>
      <c r="H2698" s="61"/>
      <c r="I2698" s="62"/>
      <c r="J2698" s="62"/>
      <c r="K2698" s="78"/>
      <c r="L2698" s="57"/>
      <c r="M2698" s="57"/>
    </row>
    <row r="2699" spans="1:13" ht="15" customHeight="1">
      <c r="A2699" s="73"/>
      <c r="B2699" s="2"/>
      <c r="C2699" s="2"/>
      <c r="D2699" s="2"/>
      <c r="E2699" s="4"/>
      <c r="F2699" s="4"/>
      <c r="G2699" s="4"/>
      <c r="H2699" s="61"/>
      <c r="I2699" s="62"/>
      <c r="J2699" s="62"/>
      <c r="K2699" s="78"/>
      <c r="L2699" s="57"/>
      <c r="M2699" s="57"/>
    </row>
    <row r="2700" spans="1:13" ht="15" customHeight="1">
      <c r="A2700" s="73"/>
      <c r="B2700" s="2"/>
      <c r="C2700" s="2"/>
      <c r="D2700" s="2"/>
      <c r="E2700" s="4"/>
      <c r="F2700" s="4"/>
      <c r="G2700" s="4"/>
      <c r="H2700" s="61"/>
      <c r="I2700" s="62"/>
      <c r="J2700" s="62"/>
      <c r="K2700" s="78"/>
      <c r="L2700" s="57"/>
      <c r="M2700" s="57"/>
    </row>
    <row r="2701" spans="1:13" ht="15" customHeight="1">
      <c r="A2701" s="73"/>
      <c r="B2701" s="2"/>
      <c r="C2701" s="2"/>
      <c r="D2701" s="2"/>
      <c r="E2701" s="4"/>
      <c r="F2701" s="4"/>
      <c r="G2701" s="4"/>
      <c r="H2701" s="61"/>
      <c r="I2701" s="62"/>
      <c r="J2701" s="62"/>
      <c r="K2701" s="78"/>
      <c r="L2701" s="57"/>
      <c r="M2701" s="57"/>
    </row>
    <row r="2702" spans="1:13" ht="15" customHeight="1">
      <c r="A2702" s="73"/>
      <c r="B2702" s="2"/>
      <c r="C2702" s="2"/>
      <c r="D2702" s="2"/>
      <c r="E2702" s="63"/>
      <c r="F2702" s="4"/>
      <c r="G2702" s="4"/>
      <c r="H2702" s="61"/>
      <c r="I2702" s="62"/>
      <c r="J2702" s="62"/>
      <c r="K2702" s="78"/>
      <c r="L2702" s="57"/>
      <c r="M2702" s="57"/>
    </row>
    <row r="2703" spans="1:13" ht="15" customHeight="1">
      <c r="A2703" s="73"/>
      <c r="B2703" s="2"/>
      <c r="C2703" s="2"/>
      <c r="D2703" s="2"/>
      <c r="E2703" s="4"/>
      <c r="F2703" s="4"/>
      <c r="G2703" s="4"/>
      <c r="H2703" s="61"/>
      <c r="I2703" s="62"/>
      <c r="J2703" s="62"/>
      <c r="K2703" s="78"/>
      <c r="L2703" s="57"/>
      <c r="M2703" s="57"/>
    </row>
    <row r="2704" spans="1:13" ht="15" customHeight="1">
      <c r="A2704" s="73"/>
      <c r="B2704" s="2"/>
      <c r="C2704" s="2"/>
      <c r="D2704" s="2"/>
      <c r="E2704" s="4"/>
      <c r="F2704" s="4"/>
      <c r="G2704" s="4"/>
      <c r="H2704" s="61"/>
      <c r="I2704" s="62"/>
      <c r="J2704" s="62"/>
      <c r="K2704" s="78"/>
      <c r="L2704" s="57"/>
      <c r="M2704" s="57"/>
    </row>
    <row r="2705" spans="1:13" ht="15" customHeight="1">
      <c r="A2705" s="73"/>
      <c r="B2705" s="2"/>
      <c r="C2705" s="2"/>
      <c r="D2705" s="2"/>
      <c r="E2705" s="63"/>
      <c r="F2705" s="4"/>
      <c r="G2705" s="4"/>
      <c r="H2705" s="61"/>
      <c r="I2705" s="62"/>
      <c r="J2705" s="62"/>
      <c r="K2705" s="78"/>
      <c r="L2705" s="57"/>
      <c r="M2705" s="57"/>
    </row>
    <row r="2706" spans="1:13" ht="15" customHeight="1">
      <c r="A2706" s="73"/>
      <c r="B2706" s="2"/>
      <c r="C2706" s="2"/>
      <c r="D2706" s="2"/>
      <c r="E2706" s="4"/>
      <c r="F2706" s="4"/>
      <c r="G2706" s="4"/>
      <c r="H2706" s="61"/>
      <c r="I2706" s="62"/>
      <c r="J2706" s="62"/>
      <c r="K2706" s="78"/>
      <c r="L2706" s="57"/>
      <c r="M2706" s="57"/>
    </row>
    <row r="2707" spans="1:13" ht="15" customHeight="1">
      <c r="A2707" s="73"/>
      <c r="B2707" s="2"/>
      <c r="C2707" s="2"/>
      <c r="D2707" s="2"/>
      <c r="E2707" s="63"/>
      <c r="F2707" s="4"/>
      <c r="G2707" s="4"/>
      <c r="H2707" s="61"/>
      <c r="I2707" s="62"/>
      <c r="J2707" s="62"/>
      <c r="K2707" s="78"/>
      <c r="L2707" s="57"/>
      <c r="M2707" s="57"/>
    </row>
    <row r="2708" spans="1:13" ht="15" customHeight="1">
      <c r="A2708" s="73"/>
      <c r="B2708" s="2"/>
      <c r="C2708" s="2"/>
      <c r="D2708" s="2"/>
      <c r="E2708" s="4"/>
      <c r="F2708" s="4"/>
      <c r="G2708" s="4"/>
      <c r="H2708" s="61"/>
      <c r="I2708" s="62"/>
      <c r="J2708" s="62"/>
      <c r="K2708" s="78"/>
      <c r="L2708" s="57"/>
      <c r="M2708" s="57"/>
    </row>
    <row r="2709" spans="1:13" ht="15" customHeight="1">
      <c r="A2709" s="73"/>
      <c r="B2709" s="2"/>
      <c r="C2709" s="2"/>
      <c r="D2709" s="2"/>
      <c r="E2709" s="4"/>
      <c r="F2709" s="4"/>
      <c r="G2709" s="4"/>
      <c r="H2709" s="61"/>
      <c r="I2709" s="62"/>
      <c r="J2709" s="62"/>
      <c r="K2709" s="78"/>
      <c r="L2709" s="57"/>
      <c r="M2709" s="57"/>
    </row>
    <row r="2710" spans="1:13" ht="15" customHeight="1">
      <c r="A2710" s="73"/>
      <c r="B2710" s="2"/>
      <c r="C2710" s="2"/>
      <c r="D2710" s="2"/>
      <c r="E2710" s="4"/>
      <c r="F2710" s="4"/>
      <c r="G2710" s="4"/>
      <c r="H2710" s="61"/>
      <c r="I2710" s="62"/>
      <c r="J2710" s="62"/>
      <c r="K2710" s="78"/>
      <c r="L2710" s="57"/>
      <c r="M2710" s="57"/>
    </row>
    <row r="2711" spans="1:13" ht="15" customHeight="1">
      <c r="A2711" s="73"/>
      <c r="B2711" s="2"/>
      <c r="C2711" s="2"/>
      <c r="D2711" s="2"/>
      <c r="E2711" s="63"/>
      <c r="F2711" s="4"/>
      <c r="G2711" s="4"/>
      <c r="H2711" s="61"/>
      <c r="I2711" s="62"/>
      <c r="J2711" s="62"/>
      <c r="K2711" s="78"/>
      <c r="L2711" s="57"/>
      <c r="M2711" s="57"/>
    </row>
    <row r="2712" spans="1:13" ht="15" customHeight="1">
      <c r="A2712" s="73"/>
      <c r="B2712" s="2"/>
      <c r="C2712" s="2"/>
      <c r="D2712" s="2"/>
      <c r="E2712" s="4"/>
      <c r="F2712" s="4"/>
      <c r="G2712" s="4"/>
      <c r="H2712" s="61"/>
      <c r="I2712" s="62"/>
      <c r="J2712" s="62"/>
      <c r="K2712" s="78"/>
      <c r="L2712" s="57"/>
      <c r="M2712" s="57"/>
    </row>
    <row r="2713" spans="1:13" ht="15" customHeight="1">
      <c r="A2713" s="73"/>
      <c r="B2713" s="2"/>
      <c r="C2713" s="2"/>
      <c r="D2713" s="2"/>
      <c r="E2713" s="4"/>
      <c r="F2713" s="4"/>
      <c r="G2713" s="4"/>
      <c r="H2713" s="61"/>
      <c r="I2713" s="62"/>
      <c r="J2713" s="62"/>
      <c r="K2713" s="78"/>
      <c r="L2713" s="57"/>
      <c r="M2713" s="57"/>
    </row>
    <row r="2714" spans="1:13" ht="15" customHeight="1">
      <c r="A2714" s="73"/>
      <c r="B2714" s="2"/>
      <c r="C2714" s="2"/>
      <c r="D2714" s="2"/>
      <c r="E2714" s="63"/>
      <c r="F2714" s="4"/>
      <c r="G2714" s="4"/>
      <c r="H2714" s="61"/>
      <c r="I2714" s="62"/>
      <c r="J2714" s="62"/>
      <c r="K2714" s="78"/>
      <c r="L2714" s="57"/>
      <c r="M2714" s="57"/>
    </row>
    <row r="2715" spans="1:13" ht="15" customHeight="1">
      <c r="A2715" s="73"/>
      <c r="B2715" s="2"/>
      <c r="C2715" s="2"/>
      <c r="D2715" s="2"/>
      <c r="E2715" s="63"/>
      <c r="F2715" s="4"/>
      <c r="G2715" s="4"/>
      <c r="H2715" s="61"/>
      <c r="I2715" s="62"/>
      <c r="J2715" s="62"/>
      <c r="K2715" s="78"/>
      <c r="L2715" s="57"/>
      <c r="M2715" s="57"/>
    </row>
    <row r="2716" spans="1:13" ht="15" customHeight="1">
      <c r="A2716" s="73"/>
      <c r="B2716" s="2"/>
      <c r="C2716" s="2"/>
      <c r="D2716" s="2"/>
      <c r="E2716" s="4"/>
      <c r="F2716" s="4"/>
      <c r="G2716" s="4"/>
      <c r="H2716" s="61"/>
      <c r="I2716" s="62"/>
      <c r="J2716" s="62"/>
      <c r="K2716" s="78"/>
      <c r="L2716" s="57"/>
      <c r="M2716" s="57"/>
    </row>
    <row r="2717" spans="1:13" ht="15" customHeight="1">
      <c r="A2717" s="73"/>
      <c r="B2717" s="2"/>
      <c r="C2717" s="2"/>
      <c r="D2717" s="2"/>
      <c r="E2717" s="4"/>
      <c r="F2717" s="4"/>
      <c r="G2717" s="4"/>
      <c r="H2717" s="61"/>
      <c r="I2717" s="62"/>
      <c r="J2717" s="62"/>
      <c r="K2717" s="78"/>
      <c r="L2717" s="57"/>
      <c r="M2717" s="57"/>
    </row>
    <row r="2718" spans="1:13" ht="15" customHeight="1">
      <c r="A2718" s="73"/>
      <c r="B2718" s="2"/>
      <c r="C2718" s="2"/>
      <c r="D2718" s="2"/>
      <c r="E2718" s="4"/>
      <c r="F2718" s="4"/>
      <c r="G2718" s="4"/>
      <c r="H2718" s="61"/>
      <c r="I2718" s="62"/>
      <c r="J2718" s="62"/>
      <c r="K2718" s="78"/>
      <c r="L2718" s="57"/>
      <c r="M2718" s="57"/>
    </row>
    <row r="2719" spans="1:13" ht="15" customHeight="1">
      <c r="A2719" s="73"/>
      <c r="B2719" s="2"/>
      <c r="C2719" s="2"/>
      <c r="D2719" s="2"/>
      <c r="E2719" s="4"/>
      <c r="F2719" s="4"/>
      <c r="G2719" s="4"/>
      <c r="H2719" s="61"/>
      <c r="I2719" s="62"/>
      <c r="J2719" s="62"/>
      <c r="K2719" s="78"/>
      <c r="L2719" s="57"/>
      <c r="M2719" s="57"/>
    </row>
    <row r="2720" spans="1:13" ht="15" customHeight="1">
      <c r="A2720" s="73"/>
      <c r="B2720" s="2"/>
      <c r="C2720" s="2"/>
      <c r="D2720" s="2"/>
      <c r="E2720" s="4"/>
      <c r="F2720" s="4"/>
      <c r="G2720" s="4"/>
      <c r="H2720" s="61"/>
      <c r="I2720" s="62"/>
      <c r="J2720" s="62"/>
      <c r="K2720" s="78"/>
      <c r="L2720" s="57"/>
      <c r="M2720" s="57"/>
    </row>
    <row r="2721" spans="1:13" ht="15" customHeight="1">
      <c r="A2721" s="73"/>
      <c r="B2721" s="2"/>
      <c r="C2721" s="2"/>
      <c r="D2721" s="2"/>
      <c r="E2721" s="4"/>
      <c r="F2721" s="4"/>
      <c r="G2721" s="4"/>
      <c r="H2721" s="61"/>
      <c r="I2721" s="62"/>
      <c r="J2721" s="62"/>
      <c r="K2721" s="78"/>
      <c r="L2721" s="57"/>
      <c r="M2721" s="57"/>
    </row>
    <row r="2722" spans="1:13" ht="15" customHeight="1">
      <c r="A2722" s="73"/>
      <c r="B2722" s="2"/>
      <c r="C2722" s="2"/>
      <c r="D2722" s="2"/>
      <c r="E2722" s="4"/>
      <c r="F2722" s="4"/>
      <c r="G2722" s="4"/>
      <c r="H2722" s="61"/>
      <c r="I2722" s="62"/>
      <c r="J2722" s="62"/>
      <c r="K2722" s="78"/>
      <c r="L2722" s="57"/>
      <c r="M2722" s="57"/>
    </row>
    <row r="2723" spans="1:13" ht="15" customHeight="1">
      <c r="A2723" s="73"/>
      <c r="B2723" s="2"/>
      <c r="C2723" s="2"/>
      <c r="D2723" s="2"/>
      <c r="E2723" s="4"/>
      <c r="F2723" s="4"/>
      <c r="G2723" s="4"/>
      <c r="H2723" s="61"/>
      <c r="I2723" s="62"/>
      <c r="J2723" s="62"/>
      <c r="K2723" s="78"/>
      <c r="L2723" s="57"/>
      <c r="M2723" s="57"/>
    </row>
    <row r="2724" spans="1:13" ht="15" customHeight="1">
      <c r="A2724" s="73"/>
      <c r="B2724" s="2"/>
      <c r="C2724" s="2"/>
      <c r="D2724" s="2"/>
      <c r="E2724" s="4"/>
      <c r="F2724" s="4"/>
      <c r="G2724" s="4"/>
      <c r="H2724" s="61"/>
      <c r="I2724" s="62"/>
      <c r="J2724" s="62"/>
      <c r="K2724" s="78"/>
      <c r="L2724" s="57"/>
      <c r="M2724" s="57"/>
    </row>
    <row r="2725" spans="1:13" ht="15" customHeight="1">
      <c r="A2725" s="73"/>
      <c r="B2725" s="2"/>
      <c r="C2725" s="2"/>
      <c r="D2725" s="2"/>
      <c r="E2725" s="4"/>
      <c r="F2725" s="4"/>
      <c r="G2725" s="4"/>
      <c r="H2725" s="61"/>
      <c r="I2725" s="62"/>
      <c r="J2725" s="62"/>
      <c r="K2725" s="78"/>
      <c r="L2725" s="57"/>
      <c r="M2725" s="57"/>
    </row>
    <row r="2726" spans="1:13" ht="15" customHeight="1">
      <c r="A2726" s="73"/>
      <c r="B2726" s="2"/>
      <c r="C2726" s="2"/>
      <c r="D2726" s="2"/>
      <c r="E2726" s="4"/>
      <c r="F2726" s="4"/>
      <c r="G2726" s="4"/>
      <c r="H2726" s="61"/>
      <c r="I2726" s="62"/>
      <c r="J2726" s="62"/>
      <c r="K2726" s="78"/>
      <c r="L2726" s="57"/>
      <c r="M2726" s="57"/>
    </row>
    <row r="2727" spans="1:13" ht="15" customHeight="1">
      <c r="A2727" s="73"/>
      <c r="B2727" s="2"/>
      <c r="C2727" s="2"/>
      <c r="D2727" s="2"/>
      <c r="E2727" s="4"/>
      <c r="F2727" s="4"/>
      <c r="G2727" s="4"/>
      <c r="H2727" s="61"/>
      <c r="I2727" s="62"/>
      <c r="J2727" s="62"/>
      <c r="K2727" s="78"/>
      <c r="L2727" s="57"/>
      <c r="M2727" s="57"/>
    </row>
    <row r="2728" spans="1:13" ht="15" customHeight="1">
      <c r="A2728" s="73"/>
      <c r="B2728" s="2"/>
      <c r="C2728" s="2"/>
      <c r="D2728" s="2"/>
      <c r="E2728" s="4"/>
      <c r="F2728" s="4"/>
      <c r="G2728" s="4"/>
      <c r="H2728" s="61"/>
      <c r="I2728" s="62"/>
      <c r="J2728" s="62"/>
      <c r="K2728" s="78"/>
      <c r="L2728" s="57"/>
      <c r="M2728" s="57"/>
    </row>
    <row r="2729" spans="1:13" ht="15" customHeight="1">
      <c r="A2729" s="73"/>
      <c r="B2729" s="2"/>
      <c r="C2729" s="2"/>
      <c r="D2729" s="2"/>
      <c r="E2729" s="4"/>
      <c r="F2729" s="4"/>
      <c r="G2729" s="4"/>
      <c r="H2729" s="61"/>
      <c r="I2729" s="62"/>
      <c r="J2729" s="62"/>
      <c r="K2729" s="78"/>
      <c r="L2729" s="57"/>
      <c r="M2729" s="57"/>
    </row>
    <row r="2730" spans="1:13" ht="15" customHeight="1">
      <c r="A2730" s="73"/>
      <c r="B2730" s="2"/>
      <c r="C2730" s="2"/>
      <c r="D2730" s="2"/>
      <c r="E2730" s="4"/>
      <c r="F2730" s="4"/>
      <c r="G2730" s="4"/>
      <c r="H2730" s="61"/>
      <c r="I2730" s="62"/>
      <c r="J2730" s="62"/>
      <c r="K2730" s="78"/>
      <c r="L2730" s="57"/>
      <c r="M2730" s="57"/>
    </row>
    <row r="2731" spans="1:13" ht="15" customHeight="1">
      <c r="A2731" s="73"/>
      <c r="B2731" s="2"/>
      <c r="C2731" s="2"/>
      <c r="D2731" s="2"/>
      <c r="E2731" s="4"/>
      <c r="F2731" s="4"/>
      <c r="G2731" s="4"/>
      <c r="H2731" s="61"/>
      <c r="I2731" s="62"/>
      <c r="J2731" s="62"/>
      <c r="K2731" s="78"/>
      <c r="L2731" s="57"/>
      <c r="M2731" s="57"/>
    </row>
    <row r="2732" spans="1:13" ht="15" customHeight="1">
      <c r="A2732" s="73"/>
      <c r="B2732" s="2"/>
      <c r="C2732" s="2"/>
      <c r="D2732" s="2"/>
      <c r="E2732" s="4"/>
      <c r="F2732" s="4"/>
      <c r="G2732" s="4"/>
      <c r="H2732" s="61"/>
      <c r="I2732" s="62"/>
      <c r="J2732" s="62"/>
      <c r="K2732" s="78"/>
      <c r="L2732" s="57"/>
      <c r="M2732" s="57"/>
    </row>
    <row r="2733" spans="1:13" ht="15" customHeight="1">
      <c r="A2733" s="73"/>
      <c r="B2733" s="2"/>
      <c r="C2733" s="2"/>
      <c r="D2733" s="2"/>
      <c r="E2733" s="63"/>
      <c r="F2733" s="4"/>
      <c r="G2733" s="4"/>
      <c r="H2733" s="61"/>
      <c r="I2733" s="62"/>
      <c r="J2733" s="62"/>
      <c r="K2733" s="78"/>
      <c r="L2733" s="57"/>
      <c r="M2733" s="57"/>
    </row>
    <row r="2734" spans="1:13" ht="15" customHeight="1">
      <c r="A2734" s="73"/>
      <c r="B2734" s="2"/>
      <c r="C2734" s="2"/>
      <c r="D2734" s="2"/>
      <c r="E2734" s="4"/>
      <c r="F2734" s="4"/>
      <c r="G2734" s="4"/>
      <c r="H2734" s="61"/>
      <c r="I2734" s="62"/>
      <c r="J2734" s="62"/>
      <c r="K2734" s="78"/>
      <c r="L2734" s="57"/>
      <c r="M2734" s="57"/>
    </row>
    <row r="2735" spans="1:13" ht="15" customHeight="1">
      <c r="A2735" s="73"/>
      <c r="B2735" s="2"/>
      <c r="C2735" s="2"/>
      <c r="D2735" s="2"/>
      <c r="E2735" s="4"/>
      <c r="F2735" s="4"/>
      <c r="G2735" s="4"/>
      <c r="H2735" s="61"/>
      <c r="I2735" s="62"/>
      <c r="J2735" s="62"/>
      <c r="K2735" s="78"/>
      <c r="L2735" s="57"/>
      <c r="M2735" s="57"/>
    </row>
    <row r="2736" spans="1:13" ht="15" customHeight="1">
      <c r="A2736" s="73"/>
      <c r="B2736" s="2"/>
      <c r="C2736" s="2"/>
      <c r="D2736" s="2"/>
      <c r="E2736" s="4"/>
      <c r="F2736" s="4"/>
      <c r="G2736" s="4"/>
      <c r="H2736" s="61"/>
      <c r="I2736" s="62"/>
      <c r="J2736" s="62"/>
      <c r="K2736" s="78"/>
      <c r="L2736" s="57"/>
      <c r="M2736" s="57"/>
    </row>
    <row r="2737" spans="1:13" ht="15" customHeight="1">
      <c r="A2737" s="73"/>
      <c r="B2737" s="2"/>
      <c r="C2737" s="2"/>
      <c r="D2737" s="2"/>
      <c r="E2737" s="4"/>
      <c r="F2737" s="4"/>
      <c r="G2737" s="4"/>
      <c r="H2737" s="61"/>
      <c r="I2737" s="62"/>
      <c r="J2737" s="62"/>
      <c r="K2737" s="78"/>
      <c r="L2737" s="57"/>
      <c r="M2737" s="57"/>
    </row>
    <row r="2738" spans="1:13" ht="15" customHeight="1">
      <c r="A2738" s="73"/>
      <c r="B2738" s="2"/>
      <c r="C2738" s="2"/>
      <c r="D2738" s="2"/>
      <c r="E2738" s="63"/>
      <c r="F2738" s="4"/>
      <c r="G2738" s="4"/>
      <c r="H2738" s="61"/>
      <c r="I2738" s="62"/>
      <c r="J2738" s="62"/>
      <c r="K2738" s="78"/>
      <c r="L2738" s="57"/>
      <c r="M2738" s="57"/>
    </row>
    <row r="2739" spans="1:13" ht="15" customHeight="1">
      <c r="A2739" s="73"/>
      <c r="B2739" s="2"/>
      <c r="C2739" s="2"/>
      <c r="D2739" s="2"/>
      <c r="E2739" s="4"/>
      <c r="F2739" s="4"/>
      <c r="G2739" s="4"/>
      <c r="H2739" s="61"/>
      <c r="I2739" s="62"/>
      <c r="J2739" s="62"/>
      <c r="K2739" s="78"/>
      <c r="L2739" s="57"/>
      <c r="M2739" s="57"/>
    </row>
    <row r="2740" spans="1:13" ht="15" customHeight="1">
      <c r="A2740" s="73"/>
      <c r="B2740" s="2"/>
      <c r="C2740" s="2"/>
      <c r="D2740" s="2"/>
      <c r="E2740" s="4"/>
      <c r="F2740" s="4"/>
      <c r="G2740" s="4"/>
      <c r="H2740" s="61"/>
      <c r="I2740" s="62"/>
      <c r="J2740" s="62"/>
      <c r="K2740" s="78"/>
      <c r="L2740" s="57"/>
      <c r="M2740" s="57"/>
    </row>
    <row r="2741" spans="1:13" ht="15" customHeight="1">
      <c r="A2741" s="73"/>
      <c r="B2741" s="2"/>
      <c r="C2741" s="2"/>
      <c r="D2741" s="2"/>
      <c r="E2741" s="4"/>
      <c r="F2741" s="4"/>
      <c r="G2741" s="4"/>
      <c r="H2741" s="61"/>
      <c r="I2741" s="62"/>
      <c r="J2741" s="62"/>
      <c r="K2741" s="78"/>
      <c r="L2741" s="57"/>
      <c r="M2741" s="57"/>
    </row>
    <row r="2742" spans="1:13" ht="15" customHeight="1">
      <c r="A2742" s="73"/>
      <c r="B2742" s="2"/>
      <c r="C2742" s="2"/>
      <c r="D2742" s="2"/>
      <c r="E2742" s="4"/>
      <c r="F2742" s="4"/>
      <c r="G2742" s="4"/>
      <c r="H2742" s="61"/>
      <c r="I2742" s="62"/>
      <c r="J2742" s="62"/>
      <c r="K2742" s="78"/>
      <c r="L2742" s="57"/>
      <c r="M2742" s="57"/>
    </row>
    <row r="2743" spans="1:13" ht="15" customHeight="1">
      <c r="A2743" s="73"/>
      <c r="B2743" s="2"/>
      <c r="C2743" s="2"/>
      <c r="D2743" s="2"/>
      <c r="E2743" s="4"/>
      <c r="F2743" s="4"/>
      <c r="G2743" s="4"/>
      <c r="H2743" s="61"/>
      <c r="I2743" s="62"/>
      <c r="J2743" s="62"/>
      <c r="K2743" s="78"/>
      <c r="L2743" s="57"/>
      <c r="M2743" s="57"/>
    </row>
    <row r="2744" spans="1:13" ht="15" customHeight="1">
      <c r="A2744" s="73"/>
      <c r="B2744" s="2"/>
      <c r="C2744" s="2"/>
      <c r="D2744" s="2"/>
      <c r="E2744" s="4"/>
      <c r="F2744" s="4"/>
      <c r="G2744" s="4"/>
      <c r="H2744" s="61"/>
      <c r="I2744" s="62"/>
      <c r="J2744" s="62"/>
      <c r="K2744" s="78"/>
      <c r="L2744" s="57"/>
      <c r="M2744" s="57"/>
    </row>
    <row r="2745" spans="1:13" ht="15" customHeight="1">
      <c r="A2745" s="73"/>
      <c r="B2745" s="2"/>
      <c r="C2745" s="2"/>
      <c r="D2745" s="2"/>
      <c r="E2745" s="4"/>
      <c r="F2745" s="4"/>
      <c r="G2745" s="4"/>
      <c r="H2745" s="61"/>
      <c r="I2745" s="62"/>
      <c r="J2745" s="62"/>
      <c r="K2745" s="78"/>
      <c r="L2745" s="57"/>
      <c r="M2745" s="57"/>
    </row>
    <row r="2746" spans="1:13" ht="15" customHeight="1">
      <c r="A2746" s="73"/>
      <c r="B2746" s="2"/>
      <c r="C2746" s="2"/>
      <c r="D2746" s="2"/>
      <c r="E2746" s="4"/>
      <c r="F2746" s="4"/>
      <c r="G2746" s="4"/>
      <c r="H2746" s="61"/>
      <c r="I2746" s="62"/>
      <c r="J2746" s="62"/>
      <c r="K2746" s="78"/>
      <c r="L2746" s="57"/>
      <c r="M2746" s="57"/>
    </row>
    <row r="2747" spans="1:13" ht="15" customHeight="1">
      <c r="A2747" s="73"/>
      <c r="B2747" s="2"/>
      <c r="C2747" s="2"/>
      <c r="D2747" s="2"/>
      <c r="E2747" s="63"/>
      <c r="F2747" s="4"/>
      <c r="G2747" s="4"/>
      <c r="H2747" s="61"/>
      <c r="I2747" s="62"/>
      <c r="J2747" s="62"/>
      <c r="K2747" s="78"/>
      <c r="L2747" s="57"/>
      <c r="M2747" s="57"/>
    </row>
    <row r="2748" spans="1:13" ht="15" customHeight="1">
      <c r="A2748" s="73"/>
      <c r="B2748" s="2"/>
      <c r="C2748" s="2"/>
      <c r="D2748" s="2"/>
      <c r="E2748" s="4"/>
      <c r="F2748" s="4"/>
      <c r="G2748" s="4"/>
      <c r="H2748" s="61"/>
      <c r="I2748" s="62"/>
      <c r="J2748" s="62"/>
      <c r="K2748" s="78"/>
      <c r="L2748" s="57"/>
      <c r="M2748" s="57"/>
    </row>
    <row r="2749" spans="1:13" ht="15" customHeight="1">
      <c r="A2749" s="73"/>
      <c r="B2749" s="2"/>
      <c r="C2749" s="2"/>
      <c r="D2749" s="2"/>
      <c r="E2749" s="4"/>
      <c r="F2749" s="4"/>
      <c r="G2749" s="4"/>
      <c r="H2749" s="61"/>
      <c r="I2749" s="62"/>
      <c r="J2749" s="62"/>
      <c r="K2749" s="78"/>
      <c r="L2749" s="57"/>
      <c r="M2749" s="57"/>
    </row>
    <row r="2750" spans="1:13" ht="15" customHeight="1">
      <c r="A2750" s="73"/>
      <c r="B2750" s="2"/>
      <c r="C2750" s="2"/>
      <c r="D2750" s="2"/>
      <c r="E2750" s="4"/>
      <c r="F2750" s="4"/>
      <c r="G2750" s="4"/>
      <c r="H2750" s="61"/>
      <c r="I2750" s="62"/>
      <c r="J2750" s="62"/>
      <c r="K2750" s="78"/>
      <c r="L2750" s="57"/>
      <c r="M2750" s="57"/>
    </row>
    <row r="2751" spans="1:13" ht="15" customHeight="1">
      <c r="A2751" s="73"/>
      <c r="B2751" s="2"/>
      <c r="C2751" s="2"/>
      <c r="D2751" s="2"/>
      <c r="E2751" s="4"/>
      <c r="F2751" s="4"/>
      <c r="G2751" s="4"/>
      <c r="H2751" s="61"/>
      <c r="I2751" s="62"/>
      <c r="J2751" s="62"/>
      <c r="K2751" s="78"/>
      <c r="L2751" s="57"/>
      <c r="M2751" s="57"/>
    </row>
    <row r="2752" spans="1:13" ht="15" customHeight="1">
      <c r="A2752" s="73"/>
      <c r="B2752" s="2"/>
      <c r="C2752" s="2"/>
      <c r="D2752" s="2"/>
      <c r="E2752" s="4"/>
      <c r="F2752" s="4"/>
      <c r="G2752" s="4"/>
      <c r="H2752" s="61"/>
      <c r="I2752" s="62"/>
      <c r="J2752" s="62"/>
      <c r="K2752" s="78"/>
      <c r="L2752" s="57"/>
      <c r="M2752" s="57"/>
    </row>
    <row r="2753" spans="1:13" ht="15" customHeight="1">
      <c r="A2753" s="73"/>
      <c r="B2753" s="2"/>
      <c r="C2753" s="2"/>
      <c r="D2753" s="2"/>
      <c r="E2753" s="63"/>
      <c r="F2753" s="4"/>
      <c r="G2753" s="4"/>
      <c r="H2753" s="61"/>
      <c r="I2753" s="62"/>
      <c r="J2753" s="62"/>
      <c r="K2753" s="78"/>
      <c r="L2753" s="57"/>
      <c r="M2753" s="57"/>
    </row>
    <row r="2754" spans="1:13" ht="15" customHeight="1">
      <c r="A2754" s="73"/>
      <c r="B2754" s="2"/>
      <c r="C2754" s="2"/>
      <c r="D2754" s="2"/>
      <c r="E2754" s="4"/>
      <c r="F2754" s="4"/>
      <c r="G2754" s="4"/>
      <c r="H2754" s="61"/>
      <c r="I2754" s="62"/>
      <c r="J2754" s="62"/>
      <c r="K2754" s="78"/>
      <c r="L2754" s="57"/>
      <c r="M2754" s="57"/>
    </row>
    <row r="2755" spans="1:13" ht="15" customHeight="1">
      <c r="A2755" s="73"/>
      <c r="B2755" s="2"/>
      <c r="C2755" s="2"/>
      <c r="D2755" s="2"/>
      <c r="E2755" s="4"/>
      <c r="F2755" s="4"/>
      <c r="G2755" s="4"/>
      <c r="H2755" s="61"/>
      <c r="I2755" s="62"/>
      <c r="J2755" s="62"/>
      <c r="K2755" s="78"/>
      <c r="L2755" s="57"/>
      <c r="M2755" s="57"/>
    </row>
    <row r="2756" spans="1:13" ht="15" customHeight="1">
      <c r="A2756" s="73"/>
      <c r="B2756" s="2"/>
      <c r="C2756" s="2"/>
      <c r="D2756" s="2"/>
      <c r="E2756" s="4"/>
      <c r="F2756" s="4"/>
      <c r="G2756" s="4"/>
      <c r="H2756" s="61"/>
      <c r="I2756" s="62"/>
      <c r="J2756" s="62"/>
      <c r="K2756" s="78"/>
      <c r="L2756" s="57"/>
      <c r="M2756" s="57"/>
    </row>
    <row r="2757" spans="1:13" ht="15" customHeight="1">
      <c r="A2757" s="73"/>
      <c r="B2757" s="2"/>
      <c r="C2757" s="2"/>
      <c r="D2757" s="2"/>
      <c r="E2757" s="4"/>
      <c r="F2757" s="4"/>
      <c r="G2757" s="4"/>
      <c r="H2757" s="61"/>
      <c r="I2757" s="62"/>
      <c r="J2757" s="62"/>
      <c r="K2757" s="78"/>
      <c r="L2757" s="57"/>
      <c r="M2757" s="57"/>
    </row>
    <row r="2758" spans="1:13" ht="15" customHeight="1">
      <c r="A2758" s="73"/>
      <c r="B2758" s="2"/>
      <c r="C2758" s="2"/>
      <c r="D2758" s="2"/>
      <c r="E2758" s="4"/>
      <c r="F2758" s="4"/>
      <c r="G2758" s="4"/>
      <c r="H2758" s="61"/>
      <c r="I2758" s="62"/>
      <c r="J2758" s="62"/>
      <c r="K2758" s="78"/>
      <c r="L2758" s="57"/>
      <c r="M2758" s="57"/>
    </row>
    <row r="2759" spans="1:13" ht="15" customHeight="1">
      <c r="A2759" s="73"/>
      <c r="B2759" s="2"/>
      <c r="C2759" s="2"/>
      <c r="D2759" s="2"/>
      <c r="E2759" s="4"/>
      <c r="F2759" s="4"/>
      <c r="G2759" s="4"/>
      <c r="H2759" s="61"/>
      <c r="I2759" s="62"/>
      <c r="J2759" s="62"/>
      <c r="K2759" s="78"/>
      <c r="L2759" s="57"/>
      <c r="M2759" s="57"/>
    </row>
    <row r="2760" spans="1:13" ht="15" customHeight="1">
      <c r="A2760" s="73"/>
      <c r="B2760" s="2"/>
      <c r="C2760" s="2"/>
      <c r="D2760" s="2"/>
      <c r="E2760" s="4"/>
      <c r="F2760" s="4"/>
      <c r="G2760" s="4"/>
      <c r="H2760" s="61"/>
      <c r="I2760" s="62"/>
      <c r="J2760" s="62"/>
      <c r="K2760" s="78"/>
      <c r="L2760" s="57"/>
      <c r="M2760" s="57"/>
    </row>
    <row r="2761" spans="1:13" ht="15" customHeight="1">
      <c r="A2761" s="73"/>
      <c r="B2761" s="2"/>
      <c r="C2761" s="2"/>
      <c r="D2761" s="2"/>
      <c r="E2761" s="4"/>
      <c r="F2761" s="4"/>
      <c r="G2761" s="4"/>
      <c r="H2761" s="61"/>
      <c r="I2761" s="62"/>
      <c r="J2761" s="62"/>
      <c r="K2761" s="78"/>
      <c r="L2761" s="57"/>
      <c r="M2761" s="57"/>
    </row>
    <row r="2762" spans="1:13" ht="15" customHeight="1">
      <c r="A2762" s="73"/>
      <c r="B2762" s="2"/>
      <c r="C2762" s="2"/>
      <c r="D2762" s="2"/>
      <c r="E2762" s="4"/>
      <c r="F2762" s="4"/>
      <c r="G2762" s="4"/>
      <c r="H2762" s="61"/>
      <c r="I2762" s="62"/>
      <c r="J2762" s="62"/>
      <c r="K2762" s="78"/>
      <c r="L2762" s="57"/>
      <c r="M2762" s="57"/>
    </row>
    <row r="2763" spans="1:13" ht="15" customHeight="1">
      <c r="A2763" s="73"/>
      <c r="B2763" s="2"/>
      <c r="C2763" s="2"/>
      <c r="D2763" s="2"/>
      <c r="E2763" s="4"/>
      <c r="F2763" s="4"/>
      <c r="G2763" s="4"/>
      <c r="H2763" s="61"/>
      <c r="I2763" s="62"/>
      <c r="J2763" s="62"/>
      <c r="K2763" s="78"/>
      <c r="L2763" s="57"/>
      <c r="M2763" s="57"/>
    </row>
    <row r="2764" spans="1:13" ht="15" customHeight="1">
      <c r="A2764" s="73"/>
      <c r="B2764" s="2"/>
      <c r="C2764" s="2"/>
      <c r="D2764" s="2"/>
      <c r="E2764" s="4"/>
      <c r="F2764" s="4"/>
      <c r="G2764" s="4"/>
      <c r="H2764" s="61"/>
      <c r="I2764" s="62"/>
      <c r="J2764" s="62"/>
      <c r="K2764" s="78"/>
      <c r="L2764" s="57"/>
      <c r="M2764" s="57"/>
    </row>
    <row r="2765" spans="1:13" ht="15" customHeight="1">
      <c r="A2765" s="73"/>
      <c r="B2765" s="2"/>
      <c r="C2765" s="2"/>
      <c r="D2765" s="2"/>
      <c r="E2765" s="4"/>
      <c r="F2765" s="4"/>
      <c r="G2765" s="4"/>
      <c r="H2765" s="61"/>
      <c r="I2765" s="62"/>
      <c r="J2765" s="62"/>
      <c r="K2765" s="78"/>
      <c r="L2765" s="57"/>
      <c r="M2765" s="57"/>
    </row>
    <row r="2766" spans="1:13" ht="15" customHeight="1">
      <c r="A2766" s="73"/>
      <c r="B2766" s="2"/>
      <c r="C2766" s="2"/>
      <c r="D2766" s="2"/>
      <c r="E2766" s="4"/>
      <c r="F2766" s="4"/>
      <c r="G2766" s="4"/>
      <c r="H2766" s="61"/>
      <c r="I2766" s="62"/>
      <c r="J2766" s="62"/>
      <c r="K2766" s="78"/>
      <c r="L2766" s="57"/>
      <c r="M2766" s="57"/>
    </row>
    <row r="2767" spans="1:13" ht="15" customHeight="1">
      <c r="A2767" s="73"/>
      <c r="B2767" s="2"/>
      <c r="C2767" s="2"/>
      <c r="D2767" s="2"/>
      <c r="E2767" s="4"/>
      <c r="F2767" s="4"/>
      <c r="G2767" s="4"/>
      <c r="H2767" s="61"/>
      <c r="I2767" s="62"/>
      <c r="J2767" s="62"/>
      <c r="K2767" s="78"/>
      <c r="L2767" s="57"/>
      <c r="M2767" s="57"/>
    </row>
    <row r="2768" spans="1:13" ht="15" customHeight="1">
      <c r="A2768" s="73"/>
      <c r="B2768" s="2"/>
      <c r="C2768" s="2"/>
      <c r="D2768" s="2"/>
      <c r="E2768" s="4"/>
      <c r="F2768" s="4"/>
      <c r="G2768" s="4"/>
      <c r="H2768" s="61"/>
      <c r="I2768" s="62"/>
      <c r="J2768" s="62"/>
      <c r="K2768" s="78"/>
      <c r="L2768" s="57"/>
      <c r="M2768" s="57"/>
    </row>
    <row r="2769" spans="1:13" ht="15" customHeight="1">
      <c r="A2769" s="73"/>
      <c r="B2769" s="2"/>
      <c r="C2769" s="2"/>
      <c r="D2769" s="2"/>
      <c r="E2769" s="4"/>
      <c r="F2769" s="4"/>
      <c r="G2769" s="4"/>
      <c r="H2769" s="61"/>
      <c r="I2769" s="62"/>
      <c r="J2769" s="62"/>
      <c r="K2769" s="78"/>
      <c r="L2769" s="57"/>
      <c r="M2769" s="57"/>
    </row>
    <row r="2770" spans="1:13" ht="15" customHeight="1">
      <c r="A2770" s="73"/>
      <c r="B2770" s="2"/>
      <c r="C2770" s="2"/>
      <c r="D2770" s="2"/>
      <c r="E2770" s="4"/>
      <c r="F2770" s="4"/>
      <c r="G2770" s="4"/>
      <c r="H2770" s="61"/>
      <c r="I2770" s="62"/>
      <c r="J2770" s="62"/>
      <c r="K2770" s="78"/>
      <c r="L2770" s="57"/>
      <c r="M2770" s="57"/>
    </row>
    <row r="2771" spans="1:13" ht="15" customHeight="1">
      <c r="A2771" s="73"/>
      <c r="B2771" s="2"/>
      <c r="C2771" s="2"/>
      <c r="D2771" s="2"/>
      <c r="E2771" s="4"/>
      <c r="F2771" s="4"/>
      <c r="G2771" s="4"/>
      <c r="H2771" s="61"/>
      <c r="I2771" s="62"/>
      <c r="J2771" s="62"/>
      <c r="K2771" s="78"/>
      <c r="L2771" s="57"/>
      <c r="M2771" s="57"/>
    </row>
    <row r="2772" spans="1:13" ht="15" customHeight="1">
      <c r="A2772" s="73"/>
      <c r="B2772" s="2"/>
      <c r="C2772" s="2"/>
      <c r="D2772" s="2"/>
      <c r="E2772" s="4"/>
      <c r="F2772" s="4"/>
      <c r="G2772" s="4"/>
      <c r="H2772" s="61"/>
      <c r="I2772" s="62"/>
      <c r="J2772" s="62"/>
      <c r="K2772" s="78"/>
      <c r="L2772" s="57"/>
      <c r="M2772" s="57"/>
    </row>
    <row r="2773" spans="1:13" ht="15" customHeight="1">
      <c r="A2773" s="73"/>
      <c r="B2773" s="2"/>
      <c r="C2773" s="2"/>
      <c r="D2773" s="2"/>
      <c r="E2773" s="4"/>
      <c r="F2773" s="4"/>
      <c r="G2773" s="4"/>
      <c r="H2773" s="61"/>
      <c r="I2773" s="62"/>
      <c r="J2773" s="62"/>
      <c r="K2773" s="78"/>
      <c r="L2773" s="57"/>
      <c r="M2773" s="57"/>
    </row>
    <row r="2774" spans="1:13" ht="15" customHeight="1">
      <c r="A2774" s="73"/>
      <c r="B2774" s="2"/>
      <c r="C2774" s="2"/>
      <c r="D2774" s="2"/>
      <c r="E2774" s="4"/>
      <c r="F2774" s="4"/>
      <c r="G2774" s="4"/>
      <c r="H2774" s="61"/>
      <c r="I2774" s="62"/>
      <c r="J2774" s="62"/>
      <c r="K2774" s="78"/>
      <c r="L2774" s="57"/>
      <c r="M2774" s="57"/>
    </row>
    <row r="2775" spans="1:13" ht="15" customHeight="1">
      <c r="A2775" s="73"/>
      <c r="B2775" s="2"/>
      <c r="C2775" s="2"/>
      <c r="D2775" s="2"/>
      <c r="E2775" s="4"/>
      <c r="F2775" s="4"/>
      <c r="G2775" s="4"/>
      <c r="H2775" s="61"/>
      <c r="I2775" s="62"/>
      <c r="J2775" s="62"/>
      <c r="K2775" s="78"/>
      <c r="L2775" s="57"/>
      <c r="M2775" s="57"/>
    </row>
    <row r="2776" spans="1:13" ht="15" customHeight="1">
      <c r="A2776" s="73"/>
      <c r="B2776" s="2"/>
      <c r="C2776" s="2"/>
      <c r="D2776" s="2"/>
      <c r="E2776" s="4"/>
      <c r="F2776" s="4"/>
      <c r="G2776" s="4"/>
      <c r="H2776" s="61"/>
      <c r="I2776" s="62"/>
      <c r="J2776" s="62"/>
      <c r="K2776" s="78"/>
      <c r="L2776" s="57"/>
      <c r="M2776" s="57"/>
    </row>
    <row r="2777" spans="1:13" ht="15" customHeight="1">
      <c r="A2777" s="73"/>
      <c r="B2777" s="2"/>
      <c r="C2777" s="2"/>
      <c r="D2777" s="2"/>
      <c r="E2777" s="4"/>
      <c r="F2777" s="4"/>
      <c r="G2777" s="4"/>
      <c r="H2777" s="61"/>
      <c r="I2777" s="62"/>
      <c r="J2777" s="62"/>
      <c r="K2777" s="78"/>
      <c r="L2777" s="57"/>
      <c r="M2777" s="57"/>
    </row>
    <row r="2778" spans="1:13" ht="15" customHeight="1">
      <c r="A2778" s="73"/>
      <c r="B2778" s="2"/>
      <c r="C2778" s="2"/>
      <c r="D2778" s="2"/>
      <c r="E2778" s="4"/>
      <c r="F2778" s="4"/>
      <c r="G2778" s="4"/>
      <c r="H2778" s="61"/>
      <c r="I2778" s="62"/>
      <c r="J2778" s="62"/>
      <c r="K2778" s="78"/>
      <c r="L2778" s="57"/>
      <c r="M2778" s="57"/>
    </row>
    <row r="2779" spans="1:13" ht="15" customHeight="1">
      <c r="A2779" s="73"/>
      <c r="B2779" s="2"/>
      <c r="C2779" s="2"/>
      <c r="D2779" s="2"/>
      <c r="E2779" s="4"/>
      <c r="F2779" s="4"/>
      <c r="G2779" s="4"/>
      <c r="H2779" s="61"/>
      <c r="I2779" s="62"/>
      <c r="J2779" s="62"/>
      <c r="K2779" s="78"/>
      <c r="L2779" s="57"/>
      <c r="M2779" s="57"/>
    </row>
    <row r="2780" spans="1:13" ht="15" customHeight="1">
      <c r="A2780" s="73"/>
      <c r="B2780" s="2"/>
      <c r="C2780" s="2"/>
      <c r="D2780" s="2"/>
      <c r="E2780" s="4"/>
      <c r="F2780" s="4"/>
      <c r="G2780" s="4"/>
      <c r="H2780" s="61"/>
      <c r="I2780" s="62"/>
      <c r="J2780" s="62"/>
      <c r="K2780" s="78"/>
      <c r="L2780" s="57"/>
      <c r="M2780" s="57"/>
    </row>
    <row r="2781" spans="1:13" ht="15" customHeight="1">
      <c r="A2781" s="73"/>
      <c r="B2781" s="2"/>
      <c r="C2781" s="2"/>
      <c r="D2781" s="2"/>
      <c r="E2781" s="4"/>
      <c r="F2781" s="4"/>
      <c r="G2781" s="4"/>
      <c r="H2781" s="61"/>
      <c r="I2781" s="62"/>
      <c r="J2781" s="62"/>
      <c r="K2781" s="78"/>
      <c r="L2781" s="57"/>
      <c r="M2781" s="57"/>
    </row>
    <row r="2782" spans="1:13" ht="15" customHeight="1">
      <c r="A2782" s="73"/>
      <c r="B2782" s="2"/>
      <c r="C2782" s="2"/>
      <c r="D2782" s="2"/>
      <c r="E2782" s="4"/>
      <c r="F2782" s="4"/>
      <c r="G2782" s="4"/>
      <c r="H2782" s="61"/>
      <c r="I2782" s="62"/>
      <c r="J2782" s="62"/>
      <c r="K2782" s="78"/>
      <c r="L2782" s="57"/>
      <c r="M2782" s="57"/>
    </row>
    <row r="2783" spans="1:13" ht="15" customHeight="1">
      <c r="A2783" s="73"/>
      <c r="B2783" s="2"/>
      <c r="C2783" s="2"/>
      <c r="D2783" s="2"/>
      <c r="E2783" s="4"/>
      <c r="F2783" s="4"/>
      <c r="G2783" s="4"/>
      <c r="H2783" s="61"/>
      <c r="I2783" s="62"/>
      <c r="J2783" s="62"/>
      <c r="K2783" s="78"/>
      <c r="L2783" s="57"/>
      <c r="M2783" s="57"/>
    </row>
    <row r="2784" spans="1:13" ht="15" customHeight="1">
      <c r="A2784" s="73"/>
      <c r="B2784" s="2"/>
      <c r="C2784" s="2"/>
      <c r="D2784" s="2"/>
      <c r="E2784" s="4"/>
      <c r="F2784" s="4"/>
      <c r="G2784" s="4"/>
      <c r="H2784" s="61"/>
      <c r="I2784" s="62"/>
      <c r="J2784" s="62"/>
      <c r="K2784" s="78"/>
      <c r="L2784" s="57"/>
      <c r="M2784" s="57"/>
    </row>
    <row r="2785" spans="1:13" ht="15" customHeight="1">
      <c r="A2785" s="73"/>
      <c r="B2785" s="2"/>
      <c r="C2785" s="2"/>
      <c r="D2785" s="2"/>
      <c r="E2785" s="4"/>
      <c r="F2785" s="4"/>
      <c r="G2785" s="4"/>
      <c r="H2785" s="61"/>
      <c r="I2785" s="62"/>
      <c r="J2785" s="62"/>
      <c r="K2785" s="78"/>
      <c r="L2785" s="57"/>
      <c r="M2785" s="57"/>
    </row>
    <row r="2786" spans="1:13" ht="15" customHeight="1">
      <c r="A2786" s="73"/>
      <c r="B2786" s="2"/>
      <c r="C2786" s="2"/>
      <c r="D2786" s="2"/>
      <c r="E2786" s="63"/>
      <c r="F2786" s="4"/>
      <c r="G2786" s="4"/>
      <c r="H2786" s="61"/>
      <c r="I2786" s="62"/>
      <c r="J2786" s="62"/>
      <c r="K2786" s="78"/>
      <c r="L2786" s="57"/>
      <c r="M2786" s="57"/>
    </row>
    <row r="2787" spans="1:13" ht="15" customHeight="1">
      <c r="A2787" s="73"/>
      <c r="B2787" s="2"/>
      <c r="C2787" s="2"/>
      <c r="D2787" s="2"/>
      <c r="E2787" s="63"/>
      <c r="F2787" s="4"/>
      <c r="G2787" s="4"/>
      <c r="H2787" s="61"/>
      <c r="I2787" s="62"/>
      <c r="J2787" s="62"/>
      <c r="K2787" s="78"/>
      <c r="L2787" s="57"/>
      <c r="M2787" s="57"/>
    </row>
    <row r="2788" spans="1:13" ht="15" customHeight="1">
      <c r="A2788" s="73"/>
      <c r="B2788" s="2"/>
      <c r="C2788" s="2"/>
      <c r="D2788" s="2"/>
      <c r="E2788" s="4"/>
      <c r="F2788" s="4"/>
      <c r="G2788" s="4"/>
      <c r="H2788" s="61"/>
      <c r="I2788" s="62"/>
      <c r="J2788" s="62"/>
      <c r="K2788" s="78"/>
      <c r="L2788" s="57"/>
      <c r="M2788" s="57"/>
    </row>
    <row r="2789" spans="1:13" ht="15" customHeight="1">
      <c r="A2789" s="73"/>
      <c r="B2789" s="2"/>
      <c r="C2789" s="2"/>
      <c r="D2789" s="2"/>
      <c r="E2789" s="4"/>
      <c r="F2789" s="4"/>
      <c r="G2789" s="4"/>
      <c r="H2789" s="61"/>
      <c r="I2789" s="62"/>
      <c r="J2789" s="62"/>
      <c r="K2789" s="78"/>
      <c r="L2789" s="57"/>
      <c r="M2789" s="57"/>
    </row>
    <row r="2790" spans="1:13" ht="15" customHeight="1">
      <c r="A2790" s="73"/>
      <c r="B2790" s="2"/>
      <c r="C2790" s="2"/>
      <c r="D2790" s="2"/>
      <c r="E2790" s="4"/>
      <c r="F2790" s="4"/>
      <c r="G2790" s="4"/>
      <c r="H2790" s="61"/>
      <c r="I2790" s="62"/>
      <c r="J2790" s="62"/>
      <c r="K2790" s="78"/>
      <c r="L2790" s="57"/>
      <c r="M2790" s="57"/>
    </row>
    <row r="2791" spans="1:13" ht="15" customHeight="1">
      <c r="A2791" s="73"/>
      <c r="B2791" s="2"/>
      <c r="C2791" s="2"/>
      <c r="D2791" s="2"/>
      <c r="E2791" s="63"/>
      <c r="F2791" s="4"/>
      <c r="G2791" s="4"/>
      <c r="H2791" s="61"/>
      <c r="I2791" s="62"/>
      <c r="J2791" s="62"/>
      <c r="K2791" s="78"/>
      <c r="L2791" s="57"/>
      <c r="M2791" s="57"/>
    </row>
    <row r="2792" spans="1:13" ht="15" customHeight="1">
      <c r="A2792" s="73"/>
      <c r="B2792" s="2"/>
      <c r="C2792" s="2"/>
      <c r="D2792" s="2"/>
      <c r="E2792" s="4"/>
      <c r="F2792" s="4"/>
      <c r="G2792" s="4"/>
      <c r="H2792" s="61"/>
      <c r="I2792" s="62"/>
      <c r="J2792" s="62"/>
      <c r="K2792" s="78"/>
      <c r="L2792" s="57"/>
      <c r="M2792" s="57"/>
    </row>
    <row r="2793" spans="1:13" ht="15" customHeight="1">
      <c r="A2793" s="73"/>
      <c r="B2793" s="2"/>
      <c r="C2793" s="2"/>
      <c r="D2793" s="2"/>
      <c r="E2793" s="4"/>
      <c r="F2793" s="4"/>
      <c r="G2793" s="4"/>
      <c r="H2793" s="61"/>
      <c r="I2793" s="62"/>
      <c r="J2793" s="62"/>
      <c r="K2793" s="78"/>
      <c r="L2793" s="57"/>
      <c r="M2793" s="57"/>
    </row>
    <row r="2794" spans="1:13" ht="15" customHeight="1">
      <c r="A2794" s="73"/>
      <c r="B2794" s="2"/>
      <c r="C2794" s="2"/>
      <c r="D2794" s="2"/>
      <c r="E2794" s="4"/>
      <c r="F2794" s="4"/>
      <c r="G2794" s="4"/>
      <c r="H2794" s="61"/>
      <c r="I2794" s="62"/>
      <c r="J2794" s="62"/>
      <c r="K2794" s="78"/>
      <c r="L2794" s="57"/>
      <c r="M2794" s="57"/>
    </row>
    <row r="2795" spans="1:13" ht="15" customHeight="1">
      <c r="A2795" s="73"/>
      <c r="B2795" s="2"/>
      <c r="C2795" s="2"/>
      <c r="D2795" s="2"/>
      <c r="E2795" s="4"/>
      <c r="F2795" s="4"/>
      <c r="G2795" s="4"/>
      <c r="H2795" s="61"/>
      <c r="I2795" s="62"/>
      <c r="J2795" s="62"/>
      <c r="K2795" s="78"/>
      <c r="L2795" s="57"/>
      <c r="M2795" s="57"/>
    </row>
    <row r="2796" spans="1:13" ht="15" customHeight="1">
      <c r="A2796" s="73"/>
      <c r="B2796" s="2"/>
      <c r="C2796" s="2"/>
      <c r="D2796" s="2"/>
      <c r="E2796" s="4"/>
      <c r="F2796" s="4"/>
      <c r="G2796" s="4"/>
      <c r="H2796" s="61"/>
      <c r="I2796" s="62"/>
      <c r="J2796" s="62"/>
      <c r="K2796" s="78"/>
      <c r="L2796" s="57"/>
      <c r="M2796" s="57"/>
    </row>
    <row r="2797" spans="1:13" ht="15" customHeight="1">
      <c r="A2797" s="73"/>
      <c r="B2797" s="2"/>
      <c r="C2797" s="2"/>
      <c r="D2797" s="2"/>
      <c r="E2797" s="4"/>
      <c r="F2797" s="4"/>
      <c r="G2797" s="4"/>
      <c r="H2797" s="61"/>
      <c r="I2797" s="62"/>
      <c r="J2797" s="62"/>
      <c r="K2797" s="78"/>
      <c r="L2797" s="57"/>
      <c r="M2797" s="57"/>
    </row>
    <row r="2798" spans="1:13" ht="15" customHeight="1">
      <c r="A2798" s="73"/>
      <c r="B2798" s="2"/>
      <c r="C2798" s="2"/>
      <c r="D2798" s="2"/>
      <c r="E2798" s="4"/>
      <c r="F2798" s="4"/>
      <c r="G2798" s="4"/>
      <c r="H2798" s="61"/>
      <c r="I2798" s="62"/>
      <c r="J2798" s="62"/>
      <c r="K2798" s="78"/>
      <c r="L2798" s="57"/>
      <c r="M2798" s="57"/>
    </row>
    <row r="2799" spans="1:13" ht="15" customHeight="1">
      <c r="A2799" s="73"/>
      <c r="B2799" s="2"/>
      <c r="C2799" s="2"/>
      <c r="D2799" s="2"/>
      <c r="E2799" s="4"/>
      <c r="F2799" s="4"/>
      <c r="G2799" s="4"/>
      <c r="H2799" s="61"/>
      <c r="I2799" s="62"/>
      <c r="J2799" s="62"/>
      <c r="K2799" s="78"/>
      <c r="L2799" s="57"/>
      <c r="M2799" s="57"/>
    </row>
    <row r="2800" spans="1:13" ht="15" customHeight="1">
      <c r="A2800" s="73"/>
      <c r="B2800" s="2"/>
      <c r="C2800" s="2"/>
      <c r="D2800" s="2"/>
      <c r="E2800" s="63"/>
      <c r="F2800" s="4"/>
      <c r="G2800" s="4"/>
      <c r="H2800" s="61"/>
      <c r="I2800" s="62"/>
      <c r="J2800" s="62"/>
      <c r="K2800" s="78"/>
      <c r="L2800" s="57"/>
      <c r="M2800" s="57"/>
    </row>
    <row r="2801" spans="1:13" ht="15" customHeight="1">
      <c r="A2801" s="73"/>
      <c r="B2801" s="2"/>
      <c r="C2801" s="2"/>
      <c r="D2801" s="2"/>
      <c r="E2801" s="63"/>
      <c r="F2801" s="4"/>
      <c r="G2801" s="4"/>
      <c r="H2801" s="61"/>
      <c r="I2801" s="62"/>
      <c r="J2801" s="62"/>
      <c r="K2801" s="78"/>
      <c r="L2801" s="57"/>
      <c r="M2801" s="57"/>
    </row>
    <row r="2802" spans="1:13" ht="15" customHeight="1">
      <c r="A2802" s="73"/>
      <c r="B2802" s="2"/>
      <c r="C2802" s="2"/>
      <c r="D2802" s="2"/>
      <c r="E2802" s="4"/>
      <c r="F2802" s="4"/>
      <c r="G2802" s="4"/>
      <c r="H2802" s="61"/>
      <c r="I2802" s="62"/>
      <c r="J2802" s="62"/>
      <c r="K2802" s="78"/>
      <c r="L2802" s="57"/>
      <c r="M2802" s="57"/>
    </row>
    <row r="2803" spans="1:13" ht="15" customHeight="1">
      <c r="A2803" s="73"/>
      <c r="B2803" s="2"/>
      <c r="C2803" s="2"/>
      <c r="D2803" s="2"/>
      <c r="E2803" s="4"/>
      <c r="F2803" s="4"/>
      <c r="G2803" s="4"/>
      <c r="H2803" s="61"/>
      <c r="I2803" s="62"/>
      <c r="J2803" s="62"/>
      <c r="K2803" s="78"/>
      <c r="L2803" s="57"/>
      <c r="M2803" s="57"/>
    </row>
    <row r="2804" spans="1:13" ht="15" customHeight="1">
      <c r="A2804" s="73"/>
      <c r="B2804" s="2"/>
      <c r="C2804" s="2"/>
      <c r="D2804" s="2"/>
      <c r="E2804" s="4"/>
      <c r="F2804" s="4"/>
      <c r="G2804" s="4"/>
      <c r="H2804" s="61"/>
      <c r="I2804" s="62"/>
      <c r="J2804" s="62"/>
      <c r="K2804" s="78"/>
      <c r="L2804" s="57"/>
      <c r="M2804" s="57"/>
    </row>
    <row r="2805" spans="1:13" ht="15" customHeight="1">
      <c r="A2805" s="73"/>
      <c r="B2805" s="2"/>
      <c r="C2805" s="2"/>
      <c r="D2805" s="2"/>
      <c r="E2805" s="4"/>
      <c r="F2805" s="4"/>
      <c r="G2805" s="4"/>
      <c r="H2805" s="61"/>
      <c r="I2805" s="62"/>
      <c r="J2805" s="62"/>
      <c r="K2805" s="78"/>
      <c r="L2805" s="57"/>
      <c r="M2805" s="57"/>
    </row>
    <row r="2806" spans="1:13" ht="15" customHeight="1">
      <c r="A2806" s="73"/>
      <c r="B2806" s="2"/>
      <c r="C2806" s="2"/>
      <c r="D2806" s="2"/>
      <c r="E2806" s="63"/>
      <c r="F2806" s="4"/>
      <c r="G2806" s="4"/>
      <c r="H2806" s="61"/>
      <c r="I2806" s="62"/>
      <c r="J2806" s="62"/>
      <c r="K2806" s="78"/>
      <c r="L2806" s="57"/>
      <c r="M2806" s="57"/>
    </row>
    <row r="2807" spans="1:13" ht="15" customHeight="1">
      <c r="A2807" s="73"/>
      <c r="B2807" s="2"/>
      <c r="C2807" s="2"/>
      <c r="D2807" s="2"/>
      <c r="E2807" s="4"/>
      <c r="F2807" s="4"/>
      <c r="G2807" s="4"/>
      <c r="H2807" s="61"/>
      <c r="I2807" s="62"/>
      <c r="J2807" s="62"/>
      <c r="K2807" s="78"/>
      <c r="L2807" s="57"/>
      <c r="M2807" s="57"/>
    </row>
    <row r="2808" spans="1:13" ht="15" customHeight="1">
      <c r="A2808" s="73"/>
      <c r="B2808" s="2"/>
      <c r="C2808" s="2"/>
      <c r="D2808" s="2"/>
      <c r="E2808" s="4"/>
      <c r="F2808" s="4"/>
      <c r="G2808" s="4"/>
      <c r="H2808" s="61"/>
      <c r="I2808" s="62"/>
      <c r="J2808" s="62"/>
      <c r="K2808" s="78"/>
      <c r="L2808" s="57"/>
      <c r="M2808" s="57"/>
    </row>
    <row r="2809" spans="1:13" ht="15" customHeight="1">
      <c r="A2809" s="73"/>
      <c r="B2809" s="2"/>
      <c r="C2809" s="2"/>
      <c r="D2809" s="2"/>
      <c r="E2809" s="4"/>
      <c r="F2809" s="4"/>
      <c r="G2809" s="4"/>
      <c r="H2809" s="61"/>
      <c r="I2809" s="62"/>
      <c r="J2809" s="62"/>
      <c r="K2809" s="78"/>
      <c r="L2809" s="57"/>
      <c r="M2809" s="57"/>
    </row>
    <row r="2810" spans="1:13" ht="15" customHeight="1">
      <c r="A2810" s="73"/>
      <c r="B2810" s="2"/>
      <c r="C2810" s="2"/>
      <c r="D2810" s="2"/>
      <c r="E2810" s="4"/>
      <c r="F2810" s="4"/>
      <c r="G2810" s="4"/>
      <c r="H2810" s="61"/>
      <c r="I2810" s="62"/>
      <c r="J2810" s="62"/>
      <c r="K2810" s="78"/>
      <c r="L2810" s="57"/>
      <c r="M2810" s="57"/>
    </row>
    <row r="2811" spans="1:13" ht="15" customHeight="1">
      <c r="A2811" s="73"/>
      <c r="B2811" s="2"/>
      <c r="C2811" s="2"/>
      <c r="D2811" s="2"/>
      <c r="E2811" s="63"/>
      <c r="F2811" s="4"/>
      <c r="G2811" s="4"/>
      <c r="H2811" s="61"/>
      <c r="I2811" s="62"/>
      <c r="J2811" s="62"/>
      <c r="K2811" s="78"/>
      <c r="L2811" s="57"/>
      <c r="M2811" s="57"/>
    </row>
    <row r="2812" spans="1:13" ht="15" customHeight="1">
      <c r="A2812" s="73"/>
      <c r="B2812" s="2"/>
      <c r="C2812" s="2"/>
      <c r="D2812" s="2"/>
      <c r="E2812" s="4"/>
      <c r="F2812" s="4"/>
      <c r="G2812" s="4"/>
      <c r="H2812" s="61"/>
      <c r="I2812" s="62"/>
      <c r="J2812" s="62"/>
      <c r="K2812" s="78"/>
      <c r="L2812" s="57"/>
      <c r="M2812" s="57"/>
    </row>
    <row r="2813" spans="1:13" ht="15" customHeight="1">
      <c r="A2813" s="73"/>
      <c r="B2813" s="2"/>
      <c r="C2813" s="2"/>
      <c r="D2813" s="2"/>
      <c r="E2813" s="4"/>
      <c r="F2813" s="4"/>
      <c r="G2813" s="4"/>
      <c r="H2813" s="61"/>
      <c r="I2813" s="62"/>
      <c r="J2813" s="62"/>
      <c r="K2813" s="78"/>
      <c r="L2813" s="57"/>
      <c r="M2813" s="57"/>
    </row>
    <row r="2814" spans="1:13" ht="15" customHeight="1">
      <c r="A2814" s="73"/>
      <c r="B2814" s="2"/>
      <c r="C2814" s="2"/>
      <c r="D2814" s="2"/>
      <c r="E2814" s="4"/>
      <c r="F2814" s="4"/>
      <c r="G2814" s="4"/>
      <c r="H2814" s="61"/>
      <c r="I2814" s="62"/>
      <c r="J2814" s="62"/>
      <c r="K2814" s="78"/>
      <c r="L2814" s="57"/>
      <c r="M2814" s="57"/>
    </row>
    <row r="2815" spans="1:13" ht="15" customHeight="1">
      <c r="A2815" s="73"/>
      <c r="B2815" s="2"/>
      <c r="C2815" s="2"/>
      <c r="D2815" s="2"/>
      <c r="E2815" s="4"/>
      <c r="F2815" s="4"/>
      <c r="G2815" s="4"/>
      <c r="H2815" s="61"/>
      <c r="I2815" s="62"/>
      <c r="J2815" s="62"/>
      <c r="K2815" s="78"/>
      <c r="L2815" s="57"/>
      <c r="M2815" s="57"/>
    </row>
    <row r="2816" spans="1:13" ht="15" customHeight="1">
      <c r="A2816" s="73"/>
      <c r="B2816" s="2"/>
      <c r="C2816" s="2"/>
      <c r="D2816" s="2"/>
      <c r="E2816" s="63"/>
      <c r="F2816" s="4"/>
      <c r="G2816" s="4"/>
      <c r="H2816" s="61"/>
      <c r="I2816" s="62"/>
      <c r="J2816" s="62"/>
      <c r="K2816" s="78"/>
      <c r="L2816" s="57"/>
      <c r="M2816" s="57"/>
    </row>
    <row r="2817" spans="1:13" ht="15" customHeight="1">
      <c r="A2817" s="73"/>
      <c r="B2817" s="2"/>
      <c r="C2817" s="2"/>
      <c r="D2817" s="2"/>
      <c r="E2817" s="4"/>
      <c r="F2817" s="4"/>
      <c r="G2817" s="4"/>
      <c r="H2817" s="61"/>
      <c r="I2817" s="62"/>
      <c r="J2817" s="62"/>
      <c r="K2817" s="78"/>
      <c r="L2817" s="57"/>
      <c r="M2817" s="57"/>
    </row>
    <row r="2818" spans="1:13" ht="15" customHeight="1">
      <c r="A2818" s="73"/>
      <c r="B2818" s="2"/>
      <c r="C2818" s="2"/>
      <c r="D2818" s="2"/>
      <c r="E2818" s="4"/>
      <c r="F2818" s="4"/>
      <c r="G2818" s="4"/>
      <c r="H2818" s="61"/>
      <c r="I2818" s="62"/>
      <c r="J2818" s="62"/>
      <c r="K2818" s="78"/>
      <c r="L2818" s="57"/>
      <c r="M2818" s="57"/>
    </row>
    <row r="2819" spans="1:13" ht="15" customHeight="1">
      <c r="A2819" s="73"/>
      <c r="B2819" s="2"/>
      <c r="C2819" s="2"/>
      <c r="D2819" s="2"/>
      <c r="E2819" s="4"/>
      <c r="F2819" s="4"/>
      <c r="G2819" s="4"/>
      <c r="H2819" s="61"/>
      <c r="I2819" s="62"/>
      <c r="J2819" s="62"/>
      <c r="K2819" s="78"/>
      <c r="L2819" s="57"/>
      <c r="M2819" s="57"/>
    </row>
    <row r="2820" spans="1:13" ht="15" customHeight="1">
      <c r="A2820" s="73"/>
      <c r="B2820" s="2"/>
      <c r="C2820" s="2"/>
      <c r="D2820" s="2"/>
      <c r="E2820" s="4"/>
      <c r="F2820" s="4"/>
      <c r="G2820" s="4"/>
      <c r="H2820" s="61"/>
      <c r="I2820" s="62"/>
      <c r="J2820" s="62"/>
      <c r="K2820" s="78"/>
      <c r="L2820" s="57"/>
      <c r="M2820" s="57"/>
    </row>
    <row r="2821" spans="1:13" ht="15" customHeight="1">
      <c r="A2821" s="73"/>
      <c r="B2821" s="2"/>
      <c r="C2821" s="2"/>
      <c r="D2821" s="2"/>
      <c r="E2821" s="63"/>
      <c r="F2821" s="4"/>
      <c r="G2821" s="4"/>
      <c r="H2821" s="61"/>
      <c r="I2821" s="62"/>
      <c r="J2821" s="62"/>
      <c r="K2821" s="78"/>
      <c r="L2821" s="57"/>
      <c r="M2821" s="57"/>
    </row>
    <row r="2822" spans="1:13" ht="15" customHeight="1">
      <c r="A2822" s="73"/>
      <c r="B2822" s="2"/>
      <c r="C2822" s="2"/>
      <c r="D2822" s="2"/>
      <c r="E2822" s="4"/>
      <c r="F2822" s="4"/>
      <c r="G2822" s="4"/>
      <c r="H2822" s="61"/>
      <c r="I2822" s="62"/>
      <c r="J2822" s="62"/>
      <c r="K2822" s="78"/>
      <c r="L2822" s="57"/>
      <c r="M2822" s="57"/>
    </row>
    <row r="2823" spans="1:13" ht="15" customHeight="1">
      <c r="A2823" s="73"/>
      <c r="B2823" s="2"/>
      <c r="C2823" s="2"/>
      <c r="D2823" s="2"/>
      <c r="E2823" s="63"/>
      <c r="F2823" s="4"/>
      <c r="G2823" s="4"/>
      <c r="H2823" s="61"/>
      <c r="I2823" s="62"/>
      <c r="J2823" s="62"/>
      <c r="K2823" s="78"/>
      <c r="L2823" s="57"/>
      <c r="M2823" s="57"/>
    </row>
    <row r="2824" spans="1:13" ht="15" customHeight="1">
      <c r="A2824" s="73"/>
      <c r="B2824" s="2"/>
      <c r="C2824" s="2"/>
      <c r="D2824" s="2"/>
      <c r="E2824" s="4"/>
      <c r="F2824" s="4"/>
      <c r="G2824" s="4"/>
      <c r="H2824" s="61"/>
      <c r="I2824" s="62"/>
      <c r="J2824" s="62"/>
      <c r="K2824" s="78"/>
      <c r="L2824" s="57"/>
      <c r="M2824" s="57"/>
    </row>
    <row r="2825" spans="1:13" ht="15" customHeight="1">
      <c r="A2825" s="73"/>
      <c r="B2825" s="2"/>
      <c r="C2825" s="2"/>
      <c r="D2825" s="2"/>
      <c r="E2825" s="4"/>
      <c r="F2825" s="4"/>
      <c r="G2825" s="4"/>
      <c r="H2825" s="61"/>
      <c r="I2825" s="62"/>
      <c r="J2825" s="62"/>
      <c r="K2825" s="78"/>
      <c r="L2825" s="57"/>
      <c r="M2825" s="57"/>
    </row>
    <row r="2826" spans="1:13" ht="15" customHeight="1">
      <c r="A2826" s="73"/>
      <c r="B2826" s="2"/>
      <c r="C2826" s="2"/>
      <c r="D2826" s="2"/>
      <c r="E2826" s="4"/>
      <c r="F2826" s="4"/>
      <c r="G2826" s="4"/>
      <c r="H2826" s="61"/>
      <c r="I2826" s="62"/>
      <c r="J2826" s="62"/>
      <c r="K2826" s="78"/>
      <c r="L2826" s="57"/>
      <c r="M2826" s="57"/>
    </row>
    <row r="2827" spans="1:13" ht="15" customHeight="1">
      <c r="A2827" s="73"/>
      <c r="B2827" s="2"/>
      <c r="C2827" s="2"/>
      <c r="D2827" s="2"/>
      <c r="E2827" s="4"/>
      <c r="F2827" s="4"/>
      <c r="G2827" s="4"/>
      <c r="H2827" s="61"/>
      <c r="I2827" s="62"/>
      <c r="J2827" s="62"/>
      <c r="K2827" s="78"/>
      <c r="L2827" s="57"/>
      <c r="M2827" s="57"/>
    </row>
    <row r="2828" spans="1:13" ht="15" customHeight="1">
      <c r="A2828" s="73"/>
      <c r="B2828" s="2"/>
      <c r="C2828" s="2"/>
      <c r="D2828" s="2"/>
      <c r="E2828" s="4"/>
      <c r="F2828" s="4"/>
      <c r="G2828" s="4"/>
      <c r="H2828" s="61"/>
      <c r="I2828" s="62"/>
      <c r="J2828" s="62"/>
      <c r="K2828" s="78"/>
      <c r="L2828" s="57"/>
      <c r="M2828" s="57"/>
    </row>
    <row r="2829" spans="1:13" ht="15" customHeight="1">
      <c r="A2829" s="73"/>
      <c r="B2829" s="2"/>
      <c r="C2829" s="2"/>
      <c r="D2829" s="2"/>
      <c r="E2829" s="4"/>
      <c r="F2829" s="4"/>
      <c r="G2829" s="4"/>
      <c r="H2829" s="61"/>
      <c r="I2829" s="62"/>
      <c r="J2829" s="62"/>
      <c r="K2829" s="78"/>
      <c r="L2829" s="57"/>
      <c r="M2829" s="57"/>
    </row>
    <row r="2830" spans="1:13" ht="15" customHeight="1">
      <c r="A2830" s="73"/>
      <c r="B2830" s="2"/>
      <c r="C2830" s="2"/>
      <c r="D2830" s="2"/>
      <c r="E2830" s="63"/>
      <c r="F2830" s="4"/>
      <c r="G2830" s="4"/>
      <c r="H2830" s="61"/>
      <c r="I2830" s="62"/>
      <c r="J2830" s="62"/>
      <c r="K2830" s="78"/>
      <c r="L2830" s="57"/>
      <c r="M2830" s="57"/>
    </row>
    <row r="2831" spans="1:13" ht="15" customHeight="1">
      <c r="A2831" s="73"/>
      <c r="B2831" s="2"/>
      <c r="C2831" s="2"/>
      <c r="D2831" s="2"/>
      <c r="E2831" s="4"/>
      <c r="F2831" s="4"/>
      <c r="G2831" s="4"/>
      <c r="H2831" s="61"/>
      <c r="I2831" s="62"/>
      <c r="J2831" s="62"/>
      <c r="K2831" s="78"/>
      <c r="L2831" s="57"/>
      <c r="M2831" s="57"/>
    </row>
    <row r="2832" spans="1:13" ht="15" customHeight="1">
      <c r="A2832" s="73"/>
      <c r="B2832" s="2"/>
      <c r="C2832" s="2"/>
      <c r="D2832" s="2"/>
      <c r="E2832" s="4"/>
      <c r="F2832" s="4"/>
      <c r="G2832" s="4"/>
      <c r="H2832" s="61"/>
      <c r="I2832" s="62"/>
      <c r="J2832" s="62"/>
      <c r="K2832" s="78"/>
      <c r="L2832" s="57"/>
      <c r="M2832" s="57"/>
    </row>
    <row r="2833" spans="1:13" ht="15" customHeight="1">
      <c r="A2833" s="73"/>
      <c r="B2833" s="2"/>
      <c r="C2833" s="2"/>
      <c r="D2833" s="2"/>
      <c r="E2833" s="4"/>
      <c r="F2833" s="4"/>
      <c r="G2833" s="4"/>
      <c r="H2833" s="61"/>
      <c r="I2833" s="62"/>
      <c r="J2833" s="62"/>
      <c r="K2833" s="78"/>
      <c r="L2833" s="57"/>
      <c r="M2833" s="57"/>
    </row>
    <row r="2834" spans="1:13" ht="15" customHeight="1">
      <c r="A2834" s="73"/>
      <c r="B2834" s="2"/>
      <c r="C2834" s="2"/>
      <c r="D2834" s="2"/>
      <c r="E2834" s="4"/>
      <c r="F2834" s="4"/>
      <c r="G2834" s="4"/>
      <c r="H2834" s="61"/>
      <c r="I2834" s="62"/>
      <c r="J2834" s="62"/>
      <c r="K2834" s="78"/>
      <c r="L2834" s="57"/>
      <c r="M2834" s="57"/>
    </row>
    <row r="2835" spans="1:13" ht="15" customHeight="1">
      <c r="A2835" s="73"/>
      <c r="B2835" s="2"/>
      <c r="C2835" s="2"/>
      <c r="D2835" s="2"/>
      <c r="E2835" s="63"/>
      <c r="F2835" s="4"/>
      <c r="G2835" s="4"/>
      <c r="H2835" s="61"/>
      <c r="I2835" s="62"/>
      <c r="J2835" s="62"/>
      <c r="K2835" s="78"/>
      <c r="L2835" s="57"/>
      <c r="M2835" s="57"/>
    </row>
    <row r="2836" spans="1:13" ht="15" customHeight="1">
      <c r="A2836" s="73"/>
      <c r="B2836" s="2"/>
      <c r="C2836" s="2"/>
      <c r="D2836" s="2"/>
      <c r="E2836" s="4"/>
      <c r="F2836" s="4"/>
      <c r="G2836" s="4"/>
      <c r="H2836" s="61"/>
      <c r="I2836" s="62"/>
      <c r="J2836" s="62"/>
      <c r="K2836" s="78"/>
      <c r="L2836" s="57"/>
      <c r="M2836" s="57"/>
    </row>
    <row r="2837" spans="1:13" ht="15" customHeight="1">
      <c r="A2837" s="73"/>
      <c r="B2837" s="2"/>
      <c r="C2837" s="2"/>
      <c r="D2837" s="2"/>
      <c r="E2837" s="4"/>
      <c r="F2837" s="4"/>
      <c r="G2837" s="4"/>
      <c r="H2837" s="61"/>
      <c r="I2837" s="62"/>
      <c r="J2837" s="62"/>
      <c r="K2837" s="78"/>
      <c r="L2837" s="57"/>
      <c r="M2837" s="57"/>
    </row>
    <row r="2838" spans="1:13" ht="15" customHeight="1">
      <c r="A2838" s="73"/>
      <c r="B2838" s="2"/>
      <c r="C2838" s="2"/>
      <c r="D2838" s="2"/>
      <c r="E2838" s="4"/>
      <c r="F2838" s="4"/>
      <c r="G2838" s="4"/>
      <c r="H2838" s="61"/>
      <c r="I2838" s="62"/>
      <c r="J2838" s="62"/>
      <c r="K2838" s="78"/>
      <c r="L2838" s="57"/>
      <c r="M2838" s="57"/>
    </row>
    <row r="2839" spans="1:13" ht="15" customHeight="1">
      <c r="A2839" s="73"/>
      <c r="B2839" s="2"/>
      <c r="C2839" s="2"/>
      <c r="D2839" s="2"/>
      <c r="E2839" s="4"/>
      <c r="F2839" s="4"/>
      <c r="G2839" s="4"/>
      <c r="H2839" s="61"/>
      <c r="I2839" s="62"/>
      <c r="J2839" s="62"/>
      <c r="K2839" s="78"/>
      <c r="L2839" s="57"/>
      <c r="M2839" s="57"/>
    </row>
    <row r="2840" spans="1:13" ht="15" customHeight="1">
      <c r="A2840" s="73"/>
      <c r="B2840" s="2"/>
      <c r="C2840" s="2"/>
      <c r="D2840" s="2"/>
      <c r="E2840" s="4"/>
      <c r="F2840" s="4"/>
      <c r="G2840" s="4"/>
      <c r="H2840" s="61"/>
      <c r="I2840" s="62"/>
      <c r="J2840" s="62"/>
      <c r="K2840" s="78"/>
      <c r="L2840" s="57"/>
      <c r="M2840" s="57"/>
    </row>
    <row r="2841" spans="1:13" ht="15" customHeight="1">
      <c r="A2841" s="73"/>
      <c r="B2841" s="2"/>
      <c r="C2841" s="2"/>
      <c r="D2841" s="2"/>
      <c r="E2841" s="4"/>
      <c r="F2841" s="4"/>
      <c r="G2841" s="4"/>
      <c r="H2841" s="61"/>
      <c r="I2841" s="62"/>
      <c r="J2841" s="62"/>
      <c r="K2841" s="78"/>
      <c r="L2841" s="57"/>
      <c r="M2841" s="57"/>
    </row>
    <row r="2842" spans="1:13" ht="15" customHeight="1">
      <c r="A2842" s="73"/>
      <c r="B2842" s="2"/>
      <c r="C2842" s="2"/>
      <c r="D2842" s="2"/>
      <c r="E2842" s="4"/>
      <c r="F2842" s="4"/>
      <c r="G2842" s="4"/>
      <c r="H2842" s="61"/>
      <c r="I2842" s="62"/>
      <c r="J2842" s="62"/>
      <c r="K2842" s="78"/>
      <c r="L2842" s="57"/>
      <c r="M2842" s="57"/>
    </row>
    <row r="2843" spans="1:13" ht="15" customHeight="1">
      <c r="A2843" s="73"/>
      <c r="B2843" s="2"/>
      <c r="C2843" s="2"/>
      <c r="D2843" s="2"/>
      <c r="E2843" s="4"/>
      <c r="F2843" s="4"/>
      <c r="G2843" s="4"/>
      <c r="H2843" s="61"/>
      <c r="I2843" s="62"/>
      <c r="J2843" s="62"/>
      <c r="K2843" s="78"/>
      <c r="L2843" s="57"/>
      <c r="M2843" s="57"/>
    </row>
    <row r="2844" spans="1:13" ht="15" customHeight="1">
      <c r="A2844" s="73"/>
      <c r="B2844" s="2"/>
      <c r="C2844" s="2"/>
      <c r="D2844" s="2"/>
      <c r="E2844" s="4"/>
      <c r="F2844" s="4"/>
      <c r="G2844" s="4"/>
      <c r="H2844" s="61"/>
      <c r="I2844" s="62"/>
      <c r="J2844" s="62"/>
      <c r="K2844" s="78"/>
      <c r="L2844" s="57"/>
      <c r="M2844" s="57"/>
    </row>
    <row r="2845" spans="1:13" ht="15" customHeight="1">
      <c r="A2845" s="73"/>
      <c r="B2845" s="2"/>
      <c r="C2845" s="2"/>
      <c r="D2845" s="2"/>
      <c r="E2845" s="4"/>
      <c r="F2845" s="4"/>
      <c r="G2845" s="4"/>
      <c r="H2845" s="61"/>
      <c r="I2845" s="62"/>
      <c r="J2845" s="62"/>
      <c r="K2845" s="78"/>
      <c r="L2845" s="57"/>
      <c r="M2845" s="57"/>
    </row>
    <row r="2846" spans="1:13" ht="15" customHeight="1">
      <c r="A2846" s="73"/>
      <c r="B2846" s="2"/>
      <c r="C2846" s="2"/>
      <c r="D2846" s="2"/>
      <c r="E2846" s="4"/>
      <c r="F2846" s="4"/>
      <c r="G2846" s="4"/>
      <c r="H2846" s="61"/>
      <c r="I2846" s="62"/>
      <c r="J2846" s="62"/>
      <c r="K2846" s="78"/>
      <c r="L2846" s="57"/>
      <c r="M2846" s="57"/>
    </row>
    <row r="2847" spans="1:13" ht="15" customHeight="1">
      <c r="A2847" s="73"/>
      <c r="B2847" s="2"/>
      <c r="C2847" s="2"/>
      <c r="D2847" s="2"/>
      <c r="E2847" s="4"/>
      <c r="F2847" s="4"/>
      <c r="G2847" s="4"/>
      <c r="H2847" s="61"/>
      <c r="I2847" s="62"/>
      <c r="J2847" s="62"/>
      <c r="K2847" s="78"/>
      <c r="L2847" s="57"/>
      <c r="M2847" s="57"/>
    </row>
    <row r="2848" spans="1:13" ht="15" customHeight="1">
      <c r="A2848" s="73"/>
      <c r="B2848" s="2"/>
      <c r="C2848" s="2"/>
      <c r="D2848" s="2"/>
      <c r="E2848" s="4"/>
      <c r="F2848" s="4"/>
      <c r="G2848" s="4"/>
      <c r="H2848" s="61"/>
      <c r="I2848" s="62"/>
      <c r="J2848" s="62"/>
      <c r="K2848" s="78"/>
      <c r="L2848" s="57"/>
      <c r="M2848" s="57"/>
    </row>
    <row r="2849" spans="1:13" ht="15" customHeight="1">
      <c r="A2849" s="73"/>
      <c r="B2849" s="2"/>
      <c r="C2849" s="2"/>
      <c r="D2849" s="2"/>
      <c r="E2849" s="4"/>
      <c r="F2849" s="4"/>
      <c r="G2849" s="4"/>
      <c r="H2849" s="61"/>
      <c r="I2849" s="62"/>
      <c r="J2849" s="62"/>
      <c r="K2849" s="78"/>
      <c r="L2849" s="57"/>
      <c r="M2849" s="57"/>
    </row>
    <row r="2850" spans="1:13" ht="15" customHeight="1">
      <c r="A2850" s="73"/>
      <c r="B2850" s="2"/>
      <c r="C2850" s="2"/>
      <c r="D2850" s="2"/>
      <c r="E2850" s="4"/>
      <c r="F2850" s="4"/>
      <c r="G2850" s="4"/>
      <c r="H2850" s="61"/>
      <c r="I2850" s="62"/>
      <c r="J2850" s="62"/>
      <c r="K2850" s="78"/>
      <c r="L2850" s="57"/>
      <c r="M2850" s="57"/>
    </row>
    <row r="2851" spans="1:13" ht="15" customHeight="1">
      <c r="A2851" s="73"/>
      <c r="B2851" s="2"/>
      <c r="C2851" s="2"/>
      <c r="D2851" s="2"/>
      <c r="E2851" s="4"/>
      <c r="F2851" s="4"/>
      <c r="G2851" s="4"/>
      <c r="H2851" s="61"/>
      <c r="I2851" s="62"/>
      <c r="J2851" s="62"/>
      <c r="K2851" s="78"/>
      <c r="L2851" s="57"/>
      <c r="M2851" s="57"/>
    </row>
    <row r="2852" spans="1:13" ht="15" customHeight="1">
      <c r="A2852" s="73"/>
      <c r="B2852" s="2"/>
      <c r="C2852" s="2"/>
      <c r="D2852" s="2"/>
      <c r="E2852" s="4"/>
      <c r="F2852" s="4"/>
      <c r="G2852" s="4"/>
      <c r="H2852" s="61"/>
      <c r="I2852" s="62"/>
      <c r="J2852" s="62"/>
      <c r="K2852" s="78"/>
      <c r="L2852" s="57"/>
      <c r="M2852" s="57"/>
    </row>
    <row r="2853" spans="1:13" ht="15" customHeight="1">
      <c r="A2853" s="73"/>
      <c r="B2853" s="2"/>
      <c r="C2853" s="2"/>
      <c r="D2853" s="2"/>
      <c r="E2853" s="4"/>
      <c r="F2853" s="4"/>
      <c r="G2853" s="4"/>
      <c r="H2853" s="61"/>
      <c r="I2853" s="62"/>
      <c r="J2853" s="62"/>
      <c r="K2853" s="78"/>
      <c r="L2853" s="57"/>
      <c r="M2853" s="57"/>
    </row>
    <row r="2854" spans="1:13" ht="15" customHeight="1">
      <c r="A2854" s="73"/>
      <c r="B2854" s="2"/>
      <c r="C2854" s="2"/>
      <c r="D2854" s="2"/>
      <c r="E2854" s="4"/>
      <c r="F2854" s="4"/>
      <c r="G2854" s="4"/>
      <c r="H2854" s="61"/>
      <c r="I2854" s="62"/>
      <c r="J2854" s="62"/>
      <c r="K2854" s="78"/>
      <c r="L2854" s="57"/>
      <c r="M2854" s="57"/>
    </row>
    <row r="2855" spans="1:13" ht="15" customHeight="1">
      <c r="A2855" s="73"/>
      <c r="B2855" s="2"/>
      <c r="C2855" s="2"/>
      <c r="D2855" s="2"/>
      <c r="E2855" s="63"/>
      <c r="F2855" s="4"/>
      <c r="G2855" s="4"/>
      <c r="H2855" s="61"/>
      <c r="I2855" s="62"/>
      <c r="J2855" s="62"/>
      <c r="K2855" s="78"/>
      <c r="L2855" s="57"/>
      <c r="M2855" s="57"/>
    </row>
    <row r="2856" spans="1:13" ht="15" customHeight="1">
      <c r="A2856" s="73"/>
      <c r="B2856" s="2"/>
      <c r="C2856" s="2"/>
      <c r="D2856" s="2"/>
      <c r="E2856" s="63"/>
      <c r="F2856" s="4"/>
      <c r="G2856" s="4"/>
      <c r="H2856" s="61"/>
      <c r="I2856" s="62"/>
      <c r="J2856" s="62"/>
      <c r="K2856" s="78"/>
      <c r="L2856" s="57"/>
      <c r="M2856" s="57"/>
    </row>
    <row r="2857" spans="1:13" ht="15" customHeight="1">
      <c r="A2857" s="73"/>
      <c r="B2857" s="2"/>
      <c r="C2857" s="2"/>
      <c r="D2857" s="2"/>
      <c r="E2857" s="4"/>
      <c r="F2857" s="4"/>
      <c r="G2857" s="4"/>
      <c r="H2857" s="61"/>
      <c r="I2857" s="62"/>
      <c r="J2857" s="62"/>
      <c r="K2857" s="78"/>
      <c r="L2857" s="57"/>
      <c r="M2857" s="57"/>
    </row>
    <row r="2858" spans="1:13" ht="15" customHeight="1">
      <c r="A2858" s="73"/>
      <c r="B2858" s="2"/>
      <c r="C2858" s="2"/>
      <c r="D2858" s="2"/>
      <c r="E2858" s="4"/>
      <c r="F2858" s="4"/>
      <c r="G2858" s="4"/>
      <c r="H2858" s="61"/>
      <c r="I2858" s="62"/>
      <c r="J2858" s="62"/>
      <c r="K2858" s="78"/>
      <c r="L2858" s="57"/>
      <c r="M2858" s="57"/>
    </row>
    <row r="2859" spans="1:13" ht="15" customHeight="1">
      <c r="A2859" s="73"/>
      <c r="B2859" s="2"/>
      <c r="C2859" s="2"/>
      <c r="D2859" s="2"/>
      <c r="E2859" s="4"/>
      <c r="F2859" s="4"/>
      <c r="G2859" s="4"/>
      <c r="H2859" s="61"/>
      <c r="I2859" s="62"/>
      <c r="J2859" s="62"/>
      <c r="K2859" s="78"/>
      <c r="L2859" s="57"/>
      <c r="M2859" s="57"/>
    </row>
    <row r="2860" spans="1:13" ht="15" customHeight="1">
      <c r="A2860" s="73"/>
      <c r="B2860" s="2"/>
      <c r="C2860" s="2"/>
      <c r="D2860" s="2"/>
      <c r="E2860" s="4"/>
      <c r="F2860" s="4"/>
      <c r="G2860" s="4"/>
      <c r="H2860" s="61"/>
      <c r="I2860" s="62"/>
      <c r="J2860" s="62"/>
      <c r="K2860" s="78"/>
      <c r="L2860" s="57"/>
      <c r="M2860" s="57"/>
    </row>
    <row r="2861" spans="1:13" ht="15" customHeight="1">
      <c r="A2861" s="73"/>
      <c r="B2861" s="2"/>
      <c r="C2861" s="2"/>
      <c r="D2861" s="2"/>
      <c r="E2861" s="4"/>
      <c r="F2861" s="4"/>
      <c r="G2861" s="4"/>
      <c r="H2861" s="61"/>
      <c r="I2861" s="62"/>
      <c r="J2861" s="62"/>
      <c r="K2861" s="78"/>
      <c r="L2861" s="57"/>
      <c r="M2861" s="57"/>
    </row>
    <row r="2862" spans="1:13" ht="15" customHeight="1">
      <c r="A2862" s="73"/>
      <c r="B2862" s="2"/>
      <c r="C2862" s="2"/>
      <c r="D2862" s="2"/>
      <c r="E2862" s="4"/>
      <c r="F2862" s="4"/>
      <c r="G2862" s="4"/>
      <c r="H2862" s="61"/>
      <c r="I2862" s="62"/>
      <c r="J2862" s="62"/>
      <c r="K2862" s="78"/>
      <c r="L2862" s="57"/>
      <c r="M2862" s="57"/>
    </row>
    <row r="2863" spans="1:13" ht="15" customHeight="1">
      <c r="A2863" s="73"/>
      <c r="B2863" s="2"/>
      <c r="C2863" s="2"/>
      <c r="D2863" s="2"/>
      <c r="E2863" s="4"/>
      <c r="F2863" s="4"/>
      <c r="G2863" s="4"/>
      <c r="H2863" s="61"/>
      <c r="I2863" s="62"/>
      <c r="J2863" s="62"/>
      <c r="K2863" s="78"/>
      <c r="L2863" s="57"/>
      <c r="M2863" s="57"/>
    </row>
    <row r="2864" spans="1:13" ht="15" customHeight="1">
      <c r="A2864" s="73"/>
      <c r="B2864" s="2"/>
      <c r="C2864" s="2"/>
      <c r="D2864" s="2"/>
      <c r="E2864" s="4"/>
      <c r="F2864" s="4"/>
      <c r="G2864" s="4"/>
      <c r="H2864" s="61"/>
      <c r="I2864" s="62"/>
      <c r="J2864" s="62"/>
      <c r="K2864" s="78"/>
      <c r="L2864" s="57"/>
      <c r="M2864" s="57"/>
    </row>
    <row r="2865" spans="1:13" ht="15" customHeight="1">
      <c r="A2865" s="73"/>
      <c r="B2865" s="2"/>
      <c r="C2865" s="2"/>
      <c r="D2865" s="2"/>
      <c r="E2865" s="4"/>
      <c r="F2865" s="4"/>
      <c r="G2865" s="4"/>
      <c r="H2865" s="61"/>
      <c r="I2865" s="62"/>
      <c r="J2865" s="62"/>
      <c r="K2865" s="78"/>
      <c r="L2865" s="57"/>
      <c r="M2865" s="57"/>
    </row>
    <row r="2866" spans="1:13" ht="15" customHeight="1">
      <c r="A2866" s="73"/>
      <c r="B2866" s="2"/>
      <c r="C2866" s="2"/>
      <c r="D2866" s="2"/>
      <c r="E2866" s="63"/>
      <c r="F2866" s="4"/>
      <c r="G2866" s="4"/>
      <c r="H2866" s="61"/>
      <c r="I2866" s="62"/>
      <c r="J2866" s="62"/>
      <c r="K2866" s="78"/>
      <c r="L2866" s="57"/>
      <c r="M2866" s="57"/>
    </row>
    <row r="2867" spans="1:13" ht="15" customHeight="1">
      <c r="A2867" s="73"/>
      <c r="B2867" s="2"/>
      <c r="C2867" s="2"/>
      <c r="D2867" s="2"/>
      <c r="E2867" s="4"/>
      <c r="F2867" s="4"/>
      <c r="G2867" s="4"/>
      <c r="H2867" s="61"/>
      <c r="I2867" s="62"/>
      <c r="J2867" s="62"/>
      <c r="K2867" s="78"/>
      <c r="L2867" s="57"/>
      <c r="M2867" s="57"/>
    </row>
    <row r="2868" spans="1:13" ht="15" customHeight="1">
      <c r="A2868" s="73"/>
      <c r="B2868" s="2"/>
      <c r="C2868" s="2"/>
      <c r="D2868" s="2"/>
      <c r="E2868" s="4"/>
      <c r="F2868" s="4"/>
      <c r="G2868" s="4"/>
      <c r="H2868" s="61"/>
      <c r="I2868" s="62"/>
      <c r="J2868" s="62"/>
      <c r="K2868" s="78"/>
      <c r="L2868" s="57"/>
      <c r="M2868" s="57"/>
    </row>
    <row r="2869" spans="1:13" ht="15" customHeight="1">
      <c r="A2869" s="73"/>
      <c r="B2869" s="2"/>
      <c r="C2869" s="2"/>
      <c r="D2869" s="2"/>
      <c r="E2869" s="4"/>
      <c r="F2869" s="4"/>
      <c r="G2869" s="4"/>
      <c r="H2869" s="61"/>
      <c r="I2869" s="62"/>
      <c r="J2869" s="62"/>
      <c r="K2869" s="78"/>
      <c r="L2869" s="57"/>
      <c r="M2869" s="57"/>
    </row>
    <row r="2870" spans="1:13" ht="15" customHeight="1">
      <c r="A2870" s="73"/>
      <c r="B2870" s="2"/>
      <c r="C2870" s="2"/>
      <c r="D2870" s="2"/>
      <c r="E2870" s="4"/>
      <c r="F2870" s="4"/>
      <c r="G2870" s="4"/>
      <c r="H2870" s="61"/>
      <c r="I2870" s="62"/>
      <c r="J2870" s="62"/>
      <c r="K2870" s="78"/>
      <c r="L2870" s="57"/>
      <c r="M2870" s="57"/>
    </row>
    <row r="2871" spans="1:13" ht="15" customHeight="1">
      <c r="A2871" s="73"/>
      <c r="B2871" s="2"/>
      <c r="C2871" s="2"/>
      <c r="D2871" s="2"/>
      <c r="E2871" s="4"/>
      <c r="F2871" s="4"/>
      <c r="G2871" s="4"/>
      <c r="H2871" s="61"/>
      <c r="I2871" s="62"/>
      <c r="J2871" s="62"/>
      <c r="K2871" s="78"/>
      <c r="L2871" s="57"/>
      <c r="M2871" s="57"/>
    </row>
    <row r="2872" spans="1:13" ht="15" customHeight="1">
      <c r="A2872" s="73"/>
      <c r="B2872" s="2"/>
      <c r="C2872" s="2"/>
      <c r="D2872" s="2"/>
      <c r="E2872" s="4"/>
      <c r="F2872" s="4"/>
      <c r="G2872" s="4"/>
      <c r="H2872" s="61"/>
      <c r="I2872" s="62"/>
      <c r="J2872" s="62"/>
      <c r="K2872" s="78"/>
      <c r="L2872" s="57"/>
      <c r="M2872" s="57"/>
    </row>
    <row r="2873" spans="1:13" ht="15" customHeight="1">
      <c r="A2873" s="73"/>
      <c r="B2873" s="2"/>
      <c r="C2873" s="2"/>
      <c r="D2873" s="2"/>
      <c r="E2873" s="4"/>
      <c r="F2873" s="4"/>
      <c r="G2873" s="4"/>
      <c r="H2873" s="61"/>
      <c r="I2873" s="62"/>
      <c r="J2873" s="62"/>
      <c r="K2873" s="78"/>
      <c r="L2873" s="57"/>
      <c r="M2873" s="57"/>
    </row>
    <row r="2874" spans="1:13" ht="15" customHeight="1">
      <c r="A2874" s="73"/>
      <c r="B2874" s="2"/>
      <c r="C2874" s="2"/>
      <c r="D2874" s="2"/>
      <c r="E2874" s="4"/>
      <c r="F2874" s="4"/>
      <c r="G2874" s="4"/>
      <c r="H2874" s="61"/>
      <c r="I2874" s="62"/>
      <c r="J2874" s="62"/>
      <c r="K2874" s="78"/>
      <c r="L2874" s="57"/>
      <c r="M2874" s="57"/>
    </row>
    <row r="2875" spans="1:13" ht="15" customHeight="1">
      <c r="A2875" s="73"/>
      <c r="B2875" s="2"/>
      <c r="C2875" s="2"/>
      <c r="D2875" s="2"/>
      <c r="E2875" s="4"/>
      <c r="F2875" s="4"/>
      <c r="G2875" s="4"/>
      <c r="H2875" s="61"/>
      <c r="I2875" s="62"/>
      <c r="J2875" s="62"/>
      <c r="K2875" s="78"/>
      <c r="L2875" s="57"/>
      <c r="M2875" s="57"/>
    </row>
    <row r="2876" spans="1:13" ht="15" customHeight="1">
      <c r="A2876" s="73"/>
      <c r="B2876" s="2"/>
      <c r="C2876" s="2"/>
      <c r="D2876" s="2"/>
      <c r="E2876" s="4"/>
      <c r="F2876" s="4"/>
      <c r="G2876" s="4"/>
      <c r="H2876" s="61"/>
      <c r="I2876" s="62"/>
      <c r="J2876" s="62"/>
      <c r="K2876" s="78"/>
      <c r="L2876" s="57"/>
      <c r="M2876" s="57"/>
    </row>
    <row r="2877" spans="1:13" ht="15" customHeight="1">
      <c r="A2877" s="73"/>
      <c r="B2877" s="2"/>
      <c r="C2877" s="2"/>
      <c r="D2877" s="2"/>
      <c r="E2877" s="4"/>
      <c r="F2877" s="4"/>
      <c r="G2877" s="4"/>
      <c r="H2877" s="61"/>
      <c r="I2877" s="62"/>
      <c r="J2877" s="62"/>
      <c r="K2877" s="78"/>
      <c r="L2877" s="57"/>
      <c r="M2877" s="57"/>
    </row>
    <row r="2878" spans="1:13" ht="15" customHeight="1">
      <c r="A2878" s="73"/>
      <c r="B2878" s="2"/>
      <c r="C2878" s="2"/>
      <c r="D2878" s="2"/>
      <c r="E2878" s="4"/>
      <c r="F2878" s="4"/>
      <c r="G2878" s="4"/>
      <c r="H2878" s="61"/>
      <c r="I2878" s="62"/>
      <c r="J2878" s="62"/>
      <c r="K2878" s="78"/>
      <c r="L2878" s="57"/>
      <c r="M2878" s="57"/>
    </row>
    <row r="2879" spans="1:13" ht="15" customHeight="1">
      <c r="A2879" s="73"/>
      <c r="B2879" s="2"/>
      <c r="C2879" s="2"/>
      <c r="D2879" s="2"/>
      <c r="E2879" s="4"/>
      <c r="F2879" s="4"/>
      <c r="G2879" s="4"/>
      <c r="H2879" s="61"/>
      <c r="I2879" s="62"/>
      <c r="J2879" s="62"/>
      <c r="K2879" s="78"/>
      <c r="L2879" s="57"/>
      <c r="M2879" s="57"/>
    </row>
    <row r="2880" spans="1:13" ht="15" customHeight="1">
      <c r="A2880" s="73"/>
      <c r="B2880" s="2"/>
      <c r="C2880" s="2"/>
      <c r="D2880" s="2"/>
      <c r="E2880" s="4"/>
      <c r="F2880" s="4"/>
      <c r="G2880" s="4"/>
      <c r="H2880" s="61"/>
      <c r="I2880" s="62"/>
      <c r="J2880" s="62"/>
      <c r="K2880" s="78"/>
      <c r="L2880" s="57"/>
      <c r="M2880" s="57"/>
    </row>
    <row r="2881" spans="1:13" ht="15" customHeight="1">
      <c r="A2881" s="73"/>
      <c r="B2881" s="2"/>
      <c r="C2881" s="2"/>
      <c r="D2881" s="2"/>
      <c r="E2881" s="4"/>
      <c r="F2881" s="4"/>
      <c r="G2881" s="4"/>
      <c r="H2881" s="61"/>
      <c r="I2881" s="62"/>
      <c r="J2881" s="62"/>
      <c r="K2881" s="78"/>
      <c r="L2881" s="57"/>
      <c r="M2881" s="57"/>
    </row>
    <row r="2882" spans="1:13" ht="15" customHeight="1">
      <c r="A2882" s="73"/>
      <c r="B2882" s="2"/>
      <c r="C2882" s="2"/>
      <c r="D2882" s="2"/>
      <c r="E2882" s="4"/>
      <c r="F2882" s="4"/>
      <c r="G2882" s="4"/>
      <c r="H2882" s="61"/>
      <c r="I2882" s="62"/>
      <c r="J2882" s="62"/>
      <c r="K2882" s="78"/>
      <c r="L2882" s="57"/>
      <c r="M2882" s="57"/>
    </row>
    <row r="2883" spans="1:13" ht="15" customHeight="1">
      <c r="A2883" s="73"/>
      <c r="B2883" s="2"/>
      <c r="C2883" s="2"/>
      <c r="D2883" s="2"/>
      <c r="E2883" s="4"/>
      <c r="F2883" s="4"/>
      <c r="G2883" s="4"/>
      <c r="H2883" s="61"/>
      <c r="I2883" s="62"/>
      <c r="J2883" s="62"/>
      <c r="K2883" s="78"/>
      <c r="L2883" s="57"/>
      <c r="M2883" s="57"/>
    </row>
    <row r="2884" spans="1:13" ht="15" customHeight="1">
      <c r="A2884" s="73"/>
      <c r="B2884" s="2"/>
      <c r="C2884" s="2"/>
      <c r="D2884" s="2"/>
      <c r="E2884" s="4"/>
      <c r="F2884" s="4"/>
      <c r="G2884" s="4"/>
      <c r="H2884" s="61"/>
      <c r="I2884" s="62"/>
      <c r="J2884" s="62"/>
      <c r="K2884" s="78"/>
      <c r="L2884" s="57"/>
      <c r="M2884" s="57"/>
    </row>
    <row r="2885" spans="1:13" ht="15" customHeight="1">
      <c r="A2885" s="73"/>
      <c r="B2885" s="2"/>
      <c r="C2885" s="2"/>
      <c r="D2885" s="2"/>
      <c r="E2885" s="4"/>
      <c r="F2885" s="4"/>
      <c r="G2885" s="4"/>
      <c r="H2885" s="61"/>
      <c r="I2885" s="62"/>
      <c r="J2885" s="62"/>
      <c r="K2885" s="78"/>
      <c r="L2885" s="57"/>
      <c r="M2885" s="57"/>
    </row>
    <row r="2886" spans="1:13" ht="15" customHeight="1">
      <c r="A2886" s="73"/>
      <c r="B2886" s="2"/>
      <c r="C2886" s="2"/>
      <c r="D2886" s="2"/>
      <c r="E2886" s="4"/>
      <c r="F2886" s="4"/>
      <c r="G2886" s="4"/>
      <c r="H2886" s="61"/>
      <c r="I2886" s="62"/>
      <c r="J2886" s="62"/>
      <c r="K2886" s="78"/>
      <c r="L2886" s="57"/>
      <c r="M2886" s="57"/>
    </row>
    <row r="2887" spans="1:13" ht="15" customHeight="1">
      <c r="A2887" s="73"/>
      <c r="B2887" s="2"/>
      <c r="C2887" s="2"/>
      <c r="D2887" s="2"/>
      <c r="E2887" s="4"/>
      <c r="F2887" s="4"/>
      <c r="G2887" s="4"/>
      <c r="H2887" s="61"/>
      <c r="I2887" s="62"/>
      <c r="J2887" s="62"/>
      <c r="K2887" s="78"/>
      <c r="L2887" s="57"/>
      <c r="M2887" s="57"/>
    </row>
    <row r="2888" spans="1:13" ht="15" customHeight="1">
      <c r="A2888" s="73"/>
      <c r="B2888" s="2"/>
      <c r="C2888" s="2"/>
      <c r="D2888" s="2"/>
      <c r="E2888" s="4"/>
      <c r="F2888" s="4"/>
      <c r="G2888" s="4"/>
      <c r="H2888" s="61"/>
      <c r="I2888" s="62"/>
      <c r="J2888" s="62"/>
      <c r="K2888" s="78"/>
      <c r="L2888" s="57"/>
      <c r="M2888" s="57"/>
    </row>
    <row r="2889" spans="1:13" ht="15" customHeight="1">
      <c r="A2889" s="73"/>
      <c r="B2889" s="2"/>
      <c r="C2889" s="2"/>
      <c r="D2889" s="2"/>
      <c r="E2889" s="4"/>
      <c r="F2889" s="4"/>
      <c r="G2889" s="4"/>
      <c r="H2889" s="61"/>
      <c r="I2889" s="62"/>
      <c r="J2889" s="62"/>
      <c r="K2889" s="78"/>
      <c r="L2889" s="57"/>
      <c r="M2889" s="57"/>
    </row>
    <row r="2890" spans="1:13" ht="15" customHeight="1">
      <c r="A2890" s="73"/>
      <c r="B2890" s="2"/>
      <c r="C2890" s="2"/>
      <c r="D2890" s="2"/>
      <c r="E2890" s="4"/>
      <c r="F2890" s="4"/>
      <c r="G2890" s="4"/>
      <c r="H2890" s="61"/>
      <c r="I2890" s="62"/>
      <c r="J2890" s="62"/>
      <c r="K2890" s="78"/>
      <c r="L2890" s="57"/>
      <c r="M2890" s="57"/>
    </row>
    <row r="2891" spans="1:13" ht="15" customHeight="1">
      <c r="A2891" s="73"/>
      <c r="B2891" s="2"/>
      <c r="C2891" s="2"/>
      <c r="D2891" s="2"/>
      <c r="E2891" s="4"/>
      <c r="F2891" s="4"/>
      <c r="G2891" s="4"/>
      <c r="H2891" s="61"/>
      <c r="I2891" s="62"/>
      <c r="J2891" s="62"/>
      <c r="K2891" s="78"/>
      <c r="L2891" s="57"/>
      <c r="M2891" s="57"/>
    </row>
    <row r="2892" spans="1:13" ht="15" customHeight="1">
      <c r="A2892" s="73"/>
      <c r="B2892" s="2"/>
      <c r="C2892" s="2"/>
      <c r="D2892" s="2"/>
      <c r="E2892" s="4"/>
      <c r="F2892" s="4"/>
      <c r="G2892" s="4"/>
      <c r="H2892" s="61"/>
      <c r="I2892" s="62"/>
      <c r="J2892" s="62"/>
      <c r="K2892" s="78"/>
      <c r="L2892" s="57"/>
      <c r="M2892" s="57"/>
    </row>
    <row r="2893" spans="1:13" ht="15" customHeight="1">
      <c r="A2893" s="73"/>
      <c r="B2893" s="2"/>
      <c r="C2893" s="2"/>
      <c r="D2893" s="2"/>
      <c r="E2893" s="4"/>
      <c r="F2893" s="4"/>
      <c r="G2893" s="4"/>
      <c r="H2893" s="61"/>
      <c r="I2893" s="62"/>
      <c r="J2893" s="62"/>
      <c r="K2893" s="78"/>
      <c r="L2893" s="57"/>
      <c r="M2893" s="57"/>
    </row>
    <row r="2894" spans="1:13" ht="15" customHeight="1">
      <c r="A2894" s="73"/>
      <c r="B2894" s="2"/>
      <c r="C2894" s="2"/>
      <c r="D2894" s="2"/>
      <c r="E2894" s="4"/>
      <c r="F2894" s="4"/>
      <c r="G2894" s="4"/>
      <c r="H2894" s="61"/>
      <c r="I2894" s="62"/>
      <c r="J2894" s="62"/>
      <c r="K2894" s="78"/>
      <c r="L2894" s="57"/>
      <c r="M2894" s="57"/>
    </row>
    <row r="2895" spans="1:13" ht="15" customHeight="1">
      <c r="A2895" s="73"/>
      <c r="B2895" s="2"/>
      <c r="C2895" s="2"/>
      <c r="D2895" s="2"/>
      <c r="E2895" s="4"/>
      <c r="F2895" s="4"/>
      <c r="G2895" s="4"/>
      <c r="H2895" s="61"/>
      <c r="I2895" s="62"/>
      <c r="J2895" s="62"/>
      <c r="K2895" s="78"/>
      <c r="L2895" s="57"/>
      <c r="M2895" s="57"/>
    </row>
    <row r="2896" spans="1:13" ht="15" customHeight="1">
      <c r="A2896" s="73"/>
      <c r="B2896" s="2"/>
      <c r="C2896" s="2"/>
      <c r="D2896" s="2"/>
      <c r="E2896" s="4"/>
      <c r="F2896" s="4"/>
      <c r="G2896" s="4"/>
      <c r="H2896" s="61"/>
      <c r="I2896" s="62"/>
      <c r="J2896" s="62"/>
      <c r="K2896" s="78"/>
      <c r="L2896" s="57"/>
      <c r="M2896" s="57"/>
    </row>
    <row r="2897" spans="1:13" ht="15" customHeight="1">
      <c r="A2897" s="73"/>
      <c r="B2897" s="2"/>
      <c r="C2897" s="2"/>
      <c r="D2897" s="2"/>
      <c r="E2897" s="4"/>
      <c r="F2897" s="4"/>
      <c r="G2897" s="4"/>
      <c r="H2897" s="61"/>
      <c r="I2897" s="62"/>
      <c r="J2897" s="62"/>
      <c r="K2897" s="78"/>
      <c r="L2897" s="57"/>
      <c r="M2897" s="57"/>
    </row>
    <row r="2898" spans="1:13" ht="15" customHeight="1">
      <c r="A2898" s="73"/>
      <c r="B2898" s="2"/>
      <c r="C2898" s="2"/>
      <c r="D2898" s="2"/>
      <c r="E2898" s="4"/>
      <c r="F2898" s="4"/>
      <c r="G2898" s="4"/>
      <c r="H2898" s="61"/>
      <c r="I2898" s="62"/>
      <c r="J2898" s="62"/>
      <c r="K2898" s="78"/>
      <c r="L2898" s="57"/>
      <c r="M2898" s="57"/>
    </row>
    <row r="2899" spans="1:13" ht="15" customHeight="1">
      <c r="A2899" s="73"/>
      <c r="B2899" s="2"/>
      <c r="C2899" s="2"/>
      <c r="D2899" s="2"/>
      <c r="E2899" s="4"/>
      <c r="F2899" s="4"/>
      <c r="G2899" s="4"/>
      <c r="H2899" s="61"/>
      <c r="I2899" s="62"/>
      <c r="J2899" s="62"/>
      <c r="K2899" s="78"/>
      <c r="L2899" s="57"/>
      <c r="M2899" s="57"/>
    </row>
    <row r="2900" spans="1:13" ht="15" customHeight="1">
      <c r="A2900" s="73"/>
      <c r="B2900" s="2"/>
      <c r="C2900" s="2"/>
      <c r="D2900" s="2"/>
      <c r="E2900" s="4"/>
      <c r="F2900" s="4"/>
      <c r="G2900" s="4"/>
      <c r="H2900" s="61"/>
      <c r="I2900" s="62"/>
      <c r="J2900" s="62"/>
      <c r="K2900" s="78"/>
      <c r="L2900" s="57"/>
      <c r="M2900" s="57"/>
    </row>
    <row r="2901" spans="1:13" ht="15" customHeight="1">
      <c r="A2901" s="73"/>
      <c r="B2901" s="2"/>
      <c r="C2901" s="2"/>
      <c r="D2901" s="2"/>
      <c r="E2901" s="4"/>
      <c r="F2901" s="4"/>
      <c r="G2901" s="4"/>
      <c r="H2901" s="61"/>
      <c r="I2901" s="62"/>
      <c r="J2901" s="62"/>
      <c r="K2901" s="78"/>
      <c r="L2901" s="57"/>
      <c r="M2901" s="57"/>
    </row>
    <row r="2902" spans="1:13" ht="15" customHeight="1">
      <c r="A2902" s="73"/>
      <c r="B2902" s="2"/>
      <c r="C2902" s="2"/>
      <c r="D2902" s="2"/>
      <c r="E2902" s="4"/>
      <c r="F2902" s="4"/>
      <c r="G2902" s="4"/>
      <c r="H2902" s="61"/>
      <c r="I2902" s="62"/>
      <c r="J2902" s="62"/>
      <c r="K2902" s="78"/>
      <c r="L2902" s="57"/>
      <c r="M2902" s="57"/>
    </row>
    <row r="2903" spans="1:13" ht="15" customHeight="1">
      <c r="A2903" s="73"/>
      <c r="B2903" s="2"/>
      <c r="C2903" s="2"/>
      <c r="D2903" s="2"/>
      <c r="E2903" s="4"/>
      <c r="F2903" s="4"/>
      <c r="G2903" s="4"/>
      <c r="H2903" s="61"/>
      <c r="I2903" s="62"/>
      <c r="J2903" s="62"/>
      <c r="K2903" s="78"/>
      <c r="L2903" s="57"/>
      <c r="M2903" s="57"/>
    </row>
    <row r="2904" spans="1:13" ht="15" customHeight="1">
      <c r="A2904" s="73"/>
      <c r="B2904" s="2"/>
      <c r="C2904" s="2"/>
      <c r="D2904" s="2"/>
      <c r="E2904" s="4"/>
      <c r="F2904" s="4"/>
      <c r="G2904" s="4"/>
      <c r="H2904" s="61"/>
      <c r="I2904" s="62"/>
      <c r="J2904" s="62"/>
      <c r="K2904" s="78"/>
      <c r="L2904" s="57"/>
      <c r="M2904" s="57"/>
    </row>
    <row r="2905" spans="1:13" ht="15" customHeight="1">
      <c r="A2905" s="73"/>
      <c r="B2905" s="2"/>
      <c r="C2905" s="2"/>
      <c r="D2905" s="2"/>
      <c r="E2905" s="4"/>
      <c r="F2905" s="4"/>
      <c r="G2905" s="4"/>
      <c r="H2905" s="61"/>
      <c r="I2905" s="62"/>
      <c r="J2905" s="62"/>
      <c r="K2905" s="78"/>
      <c r="L2905" s="57"/>
      <c r="M2905" s="57"/>
    </row>
    <row r="2906" spans="1:13" ht="15" customHeight="1">
      <c r="A2906" s="73"/>
      <c r="B2906" s="2"/>
      <c r="C2906" s="2"/>
      <c r="D2906" s="2"/>
      <c r="E2906" s="4"/>
      <c r="F2906" s="4"/>
      <c r="G2906" s="4"/>
      <c r="H2906" s="61"/>
      <c r="I2906" s="62"/>
      <c r="J2906" s="62"/>
      <c r="K2906" s="78"/>
      <c r="L2906" s="57"/>
      <c r="M2906" s="57"/>
    </row>
    <row r="2907" spans="1:13" ht="15" customHeight="1">
      <c r="A2907" s="73"/>
      <c r="B2907" s="2"/>
      <c r="C2907" s="2"/>
      <c r="D2907" s="2"/>
      <c r="E2907" s="4"/>
      <c r="F2907" s="4"/>
      <c r="G2907" s="4"/>
      <c r="H2907" s="61"/>
      <c r="I2907" s="62"/>
      <c r="J2907" s="62"/>
      <c r="K2907" s="78"/>
      <c r="L2907" s="57"/>
      <c r="M2907" s="57"/>
    </row>
    <row r="2908" spans="1:13" ht="15" customHeight="1">
      <c r="A2908" s="73"/>
      <c r="B2908" s="2"/>
      <c r="C2908" s="2"/>
      <c r="D2908" s="2"/>
      <c r="E2908" s="4"/>
      <c r="F2908" s="4"/>
      <c r="G2908" s="4"/>
      <c r="H2908" s="61"/>
      <c r="I2908" s="62"/>
      <c r="J2908" s="62"/>
      <c r="K2908" s="78"/>
      <c r="L2908" s="57"/>
      <c r="M2908" s="57"/>
    </row>
    <row r="2909" spans="1:13" ht="15" customHeight="1">
      <c r="A2909" s="73"/>
      <c r="B2909" s="2"/>
      <c r="C2909" s="2"/>
      <c r="D2909" s="2"/>
      <c r="E2909" s="4"/>
      <c r="F2909" s="4"/>
      <c r="G2909" s="4"/>
      <c r="H2909" s="61"/>
      <c r="I2909" s="62"/>
      <c r="J2909" s="62"/>
      <c r="K2909" s="78"/>
      <c r="L2909" s="57"/>
      <c r="M2909" s="57"/>
    </row>
    <row r="2910" spans="1:13" ht="15" customHeight="1">
      <c r="A2910" s="73"/>
      <c r="B2910" s="2"/>
      <c r="C2910" s="2"/>
      <c r="D2910" s="2"/>
      <c r="E2910" s="4"/>
      <c r="F2910" s="4"/>
      <c r="G2910" s="4"/>
      <c r="H2910" s="61"/>
      <c r="I2910" s="62"/>
      <c r="J2910" s="62"/>
      <c r="K2910" s="78"/>
      <c r="L2910" s="57"/>
      <c r="M2910" s="57"/>
    </row>
    <row r="2911" spans="1:13" ht="15" customHeight="1">
      <c r="A2911" s="73"/>
      <c r="B2911" s="2"/>
      <c r="C2911" s="2"/>
      <c r="D2911" s="2"/>
      <c r="E2911" s="4"/>
      <c r="F2911" s="4"/>
      <c r="G2911" s="4"/>
      <c r="H2911" s="61"/>
      <c r="I2911" s="62"/>
      <c r="J2911" s="62"/>
      <c r="K2911" s="78"/>
      <c r="L2911" s="57"/>
      <c r="M2911" s="57"/>
    </row>
    <row r="2912" spans="1:13" ht="15" customHeight="1">
      <c r="A2912" s="73"/>
      <c r="B2912" s="2"/>
      <c r="C2912" s="2"/>
      <c r="D2912" s="2"/>
      <c r="E2912" s="4"/>
      <c r="F2912" s="4"/>
      <c r="G2912" s="4"/>
      <c r="H2912" s="61"/>
      <c r="I2912" s="62"/>
      <c r="J2912" s="62"/>
      <c r="K2912" s="78"/>
      <c r="L2912" s="57"/>
      <c r="M2912" s="57"/>
    </row>
    <row r="2913" spans="1:13" ht="15" customHeight="1">
      <c r="A2913" s="73"/>
      <c r="B2913" s="2"/>
      <c r="C2913" s="2"/>
      <c r="D2913" s="2"/>
      <c r="E2913" s="4"/>
      <c r="F2913" s="4"/>
      <c r="G2913" s="4"/>
      <c r="H2913" s="61"/>
      <c r="I2913" s="62"/>
      <c r="J2913" s="62"/>
      <c r="K2913" s="78"/>
      <c r="L2913" s="57"/>
      <c r="M2913" s="57"/>
    </row>
    <row r="2914" spans="1:13" ht="15" customHeight="1">
      <c r="A2914" s="73"/>
      <c r="B2914" s="2"/>
      <c r="C2914" s="2"/>
      <c r="D2914" s="2"/>
      <c r="E2914" s="4"/>
      <c r="F2914" s="4"/>
      <c r="G2914" s="4"/>
      <c r="H2914" s="61"/>
      <c r="I2914" s="62"/>
      <c r="J2914" s="62"/>
      <c r="K2914" s="78"/>
      <c r="L2914" s="57"/>
      <c r="M2914" s="57"/>
    </row>
    <row r="2915" spans="1:13" ht="15" customHeight="1">
      <c r="A2915" s="73"/>
      <c r="B2915" s="2"/>
      <c r="C2915" s="2"/>
      <c r="D2915" s="2"/>
      <c r="E2915" s="4"/>
      <c r="F2915" s="4"/>
      <c r="G2915" s="4"/>
      <c r="H2915" s="61"/>
      <c r="I2915" s="62"/>
      <c r="J2915" s="62"/>
      <c r="K2915" s="78"/>
      <c r="L2915" s="57"/>
      <c r="M2915" s="57"/>
    </row>
    <row r="2916" spans="1:13" ht="15" customHeight="1">
      <c r="A2916" s="73"/>
      <c r="B2916" s="2"/>
      <c r="C2916" s="2"/>
      <c r="D2916" s="2"/>
      <c r="E2916" s="4"/>
      <c r="F2916" s="4"/>
      <c r="G2916" s="4"/>
      <c r="H2916" s="61"/>
      <c r="I2916" s="62"/>
      <c r="J2916" s="62"/>
      <c r="K2916" s="78"/>
      <c r="L2916" s="57"/>
      <c r="M2916" s="57"/>
    </row>
    <row r="2917" spans="1:13" ht="15" customHeight="1">
      <c r="A2917" s="73"/>
      <c r="B2917" s="2"/>
      <c r="C2917" s="2"/>
      <c r="D2917" s="2"/>
      <c r="E2917" s="4"/>
      <c r="F2917" s="4"/>
      <c r="G2917" s="4"/>
      <c r="H2917" s="61"/>
      <c r="I2917" s="62"/>
      <c r="J2917" s="62"/>
      <c r="K2917" s="78"/>
      <c r="L2917" s="57"/>
      <c r="M2917" s="57"/>
    </row>
    <row r="2918" spans="1:13" ht="15" customHeight="1">
      <c r="A2918" s="73"/>
      <c r="B2918" s="2"/>
      <c r="C2918" s="2"/>
      <c r="D2918" s="2"/>
      <c r="E2918" s="4"/>
      <c r="F2918" s="4"/>
      <c r="G2918" s="4"/>
      <c r="H2918" s="61"/>
      <c r="I2918" s="62"/>
      <c r="J2918" s="62"/>
      <c r="K2918" s="78"/>
      <c r="L2918" s="57"/>
      <c r="M2918" s="57"/>
    </row>
    <row r="2919" spans="1:13" ht="15" customHeight="1">
      <c r="A2919" s="73"/>
      <c r="B2919" s="2"/>
      <c r="C2919" s="2"/>
      <c r="D2919" s="2"/>
      <c r="E2919" s="4"/>
      <c r="F2919" s="4"/>
      <c r="G2919" s="4"/>
      <c r="H2919" s="61"/>
      <c r="I2919" s="62"/>
      <c r="J2919" s="62"/>
      <c r="K2919" s="78"/>
      <c r="L2919" s="57"/>
      <c r="M2919" s="57"/>
    </row>
    <row r="2920" spans="1:13" ht="15" customHeight="1">
      <c r="A2920" s="73"/>
      <c r="B2920" s="2"/>
      <c r="C2920" s="2"/>
      <c r="D2920" s="2"/>
      <c r="E2920" s="4"/>
      <c r="F2920" s="4"/>
      <c r="G2920" s="4"/>
      <c r="H2920" s="61"/>
      <c r="I2920" s="62"/>
      <c r="J2920" s="62"/>
      <c r="K2920" s="78"/>
      <c r="L2920" s="57"/>
      <c r="M2920" s="57"/>
    </row>
    <row r="2921" spans="1:13" ht="15" customHeight="1">
      <c r="A2921" s="73"/>
      <c r="B2921" s="2"/>
      <c r="C2921" s="2"/>
      <c r="D2921" s="2"/>
      <c r="E2921" s="4"/>
      <c r="F2921" s="4"/>
      <c r="G2921" s="4"/>
      <c r="H2921" s="61"/>
      <c r="I2921" s="62"/>
      <c r="J2921" s="62"/>
      <c r="K2921" s="78"/>
      <c r="L2921" s="57"/>
      <c r="M2921" s="57"/>
    </row>
    <row r="2922" spans="1:13" ht="15" customHeight="1">
      <c r="A2922" s="73"/>
      <c r="B2922" s="2"/>
      <c r="C2922" s="2"/>
      <c r="D2922" s="2"/>
      <c r="E2922" s="4"/>
      <c r="F2922" s="4"/>
      <c r="G2922" s="4"/>
      <c r="H2922" s="61"/>
      <c r="I2922" s="62"/>
      <c r="J2922" s="62"/>
      <c r="K2922" s="78"/>
      <c r="L2922" s="57"/>
      <c r="M2922" s="57"/>
    </row>
    <row r="2923" spans="1:13" ht="15" customHeight="1">
      <c r="A2923" s="73"/>
      <c r="B2923" s="2"/>
      <c r="C2923" s="2"/>
      <c r="D2923" s="2"/>
      <c r="E2923" s="4"/>
      <c r="F2923" s="4"/>
      <c r="G2923" s="4"/>
      <c r="H2923" s="61"/>
      <c r="I2923" s="62"/>
      <c r="J2923" s="62"/>
      <c r="K2923" s="78"/>
      <c r="L2923" s="57"/>
      <c r="M2923" s="57"/>
    </row>
    <row r="2924" spans="1:13" ht="15" customHeight="1">
      <c r="A2924" s="73"/>
      <c r="B2924" s="2"/>
      <c r="C2924" s="2"/>
      <c r="D2924" s="2"/>
      <c r="E2924" s="4"/>
      <c r="F2924" s="4"/>
      <c r="G2924" s="4"/>
      <c r="H2924" s="61"/>
      <c r="I2924" s="62"/>
      <c r="J2924" s="62"/>
      <c r="K2924" s="78"/>
      <c r="L2924" s="57"/>
      <c r="M2924" s="57"/>
    </row>
    <row r="2925" spans="1:13" ht="15" customHeight="1">
      <c r="A2925" s="73"/>
      <c r="B2925" s="2"/>
      <c r="C2925" s="2"/>
      <c r="D2925" s="2"/>
      <c r="E2925" s="4"/>
      <c r="F2925" s="4"/>
      <c r="G2925" s="4"/>
      <c r="H2925" s="61"/>
      <c r="I2925" s="62"/>
      <c r="J2925" s="62"/>
      <c r="K2925" s="78"/>
      <c r="L2925" s="57"/>
      <c r="M2925" s="57"/>
    </row>
    <row r="2926" spans="1:13" ht="15" customHeight="1">
      <c r="A2926" s="73"/>
      <c r="B2926" s="2"/>
      <c r="C2926" s="2"/>
      <c r="D2926" s="2"/>
      <c r="E2926" s="4"/>
      <c r="F2926" s="4"/>
      <c r="G2926" s="4"/>
      <c r="H2926" s="61"/>
      <c r="I2926" s="62"/>
      <c r="J2926" s="62"/>
      <c r="K2926" s="78"/>
      <c r="L2926" s="57"/>
      <c r="M2926" s="57"/>
    </row>
    <row r="2927" spans="1:13" ht="15" customHeight="1">
      <c r="A2927" s="73"/>
      <c r="B2927" s="2"/>
      <c r="C2927" s="2"/>
      <c r="D2927" s="2"/>
      <c r="E2927" s="4"/>
      <c r="F2927" s="4"/>
      <c r="G2927" s="4"/>
      <c r="H2927" s="61"/>
      <c r="I2927" s="62"/>
      <c r="J2927" s="62"/>
      <c r="K2927" s="78"/>
      <c r="L2927" s="57"/>
      <c r="M2927" s="57"/>
    </row>
    <row r="2928" spans="1:13" ht="15" customHeight="1">
      <c r="A2928" s="73"/>
      <c r="B2928" s="2"/>
      <c r="C2928" s="2"/>
      <c r="D2928" s="2"/>
      <c r="E2928" s="4"/>
      <c r="F2928" s="4"/>
      <c r="G2928" s="4"/>
      <c r="H2928" s="61"/>
      <c r="I2928" s="62"/>
      <c r="J2928" s="62"/>
      <c r="K2928" s="78"/>
      <c r="L2928" s="57"/>
      <c r="M2928" s="57"/>
    </row>
    <row r="2929" spans="1:13" ht="15" customHeight="1">
      <c r="A2929" s="73"/>
      <c r="B2929" s="2"/>
      <c r="C2929" s="2"/>
      <c r="D2929" s="2"/>
      <c r="E2929" s="4"/>
      <c r="F2929" s="4"/>
      <c r="G2929" s="4"/>
      <c r="H2929" s="61"/>
      <c r="I2929" s="62"/>
      <c r="J2929" s="62"/>
      <c r="K2929" s="78"/>
      <c r="L2929" s="57"/>
      <c r="M2929" s="57"/>
    </row>
    <row r="2930" spans="1:13" ht="15" customHeight="1">
      <c r="A2930" s="73"/>
      <c r="B2930" s="2"/>
      <c r="C2930" s="2"/>
      <c r="D2930" s="2"/>
      <c r="E2930" s="4"/>
      <c r="F2930" s="4"/>
      <c r="G2930" s="4"/>
      <c r="H2930" s="61"/>
      <c r="I2930" s="62"/>
      <c r="J2930" s="62"/>
      <c r="K2930" s="78"/>
      <c r="L2930" s="57"/>
      <c r="M2930" s="57"/>
    </row>
    <row r="2931" spans="1:13" ht="15" customHeight="1">
      <c r="A2931" s="73"/>
      <c r="B2931" s="2"/>
      <c r="C2931" s="2"/>
      <c r="D2931" s="2"/>
      <c r="E2931" s="4"/>
      <c r="F2931" s="4"/>
      <c r="G2931" s="4"/>
      <c r="H2931" s="61"/>
      <c r="I2931" s="62"/>
      <c r="J2931" s="62"/>
      <c r="K2931" s="78"/>
      <c r="L2931" s="57"/>
      <c r="M2931" s="57"/>
    </row>
    <row r="2932" spans="1:13" ht="15" customHeight="1">
      <c r="A2932" s="73"/>
      <c r="B2932" s="2"/>
      <c r="C2932" s="2"/>
      <c r="D2932" s="2"/>
      <c r="E2932" s="4"/>
      <c r="F2932" s="4"/>
      <c r="G2932" s="4"/>
      <c r="H2932" s="61"/>
      <c r="I2932" s="62"/>
      <c r="J2932" s="62"/>
      <c r="K2932" s="78"/>
      <c r="L2932" s="57"/>
      <c r="M2932" s="57"/>
    </row>
    <row r="2933" spans="1:13" ht="15" customHeight="1">
      <c r="A2933" s="73"/>
      <c r="B2933" s="2"/>
      <c r="C2933" s="2"/>
      <c r="D2933" s="2"/>
      <c r="E2933" s="63"/>
      <c r="F2933" s="4"/>
      <c r="G2933" s="4"/>
      <c r="H2933" s="61"/>
      <c r="I2933" s="62"/>
      <c r="J2933" s="62"/>
      <c r="K2933" s="78"/>
      <c r="L2933" s="57"/>
      <c r="M2933" s="57"/>
    </row>
    <row r="2934" spans="1:13" ht="15" customHeight="1">
      <c r="A2934" s="73"/>
      <c r="B2934" s="2"/>
      <c r="C2934" s="2"/>
      <c r="D2934" s="2"/>
      <c r="E2934" s="4"/>
      <c r="F2934" s="4"/>
      <c r="G2934" s="4"/>
      <c r="H2934" s="61"/>
      <c r="I2934" s="62"/>
      <c r="J2934" s="62"/>
      <c r="K2934" s="78"/>
      <c r="L2934" s="57"/>
      <c r="M2934" s="57"/>
    </row>
    <row r="2935" spans="1:13" ht="15" customHeight="1">
      <c r="A2935" s="73"/>
      <c r="B2935" s="2"/>
      <c r="C2935" s="2"/>
      <c r="D2935" s="2"/>
      <c r="E2935" s="4"/>
      <c r="F2935" s="4"/>
      <c r="G2935" s="4"/>
      <c r="H2935" s="61"/>
      <c r="I2935" s="62"/>
      <c r="J2935" s="62"/>
      <c r="K2935" s="78"/>
      <c r="L2935" s="57"/>
      <c r="M2935" s="57"/>
    </row>
    <row r="2936" spans="1:13" ht="15" customHeight="1">
      <c r="A2936" s="73"/>
      <c r="B2936" s="2"/>
      <c r="C2936" s="2"/>
      <c r="D2936" s="2"/>
      <c r="E2936" s="4"/>
      <c r="F2936" s="4"/>
      <c r="G2936" s="4"/>
      <c r="H2936" s="61"/>
      <c r="I2936" s="62"/>
      <c r="J2936" s="62"/>
      <c r="K2936" s="78"/>
      <c r="L2936" s="57"/>
      <c r="M2936" s="57"/>
    </row>
    <row r="2937" spans="1:13" ht="15" customHeight="1">
      <c r="A2937" s="73"/>
      <c r="B2937" s="2"/>
      <c r="C2937" s="2"/>
      <c r="D2937" s="2"/>
      <c r="E2937" s="4"/>
      <c r="F2937" s="4"/>
      <c r="G2937" s="4"/>
      <c r="H2937" s="61"/>
      <c r="I2937" s="62"/>
      <c r="J2937" s="62"/>
      <c r="K2937" s="78"/>
      <c r="L2937" s="57"/>
      <c r="M2937" s="57"/>
    </row>
    <row r="2938" spans="1:13" ht="15" customHeight="1">
      <c r="A2938" s="73"/>
      <c r="B2938" s="2"/>
      <c r="C2938" s="2"/>
      <c r="D2938" s="2"/>
      <c r="E2938" s="4"/>
      <c r="F2938" s="4"/>
      <c r="G2938" s="4"/>
      <c r="H2938" s="61"/>
      <c r="I2938" s="62"/>
      <c r="J2938" s="62"/>
      <c r="K2938" s="78"/>
      <c r="L2938" s="57"/>
      <c r="M2938" s="57"/>
    </row>
    <row r="2939" spans="1:13" ht="15" customHeight="1">
      <c r="A2939" s="73"/>
      <c r="B2939" s="2"/>
      <c r="C2939" s="2"/>
      <c r="D2939" s="2"/>
      <c r="E2939" s="4"/>
      <c r="F2939" s="4"/>
      <c r="G2939" s="4"/>
      <c r="H2939" s="61"/>
      <c r="I2939" s="62"/>
      <c r="J2939" s="62"/>
      <c r="K2939" s="78"/>
      <c r="L2939" s="57"/>
      <c r="M2939" s="57"/>
    </row>
    <row r="2940" spans="1:13" ht="15" customHeight="1">
      <c r="A2940" s="73"/>
      <c r="B2940" s="2"/>
      <c r="C2940" s="2"/>
      <c r="D2940" s="2"/>
      <c r="E2940" s="63"/>
      <c r="F2940" s="4"/>
      <c r="G2940" s="4"/>
      <c r="H2940" s="61"/>
      <c r="I2940" s="62"/>
      <c r="J2940" s="62"/>
      <c r="K2940" s="78"/>
      <c r="L2940" s="57"/>
      <c r="M2940" s="57"/>
    </row>
    <row r="2941" spans="1:13" ht="15" customHeight="1">
      <c r="A2941" s="73"/>
      <c r="B2941" s="2"/>
      <c r="C2941" s="2"/>
      <c r="D2941" s="2"/>
      <c r="E2941" s="4"/>
      <c r="F2941" s="4"/>
      <c r="G2941" s="4"/>
      <c r="H2941" s="61"/>
      <c r="I2941" s="62"/>
      <c r="J2941" s="62"/>
      <c r="K2941" s="78"/>
      <c r="L2941" s="57"/>
      <c r="M2941" s="57"/>
    </row>
    <row r="2942" spans="1:13" ht="15" customHeight="1">
      <c r="A2942" s="73"/>
      <c r="B2942" s="2"/>
      <c r="C2942" s="2"/>
      <c r="D2942" s="2"/>
      <c r="E2942" s="4"/>
      <c r="F2942" s="4"/>
      <c r="G2942" s="4"/>
      <c r="H2942" s="61"/>
      <c r="I2942" s="62"/>
      <c r="J2942" s="62"/>
      <c r="K2942" s="78"/>
      <c r="L2942" s="57"/>
      <c r="M2942" s="57"/>
    </row>
    <row r="2943" spans="1:13" ht="15" customHeight="1">
      <c r="A2943" s="73"/>
      <c r="B2943" s="2"/>
      <c r="C2943" s="2"/>
      <c r="D2943" s="2"/>
      <c r="E2943" s="63"/>
      <c r="F2943" s="4"/>
      <c r="G2943" s="4"/>
      <c r="H2943" s="61"/>
      <c r="I2943" s="62"/>
      <c r="J2943" s="62"/>
      <c r="K2943" s="78"/>
      <c r="L2943" s="57"/>
      <c r="M2943" s="57"/>
    </row>
    <row r="2944" spans="1:13" ht="15" customHeight="1">
      <c r="A2944" s="73"/>
      <c r="B2944" s="2"/>
      <c r="C2944" s="2"/>
      <c r="D2944" s="2"/>
      <c r="E2944" s="63"/>
      <c r="F2944" s="4"/>
      <c r="G2944" s="4"/>
      <c r="H2944" s="61"/>
      <c r="I2944" s="62"/>
      <c r="J2944" s="62"/>
      <c r="K2944" s="78"/>
      <c r="L2944" s="57"/>
      <c r="M2944" s="57"/>
    </row>
    <row r="2945" spans="1:13" ht="15" customHeight="1">
      <c r="A2945" s="73"/>
      <c r="B2945" s="2"/>
      <c r="C2945" s="2"/>
      <c r="D2945" s="2"/>
      <c r="E2945" s="4"/>
      <c r="F2945" s="4"/>
      <c r="G2945" s="4"/>
      <c r="H2945" s="61"/>
      <c r="I2945" s="62"/>
      <c r="J2945" s="62"/>
      <c r="K2945" s="78"/>
      <c r="L2945" s="57"/>
      <c r="M2945" s="57"/>
    </row>
    <row r="2946" spans="1:13" ht="15" customHeight="1">
      <c r="A2946" s="73"/>
      <c r="B2946" s="2"/>
      <c r="C2946" s="2"/>
      <c r="D2946" s="2"/>
      <c r="E2946" s="63"/>
      <c r="F2946" s="4"/>
      <c r="G2946" s="4"/>
      <c r="H2946" s="61"/>
      <c r="I2946" s="62"/>
      <c r="J2946" s="62"/>
      <c r="K2946" s="78"/>
      <c r="L2946" s="57"/>
      <c r="M2946" s="57"/>
    </row>
    <row r="2947" spans="1:13" ht="15" customHeight="1">
      <c r="A2947" s="73"/>
      <c r="B2947" s="2"/>
      <c r="C2947" s="2"/>
      <c r="D2947" s="2"/>
      <c r="E2947" s="4"/>
      <c r="F2947" s="4"/>
      <c r="G2947" s="4"/>
      <c r="H2947" s="61"/>
      <c r="I2947" s="62"/>
      <c r="J2947" s="62"/>
      <c r="K2947" s="78"/>
      <c r="L2947" s="57"/>
      <c r="M2947" s="57"/>
    </row>
    <row r="2948" spans="1:13" ht="15" customHeight="1">
      <c r="A2948" s="73"/>
      <c r="B2948" s="2"/>
      <c r="C2948" s="2"/>
      <c r="D2948" s="2"/>
      <c r="E2948" s="63"/>
      <c r="F2948" s="4"/>
      <c r="G2948" s="4"/>
      <c r="H2948" s="61"/>
      <c r="I2948" s="62"/>
      <c r="J2948" s="62"/>
      <c r="K2948" s="78"/>
      <c r="L2948" s="57"/>
      <c r="M2948" s="57"/>
    </row>
    <row r="2949" spans="1:13" ht="15" customHeight="1">
      <c r="A2949" s="73"/>
      <c r="B2949" s="2"/>
      <c r="C2949" s="2"/>
      <c r="D2949" s="2"/>
      <c r="E2949" s="4"/>
      <c r="F2949" s="4"/>
      <c r="G2949" s="4"/>
      <c r="H2949" s="61"/>
      <c r="I2949" s="62"/>
      <c r="J2949" s="62"/>
      <c r="K2949" s="78"/>
      <c r="L2949" s="57"/>
      <c r="M2949" s="57"/>
    </row>
    <row r="2950" spans="1:13" ht="15" customHeight="1">
      <c r="A2950" s="73"/>
      <c r="B2950" s="2"/>
      <c r="C2950" s="2"/>
      <c r="D2950" s="2"/>
      <c r="E2950" s="4"/>
      <c r="F2950" s="4"/>
      <c r="G2950" s="4"/>
      <c r="H2950" s="61"/>
      <c r="I2950" s="62"/>
      <c r="J2950" s="62"/>
      <c r="K2950" s="78"/>
      <c r="L2950" s="57"/>
      <c r="M2950" s="57"/>
    </row>
    <row r="2951" spans="1:13" ht="15" customHeight="1">
      <c r="A2951" s="73"/>
      <c r="B2951" s="2"/>
      <c r="C2951" s="2"/>
      <c r="D2951" s="2"/>
      <c r="E2951" s="4"/>
      <c r="F2951" s="4"/>
      <c r="G2951" s="4"/>
      <c r="H2951" s="61"/>
      <c r="I2951" s="62"/>
      <c r="J2951" s="62"/>
      <c r="K2951" s="78"/>
      <c r="L2951" s="57"/>
      <c r="M2951" s="57"/>
    </row>
    <row r="2952" spans="1:13" ht="15" customHeight="1">
      <c r="A2952" s="73"/>
      <c r="B2952" s="2"/>
      <c r="C2952" s="2"/>
      <c r="D2952" s="2"/>
      <c r="E2952" s="4"/>
      <c r="F2952" s="4"/>
      <c r="G2952" s="4"/>
      <c r="H2952" s="61"/>
      <c r="I2952" s="62"/>
      <c r="J2952" s="62"/>
      <c r="K2952" s="78"/>
      <c r="L2952" s="57"/>
      <c r="M2952" s="57"/>
    </row>
    <row r="2953" spans="1:13" ht="15" customHeight="1">
      <c r="A2953" s="73"/>
      <c r="B2953" s="2"/>
      <c r="C2953" s="2"/>
      <c r="D2953" s="2"/>
      <c r="E2953" s="4"/>
      <c r="F2953" s="4"/>
      <c r="G2953" s="4"/>
      <c r="H2953" s="61"/>
      <c r="I2953" s="62"/>
      <c r="J2953" s="62"/>
      <c r="K2953" s="78"/>
      <c r="L2953" s="57"/>
      <c r="M2953" s="57"/>
    </row>
    <row r="2954" spans="1:13" ht="15" customHeight="1">
      <c r="A2954" s="73"/>
      <c r="B2954" s="2"/>
      <c r="C2954" s="2"/>
      <c r="D2954" s="2"/>
      <c r="E2954" s="63"/>
      <c r="F2954" s="4"/>
      <c r="G2954" s="4"/>
      <c r="H2954" s="61"/>
      <c r="I2954" s="62"/>
      <c r="J2954" s="62"/>
      <c r="K2954" s="78"/>
      <c r="L2954" s="57"/>
      <c r="M2954" s="57"/>
    </row>
    <row r="2955" spans="1:13" ht="15" customHeight="1">
      <c r="A2955" s="73"/>
      <c r="B2955" s="2"/>
      <c r="C2955" s="2"/>
      <c r="D2955" s="2"/>
      <c r="E2955" s="4"/>
      <c r="F2955" s="4"/>
      <c r="G2955" s="4"/>
      <c r="H2955" s="61"/>
      <c r="I2955" s="62"/>
      <c r="J2955" s="62"/>
      <c r="K2955" s="78"/>
      <c r="L2955" s="57"/>
      <c r="M2955" s="57"/>
    </row>
    <row r="2956" spans="1:13" ht="15" customHeight="1">
      <c r="A2956" s="73"/>
      <c r="B2956" s="2"/>
      <c r="C2956" s="2"/>
      <c r="D2956" s="2"/>
      <c r="E2956" s="4"/>
      <c r="F2956" s="4"/>
      <c r="G2956" s="4"/>
      <c r="H2956" s="61"/>
      <c r="I2956" s="62"/>
      <c r="J2956" s="62"/>
      <c r="K2956" s="78"/>
      <c r="L2956" s="57"/>
      <c r="M2956" s="57"/>
    </row>
    <row r="2957" spans="1:13" ht="15" customHeight="1">
      <c r="A2957" s="73"/>
      <c r="B2957" s="2"/>
      <c r="C2957" s="2"/>
      <c r="D2957" s="2"/>
      <c r="E2957" s="4"/>
      <c r="F2957" s="4"/>
      <c r="G2957" s="4"/>
      <c r="H2957" s="61"/>
      <c r="I2957" s="62"/>
      <c r="J2957" s="62"/>
      <c r="K2957" s="78"/>
      <c r="L2957" s="57"/>
      <c r="M2957" s="57"/>
    </row>
    <row r="2958" spans="1:13" ht="15" customHeight="1">
      <c r="A2958" s="73"/>
      <c r="B2958" s="2"/>
      <c r="C2958" s="2"/>
      <c r="D2958" s="2"/>
      <c r="E2958" s="4"/>
      <c r="F2958" s="4"/>
      <c r="G2958" s="4"/>
      <c r="H2958" s="61"/>
      <c r="I2958" s="62"/>
      <c r="J2958" s="62"/>
      <c r="K2958" s="78"/>
      <c r="L2958" s="57"/>
      <c r="M2958" s="57"/>
    </row>
    <row r="2959" spans="1:13" ht="15" customHeight="1">
      <c r="A2959" s="73"/>
      <c r="B2959" s="2"/>
      <c r="C2959" s="2"/>
      <c r="D2959" s="2"/>
      <c r="E2959" s="4"/>
      <c r="F2959" s="4"/>
      <c r="G2959" s="4"/>
      <c r="H2959" s="61"/>
      <c r="I2959" s="62"/>
      <c r="J2959" s="62"/>
      <c r="K2959" s="78"/>
      <c r="L2959" s="57"/>
      <c r="M2959" s="57"/>
    </row>
    <row r="2960" spans="1:13" ht="15" customHeight="1">
      <c r="A2960" s="73"/>
      <c r="B2960" s="2"/>
      <c r="C2960" s="2"/>
      <c r="D2960" s="2"/>
      <c r="E2960" s="4"/>
      <c r="F2960" s="4"/>
      <c r="G2960" s="4"/>
      <c r="H2960" s="61"/>
      <c r="I2960" s="62"/>
      <c r="J2960" s="62"/>
      <c r="K2960" s="78"/>
      <c r="L2960" s="57"/>
      <c r="M2960" s="57"/>
    </row>
    <row r="2961" spans="1:13" ht="15" customHeight="1">
      <c r="A2961" s="73"/>
      <c r="B2961" s="2"/>
      <c r="C2961" s="2"/>
      <c r="D2961" s="2"/>
      <c r="E2961" s="4"/>
      <c r="F2961" s="4"/>
      <c r="G2961" s="4"/>
      <c r="H2961" s="61"/>
      <c r="I2961" s="62"/>
      <c r="J2961" s="62"/>
      <c r="K2961" s="78"/>
      <c r="L2961" s="57"/>
      <c r="M2961" s="57"/>
    </row>
    <row r="2962" spans="1:13" ht="15" customHeight="1">
      <c r="A2962" s="73"/>
      <c r="B2962" s="2"/>
      <c r="C2962" s="2"/>
      <c r="D2962" s="2"/>
      <c r="E2962" s="4"/>
      <c r="F2962" s="4"/>
      <c r="G2962" s="4"/>
      <c r="H2962" s="61"/>
      <c r="I2962" s="62"/>
      <c r="J2962" s="62"/>
      <c r="K2962" s="78"/>
      <c r="L2962" s="57"/>
      <c r="M2962" s="57"/>
    </row>
    <row r="2963" spans="1:13" ht="15" customHeight="1">
      <c r="A2963" s="73"/>
      <c r="B2963" s="2"/>
      <c r="C2963" s="2"/>
      <c r="D2963" s="2"/>
      <c r="E2963" s="4"/>
      <c r="F2963" s="4"/>
      <c r="G2963" s="4"/>
      <c r="H2963" s="61"/>
      <c r="I2963" s="62"/>
      <c r="J2963" s="62"/>
      <c r="K2963" s="78"/>
      <c r="L2963" s="57"/>
      <c r="M2963" s="57"/>
    </row>
    <row r="2964" spans="1:13" ht="15" customHeight="1">
      <c r="A2964" s="73"/>
      <c r="B2964" s="2"/>
      <c r="C2964" s="2"/>
      <c r="D2964" s="2"/>
      <c r="E2964" s="4"/>
      <c r="F2964" s="4"/>
      <c r="G2964" s="4"/>
      <c r="H2964" s="61"/>
      <c r="I2964" s="62"/>
      <c r="J2964" s="62"/>
      <c r="K2964" s="78"/>
      <c r="L2964" s="57"/>
      <c r="M2964" s="57"/>
    </row>
    <row r="2965" spans="1:13" ht="15" customHeight="1">
      <c r="A2965" s="73"/>
      <c r="B2965" s="2"/>
      <c r="C2965" s="2"/>
      <c r="D2965" s="2"/>
      <c r="E2965" s="4"/>
      <c r="F2965" s="4"/>
      <c r="G2965" s="4"/>
      <c r="H2965" s="61"/>
      <c r="I2965" s="62"/>
      <c r="J2965" s="62"/>
      <c r="K2965" s="78"/>
      <c r="L2965" s="57"/>
      <c r="M2965" s="57"/>
    </row>
    <row r="2966" spans="1:13" ht="15" customHeight="1">
      <c r="A2966" s="73"/>
      <c r="B2966" s="2"/>
      <c r="C2966" s="2"/>
      <c r="D2966" s="2"/>
      <c r="E2966" s="4"/>
      <c r="F2966" s="4"/>
      <c r="G2966" s="4"/>
      <c r="H2966" s="61"/>
      <c r="I2966" s="62"/>
      <c r="J2966" s="62"/>
      <c r="K2966" s="78"/>
      <c r="L2966" s="57"/>
      <c r="M2966" s="57"/>
    </row>
    <row r="2967" spans="1:13" ht="15" customHeight="1">
      <c r="A2967" s="73"/>
      <c r="B2967" s="2"/>
      <c r="C2967" s="2"/>
      <c r="D2967" s="2"/>
      <c r="E2967" s="4"/>
      <c r="F2967" s="4"/>
      <c r="G2967" s="4"/>
      <c r="H2967" s="61"/>
      <c r="I2967" s="62"/>
      <c r="J2967" s="62"/>
      <c r="K2967" s="78"/>
      <c r="L2967" s="57"/>
      <c r="M2967" s="57"/>
    </row>
    <row r="2968" spans="1:13" ht="15" customHeight="1">
      <c r="A2968" s="73"/>
      <c r="B2968" s="2"/>
      <c r="C2968" s="2"/>
      <c r="D2968" s="2"/>
      <c r="E2968" s="4"/>
      <c r="F2968" s="4"/>
      <c r="G2968" s="4"/>
      <c r="H2968" s="61"/>
      <c r="I2968" s="62"/>
      <c r="J2968" s="62"/>
      <c r="K2968" s="78"/>
      <c r="L2968" s="57"/>
      <c r="M2968" s="57"/>
    </row>
    <row r="2969" spans="1:13" ht="15" customHeight="1">
      <c r="A2969" s="73"/>
      <c r="B2969" s="2"/>
      <c r="C2969" s="2"/>
      <c r="D2969" s="2"/>
      <c r="E2969" s="4"/>
      <c r="F2969" s="4"/>
      <c r="G2969" s="4"/>
      <c r="H2969" s="61"/>
      <c r="I2969" s="62"/>
      <c r="J2969" s="62"/>
      <c r="K2969" s="78"/>
      <c r="L2969" s="57"/>
      <c r="M2969" s="57"/>
    </row>
    <row r="2970" spans="1:13" ht="15" customHeight="1">
      <c r="A2970" s="73"/>
      <c r="B2970" s="2"/>
      <c r="C2970" s="2"/>
      <c r="D2970" s="2"/>
      <c r="E2970" s="4"/>
      <c r="F2970" s="4"/>
      <c r="G2970" s="4"/>
      <c r="H2970" s="61"/>
      <c r="I2970" s="62"/>
      <c r="J2970" s="62"/>
      <c r="K2970" s="78"/>
      <c r="L2970" s="57"/>
      <c r="M2970" s="57"/>
    </row>
    <row r="2971" spans="1:13" ht="15" customHeight="1">
      <c r="A2971" s="73"/>
      <c r="B2971" s="2"/>
      <c r="C2971" s="2"/>
      <c r="D2971" s="2"/>
      <c r="E2971" s="4"/>
      <c r="F2971" s="4"/>
      <c r="G2971" s="4"/>
      <c r="H2971" s="61"/>
      <c r="I2971" s="62"/>
      <c r="J2971" s="62"/>
      <c r="K2971" s="78"/>
      <c r="L2971" s="57"/>
      <c r="M2971" s="57"/>
    </row>
    <row r="2972" spans="1:13" ht="15" customHeight="1">
      <c r="A2972" s="73"/>
      <c r="B2972" s="2"/>
      <c r="C2972" s="2"/>
      <c r="D2972" s="2"/>
      <c r="E2972" s="4"/>
      <c r="F2972" s="4"/>
      <c r="G2972" s="4"/>
      <c r="H2972" s="61"/>
      <c r="I2972" s="62"/>
      <c r="J2972" s="62"/>
      <c r="K2972" s="78"/>
      <c r="L2972" s="57"/>
      <c r="M2972" s="57"/>
    </row>
    <row r="2973" spans="1:13" ht="15" customHeight="1">
      <c r="A2973" s="73"/>
      <c r="B2973" s="2"/>
      <c r="C2973" s="2"/>
      <c r="D2973" s="2"/>
      <c r="E2973" s="4"/>
      <c r="F2973" s="4"/>
      <c r="G2973" s="4"/>
      <c r="H2973" s="61"/>
      <c r="I2973" s="62"/>
      <c r="J2973" s="62"/>
      <c r="K2973" s="78"/>
      <c r="L2973" s="57"/>
      <c r="M2973" s="57"/>
    </row>
    <row r="2974" spans="1:13" ht="15" customHeight="1">
      <c r="A2974" s="73"/>
      <c r="B2974" s="2"/>
      <c r="C2974" s="2"/>
      <c r="D2974" s="2"/>
      <c r="E2974" s="4"/>
      <c r="F2974" s="4"/>
      <c r="G2974" s="4"/>
      <c r="H2974" s="61"/>
      <c r="I2974" s="62"/>
      <c r="J2974" s="62"/>
      <c r="K2974" s="78"/>
      <c r="L2974" s="57"/>
      <c r="M2974" s="57"/>
    </row>
    <row r="2975" spans="1:13" ht="15" customHeight="1">
      <c r="A2975" s="73"/>
      <c r="B2975" s="2"/>
      <c r="C2975" s="2"/>
      <c r="D2975" s="2"/>
      <c r="E2975" s="4"/>
      <c r="F2975" s="4"/>
      <c r="G2975" s="4"/>
      <c r="H2975" s="61"/>
      <c r="I2975" s="62"/>
      <c r="J2975" s="62"/>
      <c r="K2975" s="78"/>
      <c r="L2975" s="57"/>
      <c r="M2975" s="57"/>
    </row>
    <row r="2976" spans="1:13" ht="15" customHeight="1">
      <c r="A2976" s="73"/>
      <c r="B2976" s="2"/>
      <c r="C2976" s="2"/>
      <c r="D2976" s="2"/>
      <c r="E2976" s="4"/>
      <c r="F2976" s="4"/>
      <c r="G2976" s="4"/>
      <c r="H2976" s="61"/>
      <c r="I2976" s="62"/>
      <c r="J2976" s="62"/>
      <c r="K2976" s="78"/>
      <c r="L2976" s="57"/>
      <c r="M2976" s="57"/>
    </row>
    <row r="2977" spans="1:13" ht="15" customHeight="1">
      <c r="A2977" s="73"/>
      <c r="B2977" s="2"/>
      <c r="C2977" s="2"/>
      <c r="D2977" s="2"/>
      <c r="E2977" s="63"/>
      <c r="F2977" s="4"/>
      <c r="G2977" s="4"/>
      <c r="H2977" s="61"/>
      <c r="I2977" s="62"/>
      <c r="J2977" s="62"/>
      <c r="K2977" s="78"/>
      <c r="L2977" s="57"/>
      <c r="M2977" s="57"/>
    </row>
    <row r="2978" spans="1:13" ht="15" customHeight="1">
      <c r="A2978" s="73"/>
      <c r="B2978" s="2"/>
      <c r="C2978" s="2"/>
      <c r="D2978" s="2"/>
      <c r="E2978" s="4"/>
      <c r="F2978" s="4"/>
      <c r="G2978" s="4"/>
      <c r="H2978" s="61"/>
      <c r="I2978" s="62"/>
      <c r="J2978" s="62"/>
      <c r="K2978" s="78"/>
      <c r="L2978" s="57"/>
      <c r="M2978" s="57"/>
    </row>
    <row r="2979" spans="1:13" ht="15" customHeight="1">
      <c r="A2979" s="73"/>
      <c r="B2979" s="2"/>
      <c r="C2979" s="2"/>
      <c r="D2979" s="2"/>
      <c r="E2979" s="4"/>
      <c r="F2979" s="4"/>
      <c r="G2979" s="4"/>
      <c r="H2979" s="61"/>
      <c r="I2979" s="62"/>
      <c r="J2979" s="62"/>
      <c r="K2979" s="78"/>
      <c r="L2979" s="57"/>
      <c r="M2979" s="57"/>
    </row>
    <row r="2980" spans="1:13" ht="15" customHeight="1">
      <c r="A2980" s="73"/>
      <c r="B2980" s="2"/>
      <c r="C2980" s="2"/>
      <c r="D2980" s="2"/>
      <c r="E2980" s="4"/>
      <c r="F2980" s="4"/>
      <c r="G2980" s="4"/>
      <c r="H2980" s="61"/>
      <c r="I2980" s="62"/>
      <c r="J2980" s="62"/>
      <c r="K2980" s="78"/>
      <c r="L2980" s="57"/>
      <c r="M2980" s="57"/>
    </row>
    <row r="2981" spans="1:13" ht="15" customHeight="1">
      <c r="A2981" s="73"/>
      <c r="B2981" s="2"/>
      <c r="C2981" s="2"/>
      <c r="D2981" s="2"/>
      <c r="E2981" s="4"/>
      <c r="F2981" s="4"/>
      <c r="G2981" s="4"/>
      <c r="H2981" s="61"/>
      <c r="I2981" s="62"/>
      <c r="J2981" s="62"/>
      <c r="K2981" s="78"/>
      <c r="L2981" s="57"/>
      <c r="M2981" s="57"/>
    </row>
    <row r="2982" spans="1:13" ht="15" customHeight="1">
      <c r="A2982" s="73"/>
      <c r="B2982" s="2"/>
      <c r="C2982" s="2"/>
      <c r="D2982" s="2"/>
      <c r="E2982" s="4"/>
      <c r="F2982" s="4"/>
      <c r="G2982" s="4"/>
      <c r="H2982" s="61"/>
      <c r="I2982" s="62"/>
      <c r="J2982" s="62"/>
      <c r="K2982" s="78"/>
      <c r="L2982" s="57"/>
      <c r="M2982" s="57"/>
    </row>
    <row r="2983" spans="1:13" ht="15" customHeight="1">
      <c r="A2983" s="73"/>
      <c r="B2983" s="2"/>
      <c r="C2983" s="2"/>
      <c r="D2983" s="2"/>
      <c r="E2983" s="4"/>
      <c r="F2983" s="4"/>
      <c r="G2983" s="4"/>
      <c r="H2983" s="61"/>
      <c r="I2983" s="62"/>
      <c r="J2983" s="62"/>
      <c r="K2983" s="78"/>
      <c r="L2983" s="57"/>
      <c r="M2983" s="57"/>
    </row>
    <row r="2984" spans="1:13" ht="15" customHeight="1">
      <c r="A2984" s="73"/>
      <c r="B2984" s="2"/>
      <c r="C2984" s="2"/>
      <c r="D2984" s="2"/>
      <c r="E2984" s="4"/>
      <c r="F2984" s="4"/>
      <c r="G2984" s="4"/>
      <c r="H2984" s="61"/>
      <c r="I2984" s="62"/>
      <c r="J2984" s="62"/>
      <c r="K2984" s="78"/>
      <c r="L2984" s="57"/>
      <c r="M2984" s="57"/>
    </row>
    <row r="2985" spans="1:13" ht="15" customHeight="1">
      <c r="A2985" s="73"/>
      <c r="B2985" s="2"/>
      <c r="C2985" s="2"/>
      <c r="D2985" s="2"/>
      <c r="E2985" s="4"/>
      <c r="F2985" s="4"/>
      <c r="G2985" s="4"/>
      <c r="H2985" s="61"/>
      <c r="I2985" s="62"/>
      <c r="J2985" s="62"/>
      <c r="K2985" s="78"/>
      <c r="L2985" s="57"/>
      <c r="M2985" s="57"/>
    </row>
    <row r="2986" spans="1:13" ht="15" customHeight="1">
      <c r="A2986" s="73"/>
      <c r="B2986" s="2"/>
      <c r="C2986" s="2"/>
      <c r="D2986" s="2"/>
      <c r="E2986" s="4"/>
      <c r="F2986" s="4"/>
      <c r="G2986" s="4"/>
      <c r="H2986" s="61"/>
      <c r="I2986" s="62"/>
      <c r="J2986" s="62"/>
      <c r="K2986" s="78"/>
      <c r="L2986" s="57"/>
      <c r="M2986" s="57"/>
    </row>
    <row r="2987" spans="1:13" ht="15" customHeight="1">
      <c r="A2987" s="73"/>
      <c r="B2987" s="2"/>
      <c r="C2987" s="2"/>
      <c r="D2987" s="2"/>
      <c r="E2987" s="4"/>
      <c r="F2987" s="4"/>
      <c r="G2987" s="4"/>
      <c r="H2987" s="61"/>
      <c r="I2987" s="62"/>
      <c r="J2987" s="62"/>
      <c r="K2987" s="78"/>
      <c r="L2987" s="57"/>
      <c r="M2987" s="57"/>
    </row>
    <row r="2988" spans="1:13" ht="15" customHeight="1">
      <c r="A2988" s="73"/>
      <c r="B2988" s="2"/>
      <c r="C2988" s="2"/>
      <c r="D2988" s="2"/>
      <c r="E2988" s="4"/>
      <c r="F2988" s="4"/>
      <c r="G2988" s="4"/>
      <c r="H2988" s="61"/>
      <c r="I2988" s="62"/>
      <c r="J2988" s="62"/>
      <c r="K2988" s="78"/>
      <c r="L2988" s="57"/>
      <c r="M2988" s="57"/>
    </row>
    <row r="2989" spans="1:13" ht="15" customHeight="1">
      <c r="A2989" s="73"/>
      <c r="B2989" s="2"/>
      <c r="C2989" s="2"/>
      <c r="D2989" s="2"/>
      <c r="E2989" s="4"/>
      <c r="F2989" s="4"/>
      <c r="G2989" s="4"/>
      <c r="H2989" s="61"/>
      <c r="I2989" s="62"/>
      <c r="J2989" s="62"/>
      <c r="K2989" s="78"/>
      <c r="L2989" s="57"/>
      <c r="M2989" s="57"/>
    </row>
    <row r="2990" spans="1:13" ht="15" customHeight="1">
      <c r="A2990" s="73"/>
      <c r="B2990" s="2"/>
      <c r="C2990" s="2"/>
      <c r="D2990" s="2"/>
      <c r="E2990" s="4"/>
      <c r="F2990" s="4"/>
      <c r="G2990" s="4"/>
      <c r="H2990" s="61"/>
      <c r="I2990" s="62"/>
      <c r="J2990" s="62"/>
      <c r="K2990" s="78"/>
      <c r="L2990" s="57"/>
      <c r="M2990" s="57"/>
    </row>
    <row r="2991" spans="1:13" ht="15" customHeight="1">
      <c r="A2991" s="73"/>
      <c r="B2991" s="2"/>
      <c r="C2991" s="2"/>
      <c r="D2991" s="2"/>
      <c r="E2991" s="4"/>
      <c r="F2991" s="4"/>
      <c r="G2991" s="4"/>
      <c r="H2991" s="61"/>
      <c r="I2991" s="62"/>
      <c r="J2991" s="62"/>
      <c r="K2991" s="78"/>
      <c r="L2991" s="57"/>
      <c r="M2991" s="57"/>
    </row>
    <row r="2992" spans="1:13" ht="15" customHeight="1">
      <c r="A2992" s="73"/>
      <c r="B2992" s="2"/>
      <c r="C2992" s="2"/>
      <c r="D2992" s="2"/>
      <c r="E2992" s="4"/>
      <c r="F2992" s="4"/>
      <c r="G2992" s="4"/>
      <c r="H2992" s="61"/>
      <c r="I2992" s="62"/>
      <c r="J2992" s="62"/>
      <c r="K2992" s="78"/>
      <c r="L2992" s="57"/>
      <c r="M2992" s="57"/>
    </row>
    <row r="2993" spans="1:13" ht="15" customHeight="1">
      <c r="A2993" s="73"/>
      <c r="B2993" s="2"/>
      <c r="C2993" s="2"/>
      <c r="D2993" s="2"/>
      <c r="E2993" s="4"/>
      <c r="F2993" s="4"/>
      <c r="G2993" s="4"/>
      <c r="H2993" s="61"/>
      <c r="I2993" s="62"/>
      <c r="J2993" s="62"/>
      <c r="K2993" s="78"/>
      <c r="L2993" s="57"/>
      <c r="M2993" s="57"/>
    </row>
    <row r="2994" spans="1:13" ht="15" customHeight="1">
      <c r="A2994" s="73"/>
      <c r="B2994" s="2"/>
      <c r="C2994" s="2"/>
      <c r="D2994" s="2"/>
      <c r="E2994" s="4"/>
      <c r="F2994" s="4"/>
      <c r="G2994" s="4"/>
      <c r="H2994" s="61"/>
      <c r="I2994" s="62"/>
      <c r="J2994" s="62"/>
      <c r="K2994" s="78"/>
      <c r="L2994" s="57"/>
      <c r="M2994" s="57"/>
    </row>
    <row r="2995" spans="1:13" ht="15" customHeight="1">
      <c r="A2995" s="73"/>
      <c r="B2995" s="2"/>
      <c r="C2995" s="2"/>
      <c r="D2995" s="2"/>
      <c r="E2995" s="4"/>
      <c r="F2995" s="4"/>
      <c r="G2995" s="4"/>
      <c r="H2995" s="61"/>
      <c r="I2995" s="62"/>
      <c r="J2995" s="62"/>
      <c r="K2995" s="78"/>
      <c r="L2995" s="57"/>
      <c r="M2995" s="57"/>
    </row>
    <row r="2996" spans="1:13" ht="15" customHeight="1">
      <c r="A2996" s="73"/>
      <c r="B2996" s="2"/>
      <c r="C2996" s="2"/>
      <c r="D2996" s="2"/>
      <c r="E2996" s="4"/>
      <c r="F2996" s="4"/>
      <c r="G2996" s="4"/>
      <c r="H2996" s="61"/>
      <c r="I2996" s="62"/>
      <c r="J2996" s="62"/>
      <c r="K2996" s="78"/>
      <c r="L2996" s="57"/>
      <c r="M2996" s="57"/>
    </row>
    <row r="2997" spans="1:13" ht="15" customHeight="1">
      <c r="A2997" s="73"/>
      <c r="B2997" s="2"/>
      <c r="C2997" s="2"/>
      <c r="D2997" s="2"/>
      <c r="E2997" s="63"/>
      <c r="F2997" s="4"/>
      <c r="G2997" s="4"/>
      <c r="H2997" s="61"/>
      <c r="I2997" s="62"/>
      <c r="J2997" s="62"/>
      <c r="K2997" s="78"/>
      <c r="L2997" s="57"/>
      <c r="M2997" s="57"/>
    </row>
    <row r="2998" spans="1:13" ht="15" customHeight="1">
      <c r="A2998" s="73"/>
      <c r="B2998" s="2"/>
      <c r="C2998" s="2"/>
      <c r="D2998" s="2"/>
      <c r="E2998" s="4"/>
      <c r="F2998" s="4"/>
      <c r="G2998" s="4"/>
      <c r="H2998" s="61"/>
      <c r="I2998" s="62"/>
      <c r="J2998" s="62"/>
      <c r="K2998" s="78"/>
      <c r="L2998" s="57"/>
      <c r="M2998" s="57"/>
    </row>
    <row r="2999" spans="1:13" ht="15" customHeight="1">
      <c r="A2999" s="73"/>
      <c r="B2999" s="2"/>
      <c r="C2999" s="2"/>
      <c r="D2999" s="2"/>
      <c r="E2999" s="4"/>
      <c r="F2999" s="4"/>
      <c r="G2999" s="4"/>
      <c r="H2999" s="61"/>
      <c r="I2999" s="62"/>
      <c r="J2999" s="62"/>
      <c r="K2999" s="78"/>
      <c r="L2999" s="57"/>
      <c r="M2999" s="57"/>
    </row>
    <row r="3000" spans="1:13" ht="15" customHeight="1">
      <c r="A3000" s="73"/>
      <c r="B3000" s="2"/>
      <c r="C3000" s="2"/>
      <c r="D3000" s="2"/>
      <c r="E3000" s="4"/>
      <c r="F3000" s="4"/>
      <c r="G3000" s="4"/>
      <c r="H3000" s="61"/>
      <c r="I3000" s="62"/>
      <c r="J3000" s="62"/>
      <c r="K3000" s="78"/>
      <c r="L3000" s="57"/>
      <c r="M3000" s="57"/>
    </row>
    <row r="3001" spans="1:13" ht="15" customHeight="1">
      <c r="A3001" s="73"/>
      <c r="B3001" s="2"/>
      <c r="C3001" s="2"/>
      <c r="D3001" s="2"/>
      <c r="E3001" s="4"/>
      <c r="F3001" s="4"/>
      <c r="G3001" s="4"/>
      <c r="H3001" s="61"/>
      <c r="I3001" s="62"/>
      <c r="J3001" s="62"/>
      <c r="K3001" s="78"/>
      <c r="L3001" s="57"/>
      <c r="M3001" s="57"/>
    </row>
    <row r="3002" spans="1:13" ht="15" customHeight="1">
      <c r="A3002" s="73"/>
      <c r="B3002" s="2"/>
      <c r="C3002" s="2"/>
      <c r="D3002" s="2"/>
      <c r="E3002" s="4"/>
      <c r="F3002" s="4"/>
      <c r="G3002" s="4"/>
      <c r="H3002" s="61"/>
      <c r="I3002" s="62"/>
      <c r="J3002" s="62"/>
      <c r="K3002" s="78"/>
      <c r="L3002" s="57"/>
      <c r="M3002" s="57"/>
    </row>
    <row r="3003" spans="1:13" ht="15" customHeight="1">
      <c r="A3003" s="73"/>
      <c r="B3003" s="2"/>
      <c r="C3003" s="2"/>
      <c r="D3003" s="2"/>
      <c r="E3003" s="4"/>
      <c r="F3003" s="4"/>
      <c r="G3003" s="4"/>
      <c r="H3003" s="61"/>
      <c r="I3003" s="62"/>
      <c r="J3003" s="62"/>
      <c r="K3003" s="78"/>
      <c r="L3003" s="57"/>
      <c r="M3003" s="57"/>
    </row>
    <row r="3004" spans="1:13" ht="15" customHeight="1">
      <c r="A3004" s="73"/>
      <c r="B3004" s="2"/>
      <c r="C3004" s="2"/>
      <c r="D3004" s="2"/>
      <c r="E3004" s="63"/>
      <c r="F3004" s="4"/>
      <c r="G3004" s="4"/>
      <c r="H3004" s="61"/>
      <c r="I3004" s="62"/>
      <c r="J3004" s="62"/>
      <c r="K3004" s="78"/>
      <c r="L3004" s="57"/>
      <c r="M3004" s="57"/>
    </row>
    <row r="3005" spans="1:13" ht="15" customHeight="1">
      <c r="A3005" s="73"/>
      <c r="B3005" s="2"/>
      <c r="C3005" s="2"/>
      <c r="D3005" s="2"/>
      <c r="E3005" s="4"/>
      <c r="F3005" s="4"/>
      <c r="G3005" s="4"/>
      <c r="H3005" s="61"/>
      <c r="I3005" s="62"/>
      <c r="J3005" s="62"/>
      <c r="K3005" s="78"/>
      <c r="L3005" s="57"/>
      <c r="M3005" s="57"/>
    </row>
    <row r="3006" spans="1:13" ht="15" customHeight="1">
      <c r="A3006" s="73"/>
      <c r="B3006" s="2"/>
      <c r="C3006" s="2"/>
      <c r="D3006" s="2"/>
      <c r="E3006" s="4"/>
      <c r="F3006" s="4"/>
      <c r="G3006" s="4"/>
      <c r="H3006" s="61"/>
      <c r="I3006" s="62"/>
      <c r="J3006" s="62"/>
      <c r="K3006" s="78"/>
      <c r="L3006" s="57"/>
      <c r="M3006" s="57"/>
    </row>
    <row r="3007" spans="1:13" ht="15" customHeight="1">
      <c r="A3007" s="73"/>
      <c r="B3007" s="2"/>
      <c r="C3007" s="2"/>
      <c r="D3007" s="2"/>
      <c r="E3007" s="4"/>
      <c r="F3007" s="4"/>
      <c r="G3007" s="4"/>
      <c r="H3007" s="61"/>
      <c r="I3007" s="62"/>
      <c r="J3007" s="62"/>
      <c r="K3007" s="78"/>
      <c r="L3007" s="57"/>
      <c r="M3007" s="57"/>
    </row>
    <row r="3008" spans="1:13" ht="15" customHeight="1">
      <c r="A3008" s="73"/>
      <c r="B3008" s="2"/>
      <c r="C3008" s="2"/>
      <c r="D3008" s="2"/>
      <c r="E3008" s="63"/>
      <c r="F3008" s="4"/>
      <c r="G3008" s="4"/>
      <c r="H3008" s="61"/>
      <c r="I3008" s="62"/>
      <c r="J3008" s="62"/>
      <c r="K3008" s="78"/>
      <c r="L3008" s="57"/>
      <c r="M3008" s="57"/>
    </row>
    <row r="3009" spans="1:13" ht="15" customHeight="1">
      <c r="A3009" s="73"/>
      <c r="B3009" s="2"/>
      <c r="C3009" s="2"/>
      <c r="D3009" s="2"/>
      <c r="E3009" s="4"/>
      <c r="F3009" s="4"/>
      <c r="G3009" s="4"/>
      <c r="H3009" s="61"/>
      <c r="I3009" s="62"/>
      <c r="J3009" s="62"/>
      <c r="K3009" s="78"/>
      <c r="L3009" s="57"/>
      <c r="M3009" s="57"/>
    </row>
    <row r="3010" spans="1:13" ht="15" customHeight="1">
      <c r="A3010" s="73"/>
      <c r="B3010" s="2"/>
      <c r="C3010" s="2"/>
      <c r="D3010" s="2"/>
      <c r="E3010" s="4"/>
      <c r="F3010" s="4"/>
      <c r="G3010" s="4"/>
      <c r="H3010" s="61"/>
      <c r="I3010" s="62"/>
      <c r="J3010" s="62"/>
      <c r="K3010" s="78"/>
      <c r="L3010" s="57"/>
      <c r="M3010" s="57"/>
    </row>
    <row r="3011" spans="1:13" ht="15" customHeight="1">
      <c r="A3011" s="73"/>
      <c r="B3011" s="2"/>
      <c r="C3011" s="2"/>
      <c r="D3011" s="2"/>
      <c r="E3011" s="4"/>
      <c r="F3011" s="4"/>
      <c r="G3011" s="4"/>
      <c r="H3011" s="61"/>
      <c r="I3011" s="62"/>
      <c r="J3011" s="62"/>
      <c r="K3011" s="78"/>
      <c r="L3011" s="57"/>
      <c r="M3011" s="57"/>
    </row>
    <row r="3012" spans="1:13" ht="15" customHeight="1">
      <c r="A3012" s="73"/>
      <c r="B3012" s="2"/>
      <c r="C3012" s="2"/>
      <c r="D3012" s="2"/>
      <c r="E3012" s="4"/>
      <c r="F3012" s="4"/>
      <c r="G3012" s="4"/>
      <c r="H3012" s="61"/>
      <c r="I3012" s="62"/>
      <c r="J3012" s="62"/>
      <c r="K3012" s="78"/>
      <c r="L3012" s="57"/>
      <c r="M3012" s="57"/>
    </row>
    <row r="3013" spans="1:13" ht="15" customHeight="1">
      <c r="A3013" s="73"/>
      <c r="B3013" s="2"/>
      <c r="C3013" s="2"/>
      <c r="D3013" s="2"/>
      <c r="E3013" s="4"/>
      <c r="F3013" s="4"/>
      <c r="G3013" s="4"/>
      <c r="H3013" s="61"/>
      <c r="I3013" s="62"/>
      <c r="J3013" s="62"/>
      <c r="K3013" s="78"/>
      <c r="L3013" s="57"/>
      <c r="M3013" s="57"/>
    </row>
    <row r="3014" spans="1:13" ht="15" customHeight="1">
      <c r="A3014" s="73"/>
      <c r="B3014" s="2"/>
      <c r="C3014" s="2"/>
      <c r="D3014" s="2"/>
      <c r="E3014" s="4"/>
      <c r="F3014" s="4"/>
      <c r="G3014" s="4"/>
      <c r="H3014" s="61"/>
      <c r="I3014" s="62"/>
      <c r="J3014" s="62"/>
      <c r="K3014" s="78"/>
      <c r="L3014" s="57"/>
      <c r="M3014" s="57"/>
    </row>
    <row r="3015" spans="1:13" ht="15" customHeight="1">
      <c r="A3015" s="73"/>
      <c r="B3015" s="2"/>
      <c r="C3015" s="2"/>
      <c r="D3015" s="2"/>
      <c r="E3015" s="4"/>
      <c r="F3015" s="4"/>
      <c r="G3015" s="4"/>
      <c r="H3015" s="61"/>
      <c r="I3015" s="62"/>
      <c r="J3015" s="62"/>
      <c r="K3015" s="78"/>
      <c r="L3015" s="57"/>
      <c r="M3015" s="57"/>
    </row>
    <row r="3016" spans="1:13" ht="15" customHeight="1">
      <c r="A3016" s="73"/>
      <c r="B3016" s="2"/>
      <c r="C3016" s="2"/>
      <c r="D3016" s="2"/>
      <c r="E3016" s="4"/>
      <c r="F3016" s="4"/>
      <c r="G3016" s="4"/>
      <c r="H3016" s="61"/>
      <c r="I3016" s="62"/>
      <c r="J3016" s="62"/>
      <c r="K3016" s="78"/>
      <c r="L3016" s="57"/>
      <c r="M3016" s="57"/>
    </row>
    <row r="3017" spans="1:13" ht="15" customHeight="1">
      <c r="A3017" s="73"/>
      <c r="B3017" s="2"/>
      <c r="C3017" s="2"/>
      <c r="D3017" s="2"/>
      <c r="E3017" s="4"/>
      <c r="F3017" s="4"/>
      <c r="G3017" s="4"/>
      <c r="H3017" s="61"/>
      <c r="I3017" s="62"/>
      <c r="J3017" s="62"/>
      <c r="K3017" s="78"/>
      <c r="L3017" s="57"/>
      <c r="M3017" s="57"/>
    </row>
    <row r="3018" spans="1:13" ht="15" customHeight="1">
      <c r="A3018" s="73"/>
      <c r="B3018" s="2"/>
      <c r="C3018" s="2"/>
      <c r="D3018" s="2"/>
      <c r="E3018" s="4"/>
      <c r="F3018" s="4"/>
      <c r="G3018" s="4"/>
      <c r="H3018" s="61"/>
      <c r="I3018" s="62"/>
      <c r="J3018" s="62"/>
      <c r="K3018" s="78"/>
      <c r="L3018" s="57"/>
      <c r="M3018" s="57"/>
    </row>
    <row r="3019" spans="1:13" ht="15" customHeight="1">
      <c r="A3019" s="73"/>
      <c r="B3019" s="2"/>
      <c r="C3019" s="2"/>
      <c r="D3019" s="2"/>
      <c r="E3019" s="4"/>
      <c r="F3019" s="4"/>
      <c r="G3019" s="4"/>
      <c r="H3019" s="61"/>
      <c r="I3019" s="62"/>
      <c r="J3019" s="62"/>
      <c r="K3019" s="78"/>
      <c r="L3019" s="57"/>
      <c r="M3019" s="57"/>
    </row>
    <row r="3020" spans="1:13" ht="15" customHeight="1">
      <c r="A3020" s="73"/>
      <c r="B3020" s="2"/>
      <c r="C3020" s="2"/>
      <c r="D3020" s="2"/>
      <c r="E3020" s="4"/>
      <c r="F3020" s="4"/>
      <c r="G3020" s="4"/>
      <c r="H3020" s="61"/>
      <c r="I3020" s="62"/>
      <c r="J3020" s="62"/>
      <c r="K3020" s="78"/>
      <c r="L3020" s="57"/>
      <c r="M3020" s="57"/>
    </row>
    <row r="3021" spans="1:13" ht="15" customHeight="1">
      <c r="A3021" s="73"/>
      <c r="B3021" s="2"/>
      <c r="C3021" s="2"/>
      <c r="D3021" s="2"/>
      <c r="E3021" s="4"/>
      <c r="F3021" s="4"/>
      <c r="G3021" s="4"/>
      <c r="H3021" s="61"/>
      <c r="I3021" s="62"/>
      <c r="J3021" s="62"/>
      <c r="K3021" s="78"/>
      <c r="L3021" s="57"/>
      <c r="M3021" s="57"/>
    </row>
    <row r="3022" spans="1:13" ht="15" customHeight="1">
      <c r="A3022" s="73"/>
      <c r="B3022" s="2"/>
      <c r="C3022" s="2"/>
      <c r="D3022" s="2"/>
      <c r="E3022" s="4"/>
      <c r="F3022" s="4"/>
      <c r="G3022" s="4"/>
      <c r="H3022" s="61"/>
      <c r="I3022" s="62"/>
      <c r="J3022" s="62"/>
      <c r="K3022" s="78"/>
      <c r="L3022" s="57"/>
      <c r="M3022" s="57"/>
    </row>
    <row r="3023" spans="1:13" ht="15" customHeight="1">
      <c r="A3023" s="73"/>
      <c r="B3023" s="2"/>
      <c r="C3023" s="2"/>
      <c r="D3023" s="2"/>
      <c r="E3023" s="4"/>
      <c r="F3023" s="4"/>
      <c r="G3023" s="4"/>
      <c r="H3023" s="61"/>
      <c r="I3023" s="62"/>
      <c r="J3023" s="62"/>
      <c r="K3023" s="78"/>
      <c r="L3023" s="57"/>
      <c r="M3023" s="57"/>
    </row>
    <row r="3024" spans="1:13" ht="15" customHeight="1">
      <c r="A3024" s="73"/>
      <c r="B3024" s="2"/>
      <c r="C3024" s="2"/>
      <c r="D3024" s="2"/>
      <c r="E3024" s="4"/>
      <c r="F3024" s="4"/>
      <c r="G3024" s="4"/>
      <c r="H3024" s="61"/>
      <c r="I3024" s="62"/>
      <c r="J3024" s="62"/>
      <c r="K3024" s="78"/>
      <c r="L3024" s="57"/>
      <c r="M3024" s="57"/>
    </row>
    <row r="3025" spans="1:13" ht="15" customHeight="1">
      <c r="A3025" s="73"/>
      <c r="B3025" s="2"/>
      <c r="C3025" s="2"/>
      <c r="D3025" s="2"/>
      <c r="E3025" s="4"/>
      <c r="F3025" s="4"/>
      <c r="G3025" s="4"/>
      <c r="H3025" s="61"/>
      <c r="I3025" s="62"/>
      <c r="J3025" s="62"/>
      <c r="K3025" s="78"/>
      <c r="L3025" s="57"/>
      <c r="M3025" s="57"/>
    </row>
    <row r="3026" spans="1:13" ht="15" customHeight="1">
      <c r="A3026" s="73"/>
      <c r="B3026" s="2"/>
      <c r="C3026" s="2"/>
      <c r="D3026" s="2"/>
      <c r="E3026" s="4"/>
      <c r="F3026" s="4"/>
      <c r="G3026" s="4"/>
      <c r="H3026" s="61"/>
      <c r="I3026" s="62"/>
      <c r="J3026" s="62"/>
      <c r="K3026" s="78"/>
      <c r="L3026" s="57"/>
      <c r="M3026" s="57"/>
    </row>
    <row r="3027" spans="1:13" ht="15" customHeight="1">
      <c r="A3027" s="73"/>
      <c r="B3027" s="2"/>
      <c r="C3027" s="2"/>
      <c r="D3027" s="2"/>
      <c r="E3027" s="4"/>
      <c r="F3027" s="4"/>
      <c r="G3027" s="4"/>
      <c r="H3027" s="61"/>
      <c r="I3027" s="62"/>
      <c r="J3027" s="62"/>
      <c r="K3027" s="78"/>
      <c r="L3027" s="57"/>
      <c r="M3027" s="57"/>
    </row>
    <row r="3028" spans="1:13" ht="15" customHeight="1">
      <c r="A3028" s="73"/>
      <c r="B3028" s="2"/>
      <c r="C3028" s="2"/>
      <c r="D3028" s="2"/>
      <c r="E3028" s="4"/>
      <c r="F3028" s="4"/>
      <c r="G3028" s="4"/>
      <c r="H3028" s="61"/>
      <c r="I3028" s="62"/>
      <c r="J3028" s="62"/>
      <c r="K3028" s="78"/>
      <c r="L3028" s="57"/>
      <c r="M3028" s="57"/>
    </row>
    <row r="3029" spans="1:13" ht="15" customHeight="1">
      <c r="A3029" s="73"/>
      <c r="B3029" s="2"/>
      <c r="C3029" s="2"/>
      <c r="D3029" s="2"/>
      <c r="E3029" s="4"/>
      <c r="F3029" s="4"/>
      <c r="G3029" s="4"/>
      <c r="H3029" s="61"/>
      <c r="I3029" s="62"/>
      <c r="J3029" s="62"/>
      <c r="K3029" s="78"/>
      <c r="L3029" s="57"/>
      <c r="M3029" s="57"/>
    </row>
    <row r="3030" spans="1:13" ht="15" customHeight="1">
      <c r="A3030" s="73"/>
      <c r="B3030" s="2"/>
      <c r="C3030" s="2"/>
      <c r="D3030" s="2"/>
      <c r="E3030" s="4"/>
      <c r="F3030" s="4"/>
      <c r="G3030" s="4"/>
      <c r="H3030" s="61"/>
      <c r="I3030" s="62"/>
      <c r="J3030" s="62"/>
      <c r="K3030" s="78"/>
      <c r="L3030" s="57"/>
      <c r="M3030" s="57"/>
    </row>
    <row r="3031" spans="1:13" ht="15" customHeight="1">
      <c r="A3031" s="73"/>
      <c r="B3031" s="2"/>
      <c r="C3031" s="2"/>
      <c r="D3031" s="2"/>
      <c r="E3031" s="4"/>
      <c r="F3031" s="4"/>
      <c r="G3031" s="4"/>
      <c r="H3031" s="61"/>
      <c r="I3031" s="62"/>
      <c r="J3031" s="62"/>
      <c r="K3031" s="78"/>
      <c r="L3031" s="57"/>
      <c r="M3031" s="57"/>
    </row>
    <row r="3032" spans="1:13" ht="15" customHeight="1">
      <c r="A3032" s="73"/>
      <c r="B3032" s="2"/>
      <c r="C3032" s="2"/>
      <c r="D3032" s="2"/>
      <c r="E3032" s="63"/>
      <c r="F3032" s="4"/>
      <c r="G3032" s="4"/>
      <c r="H3032" s="61"/>
      <c r="I3032" s="62"/>
      <c r="J3032" s="62"/>
      <c r="K3032" s="78"/>
      <c r="L3032" s="57"/>
      <c r="M3032" s="57"/>
    </row>
    <row r="3033" spans="1:13" ht="15" customHeight="1">
      <c r="A3033" s="73"/>
      <c r="B3033" s="2"/>
      <c r="C3033" s="2"/>
      <c r="D3033" s="2"/>
      <c r="E3033" s="4"/>
      <c r="F3033" s="4"/>
      <c r="G3033" s="4"/>
      <c r="H3033" s="61"/>
      <c r="I3033" s="62"/>
      <c r="J3033" s="62"/>
      <c r="K3033" s="78"/>
      <c r="L3033" s="57"/>
      <c r="M3033" s="57"/>
    </row>
    <row r="3034" spans="1:13" ht="15" customHeight="1">
      <c r="A3034" s="73"/>
      <c r="B3034" s="2"/>
      <c r="C3034" s="2"/>
      <c r="D3034" s="2"/>
      <c r="E3034" s="63"/>
      <c r="F3034" s="4"/>
      <c r="G3034" s="4"/>
      <c r="H3034" s="61"/>
      <c r="I3034" s="62"/>
      <c r="J3034" s="62"/>
      <c r="K3034" s="78"/>
      <c r="L3034" s="57"/>
      <c r="M3034" s="57"/>
    </row>
    <row r="3035" spans="1:13" ht="15" customHeight="1">
      <c r="A3035" s="73"/>
      <c r="B3035" s="2"/>
      <c r="C3035" s="2"/>
      <c r="D3035" s="2"/>
      <c r="E3035" s="4"/>
      <c r="F3035" s="4"/>
      <c r="G3035" s="4"/>
      <c r="H3035" s="61"/>
      <c r="I3035" s="62"/>
      <c r="J3035" s="62"/>
      <c r="K3035" s="78"/>
      <c r="L3035" s="57"/>
      <c r="M3035" s="57"/>
    </row>
    <row r="3036" spans="1:13" ht="15" customHeight="1">
      <c r="A3036" s="73"/>
      <c r="B3036" s="2"/>
      <c r="C3036" s="2"/>
      <c r="D3036" s="2"/>
      <c r="E3036" s="63"/>
      <c r="F3036" s="4"/>
      <c r="G3036" s="4"/>
      <c r="H3036" s="61"/>
      <c r="I3036" s="62"/>
      <c r="J3036" s="62"/>
      <c r="K3036" s="78"/>
      <c r="L3036" s="57"/>
      <c r="M3036" s="57"/>
    </row>
    <row r="3037" spans="1:13" ht="15" customHeight="1">
      <c r="A3037" s="73"/>
      <c r="B3037" s="2"/>
      <c r="C3037" s="2"/>
      <c r="D3037" s="2"/>
      <c r="E3037" s="4"/>
      <c r="F3037" s="4"/>
      <c r="G3037" s="4"/>
      <c r="H3037" s="61"/>
      <c r="I3037" s="62"/>
      <c r="J3037" s="62"/>
      <c r="K3037" s="78"/>
      <c r="L3037" s="57"/>
      <c r="M3037" s="57"/>
    </row>
    <row r="3038" spans="1:13" ht="15" customHeight="1">
      <c r="A3038" s="73"/>
      <c r="B3038" s="2"/>
      <c r="C3038" s="2"/>
      <c r="D3038" s="2"/>
      <c r="E3038" s="4"/>
      <c r="F3038" s="4"/>
      <c r="G3038" s="4"/>
      <c r="H3038" s="61"/>
      <c r="I3038" s="62"/>
      <c r="J3038" s="62"/>
      <c r="K3038" s="78"/>
      <c r="L3038" s="57"/>
      <c r="M3038" s="57"/>
    </row>
    <row r="3039" spans="1:13" ht="15" customHeight="1">
      <c r="A3039" s="73"/>
      <c r="B3039" s="2"/>
      <c r="C3039" s="2"/>
      <c r="D3039" s="2"/>
      <c r="E3039" s="4"/>
      <c r="F3039" s="4"/>
      <c r="G3039" s="4"/>
      <c r="H3039" s="61"/>
      <c r="I3039" s="62"/>
      <c r="J3039" s="62"/>
      <c r="K3039" s="78"/>
      <c r="L3039" s="57"/>
      <c r="M3039" s="57"/>
    </row>
    <row r="3040" spans="1:13" ht="15" customHeight="1">
      <c r="A3040" s="73"/>
      <c r="B3040" s="2"/>
      <c r="C3040" s="2"/>
      <c r="D3040" s="2"/>
      <c r="E3040" s="4"/>
      <c r="F3040" s="4"/>
      <c r="G3040" s="4"/>
      <c r="H3040" s="61"/>
      <c r="I3040" s="62"/>
      <c r="J3040" s="62"/>
      <c r="K3040" s="78"/>
      <c r="L3040" s="57"/>
      <c r="M3040" s="57"/>
    </row>
    <row r="3041" spans="1:13" ht="15" customHeight="1">
      <c r="A3041" s="73"/>
      <c r="B3041" s="2"/>
      <c r="C3041" s="2"/>
      <c r="D3041" s="2"/>
      <c r="E3041" s="4"/>
      <c r="F3041" s="4"/>
      <c r="G3041" s="4"/>
      <c r="H3041" s="61"/>
      <c r="I3041" s="62"/>
      <c r="J3041" s="62"/>
      <c r="K3041" s="78"/>
      <c r="L3041" s="57"/>
      <c r="M3041" s="57"/>
    </row>
    <row r="3042" spans="1:13" ht="15" customHeight="1">
      <c r="A3042" s="73"/>
      <c r="B3042" s="2"/>
      <c r="C3042" s="2"/>
      <c r="D3042" s="2"/>
      <c r="E3042" s="4"/>
      <c r="F3042" s="4"/>
      <c r="G3042" s="4"/>
      <c r="H3042" s="61"/>
      <c r="I3042" s="62"/>
      <c r="J3042" s="62"/>
      <c r="K3042" s="78"/>
      <c r="L3042" s="57"/>
      <c r="M3042" s="57"/>
    </row>
    <row r="3043" spans="1:13" ht="15" customHeight="1">
      <c r="A3043" s="73"/>
      <c r="B3043" s="2"/>
      <c r="C3043" s="2"/>
      <c r="D3043" s="2"/>
      <c r="E3043" s="4"/>
      <c r="F3043" s="4"/>
      <c r="G3043" s="4"/>
      <c r="H3043" s="61"/>
      <c r="I3043" s="62"/>
      <c r="J3043" s="62"/>
      <c r="K3043" s="78"/>
      <c r="L3043" s="57"/>
      <c r="M3043" s="57"/>
    </row>
    <row r="3044" spans="1:13" ht="15" customHeight="1">
      <c r="A3044" s="73"/>
      <c r="B3044" s="2"/>
      <c r="C3044" s="2"/>
      <c r="D3044" s="2"/>
      <c r="E3044" s="4"/>
      <c r="F3044" s="4"/>
      <c r="G3044" s="4"/>
      <c r="H3044" s="61"/>
      <c r="I3044" s="62"/>
      <c r="J3044" s="62"/>
      <c r="K3044" s="78"/>
      <c r="L3044" s="57"/>
      <c r="M3044" s="57"/>
    </row>
    <row r="3045" spans="1:13" ht="15" customHeight="1">
      <c r="A3045" s="73"/>
      <c r="B3045" s="2"/>
      <c r="C3045" s="2"/>
      <c r="D3045" s="2"/>
      <c r="E3045" s="4"/>
      <c r="F3045" s="4"/>
      <c r="G3045" s="4"/>
      <c r="H3045" s="61"/>
      <c r="I3045" s="62"/>
      <c r="J3045" s="62"/>
      <c r="K3045" s="78"/>
      <c r="L3045" s="57"/>
      <c r="M3045" s="57"/>
    </row>
    <row r="3046" spans="1:13" ht="15" customHeight="1">
      <c r="A3046" s="73"/>
      <c r="B3046" s="2"/>
      <c r="C3046" s="2"/>
      <c r="D3046" s="2"/>
      <c r="E3046" s="4"/>
      <c r="F3046" s="4"/>
      <c r="G3046" s="4"/>
      <c r="H3046" s="61"/>
      <c r="I3046" s="62"/>
      <c r="J3046" s="62"/>
      <c r="K3046" s="78"/>
      <c r="L3046" s="57"/>
      <c r="M3046" s="57"/>
    </row>
    <row r="3047" spans="1:13" ht="15" customHeight="1">
      <c r="A3047" s="73"/>
      <c r="B3047" s="2"/>
      <c r="C3047" s="2"/>
      <c r="D3047" s="2"/>
      <c r="E3047" s="4"/>
      <c r="F3047" s="4"/>
      <c r="G3047" s="4"/>
      <c r="H3047" s="61"/>
      <c r="I3047" s="62"/>
      <c r="J3047" s="62"/>
      <c r="K3047" s="78"/>
      <c r="L3047" s="57"/>
      <c r="M3047" s="57"/>
    </row>
    <row r="3048" spans="1:13" ht="15" customHeight="1">
      <c r="A3048" s="73"/>
      <c r="B3048" s="2"/>
      <c r="C3048" s="2"/>
      <c r="D3048" s="2"/>
      <c r="E3048" s="4"/>
      <c r="F3048" s="4"/>
      <c r="G3048" s="4"/>
      <c r="H3048" s="61"/>
      <c r="I3048" s="62"/>
      <c r="J3048" s="62"/>
      <c r="K3048" s="78"/>
      <c r="L3048" s="57"/>
      <c r="M3048" s="57"/>
    </row>
    <row r="3049" spans="1:13" ht="15" customHeight="1">
      <c r="A3049" s="73"/>
      <c r="B3049" s="2"/>
      <c r="C3049" s="2"/>
      <c r="D3049" s="2"/>
      <c r="E3049" s="4"/>
      <c r="F3049" s="4"/>
      <c r="G3049" s="4"/>
      <c r="H3049" s="61"/>
      <c r="I3049" s="62"/>
      <c r="J3049" s="62"/>
      <c r="K3049" s="78"/>
      <c r="L3049" s="57"/>
      <c r="M3049" s="57"/>
    </row>
    <row r="3050" spans="1:13" ht="15" customHeight="1">
      <c r="A3050" s="73"/>
      <c r="B3050" s="2"/>
      <c r="C3050" s="2"/>
      <c r="D3050" s="2"/>
      <c r="E3050" s="4"/>
      <c r="F3050" s="4"/>
      <c r="G3050" s="4"/>
      <c r="H3050" s="61"/>
      <c r="I3050" s="62"/>
      <c r="J3050" s="62"/>
      <c r="K3050" s="78"/>
      <c r="L3050" s="57"/>
      <c r="M3050" s="57"/>
    </row>
    <row r="3051" spans="1:13" ht="15" customHeight="1">
      <c r="A3051" s="73"/>
      <c r="B3051" s="2"/>
      <c r="C3051" s="2"/>
      <c r="D3051" s="2"/>
      <c r="E3051" s="4"/>
      <c r="F3051" s="4"/>
      <c r="G3051" s="4"/>
      <c r="H3051" s="61"/>
      <c r="I3051" s="62"/>
      <c r="J3051" s="62"/>
      <c r="K3051" s="78"/>
      <c r="L3051" s="57"/>
      <c r="M3051" s="57"/>
    </row>
    <row r="3052" spans="1:13" ht="15" customHeight="1">
      <c r="A3052" s="73"/>
      <c r="B3052" s="2"/>
      <c r="C3052" s="2"/>
      <c r="D3052" s="2"/>
      <c r="E3052" s="4"/>
      <c r="F3052" s="4"/>
      <c r="G3052" s="4"/>
      <c r="H3052" s="61"/>
      <c r="I3052" s="62"/>
      <c r="J3052" s="62"/>
      <c r="K3052" s="78"/>
      <c r="L3052" s="57"/>
      <c r="M3052" s="57"/>
    </row>
    <row r="3053" spans="1:13" ht="15" customHeight="1">
      <c r="A3053" s="73"/>
      <c r="B3053" s="2"/>
      <c r="C3053" s="2"/>
      <c r="D3053" s="2"/>
      <c r="E3053" s="4"/>
      <c r="F3053" s="4"/>
      <c r="G3053" s="4"/>
      <c r="H3053" s="61"/>
      <c r="I3053" s="62"/>
      <c r="J3053" s="62"/>
      <c r="K3053" s="78"/>
      <c r="L3053" s="57"/>
      <c r="M3053" s="57"/>
    </row>
    <row r="3054" spans="1:13" ht="15" customHeight="1">
      <c r="A3054" s="73"/>
      <c r="B3054" s="2"/>
      <c r="C3054" s="2"/>
      <c r="D3054" s="2"/>
      <c r="E3054" s="4"/>
      <c r="F3054" s="4"/>
      <c r="G3054" s="4"/>
      <c r="H3054" s="61"/>
      <c r="I3054" s="62"/>
      <c r="J3054" s="62"/>
      <c r="K3054" s="78"/>
      <c r="L3054" s="57"/>
      <c r="M3054" s="57"/>
    </row>
    <row r="3055" spans="1:13" ht="15" customHeight="1">
      <c r="A3055" s="73"/>
      <c r="B3055" s="2"/>
      <c r="C3055" s="2"/>
      <c r="D3055" s="2"/>
      <c r="E3055" s="4"/>
      <c r="F3055" s="4"/>
      <c r="G3055" s="4"/>
      <c r="H3055" s="61"/>
      <c r="I3055" s="62"/>
      <c r="J3055" s="62"/>
      <c r="K3055" s="78"/>
      <c r="L3055" s="57"/>
      <c r="M3055" s="57"/>
    </row>
    <row r="3056" spans="1:13" ht="15" customHeight="1">
      <c r="A3056" s="73"/>
      <c r="B3056" s="2"/>
      <c r="C3056" s="2"/>
      <c r="D3056" s="2"/>
      <c r="E3056" s="4"/>
      <c r="F3056" s="4"/>
      <c r="G3056" s="4"/>
      <c r="H3056" s="61"/>
      <c r="I3056" s="62"/>
      <c r="J3056" s="62"/>
      <c r="K3056" s="78"/>
      <c r="L3056" s="57"/>
      <c r="M3056" s="57"/>
    </row>
    <row r="3057" spans="1:13" ht="15" customHeight="1">
      <c r="A3057" s="73"/>
      <c r="B3057" s="2"/>
      <c r="C3057" s="2"/>
      <c r="D3057" s="2"/>
      <c r="E3057" s="4"/>
      <c r="F3057" s="4"/>
      <c r="G3057" s="4"/>
      <c r="H3057" s="61"/>
      <c r="I3057" s="62"/>
      <c r="J3057" s="62"/>
      <c r="K3057" s="78"/>
      <c r="L3057" s="57"/>
      <c r="M3057" s="57"/>
    </row>
    <row r="3058" spans="1:13" ht="15" customHeight="1">
      <c r="A3058" s="73"/>
      <c r="B3058" s="2"/>
      <c r="C3058" s="2"/>
      <c r="D3058" s="2"/>
      <c r="E3058" s="4"/>
      <c r="F3058" s="4"/>
      <c r="G3058" s="4"/>
      <c r="H3058" s="61"/>
      <c r="I3058" s="62"/>
      <c r="J3058" s="62"/>
      <c r="K3058" s="78"/>
      <c r="L3058" s="57"/>
      <c r="M3058" s="57"/>
    </row>
    <row r="3059" spans="1:13" ht="15" customHeight="1">
      <c r="A3059" s="73"/>
      <c r="B3059" s="2"/>
      <c r="C3059" s="2"/>
      <c r="D3059" s="2"/>
      <c r="E3059" s="4"/>
      <c r="F3059" s="4"/>
      <c r="G3059" s="4"/>
      <c r="H3059" s="61"/>
      <c r="I3059" s="62"/>
      <c r="J3059" s="62"/>
      <c r="K3059" s="78"/>
      <c r="L3059" s="57"/>
      <c r="M3059" s="57"/>
    </row>
    <row r="3060" spans="1:13" ht="15" customHeight="1">
      <c r="A3060" s="73"/>
      <c r="B3060" s="2"/>
      <c r="C3060" s="2"/>
      <c r="D3060" s="2"/>
      <c r="E3060" s="4"/>
      <c r="F3060" s="4"/>
      <c r="G3060" s="4"/>
      <c r="H3060" s="61"/>
      <c r="I3060" s="62"/>
      <c r="J3060" s="62"/>
      <c r="K3060" s="78"/>
      <c r="L3060" s="57"/>
      <c r="M3060" s="57"/>
    </row>
    <row r="3061" spans="1:13" ht="15" customHeight="1">
      <c r="A3061" s="73"/>
      <c r="B3061" s="2"/>
      <c r="C3061" s="2"/>
      <c r="D3061" s="2"/>
      <c r="E3061" s="4"/>
      <c r="F3061" s="4"/>
      <c r="G3061" s="4"/>
      <c r="H3061" s="61"/>
      <c r="I3061" s="62"/>
      <c r="J3061" s="62"/>
      <c r="K3061" s="78"/>
      <c r="L3061" s="57"/>
      <c r="M3061" s="57"/>
    </row>
    <row r="3062" spans="1:13" ht="15" customHeight="1">
      <c r="A3062" s="73"/>
      <c r="B3062" s="2"/>
      <c r="C3062" s="2"/>
      <c r="D3062" s="2"/>
      <c r="E3062" s="4"/>
      <c r="F3062" s="4"/>
      <c r="G3062" s="4"/>
      <c r="H3062" s="61"/>
      <c r="I3062" s="62"/>
      <c r="J3062" s="62"/>
      <c r="K3062" s="78"/>
      <c r="L3062" s="57"/>
      <c r="M3062" s="57"/>
    </row>
    <row r="3063" spans="1:13" ht="15" customHeight="1">
      <c r="A3063" s="73"/>
      <c r="B3063" s="2"/>
      <c r="C3063" s="2"/>
      <c r="D3063" s="2"/>
      <c r="E3063" s="4"/>
      <c r="F3063" s="4"/>
      <c r="G3063" s="4"/>
      <c r="H3063" s="61"/>
      <c r="I3063" s="62"/>
      <c r="J3063" s="62"/>
      <c r="K3063" s="78"/>
      <c r="L3063" s="57"/>
      <c r="M3063" s="57"/>
    </row>
    <row r="3064" spans="1:13" ht="15" customHeight="1">
      <c r="A3064" s="73"/>
      <c r="B3064" s="2"/>
      <c r="C3064" s="2"/>
      <c r="D3064" s="2"/>
      <c r="E3064" s="4"/>
      <c r="F3064" s="4"/>
      <c r="G3064" s="4"/>
      <c r="H3064" s="61"/>
      <c r="I3064" s="62"/>
      <c r="J3064" s="62"/>
      <c r="K3064" s="78"/>
      <c r="L3064" s="57"/>
      <c r="M3064" s="57"/>
    </row>
    <row r="3065" spans="1:13" ht="15" customHeight="1">
      <c r="A3065" s="73"/>
      <c r="B3065" s="2"/>
      <c r="C3065" s="2"/>
      <c r="D3065" s="2"/>
      <c r="E3065" s="4"/>
      <c r="F3065" s="4"/>
      <c r="G3065" s="4"/>
      <c r="H3065" s="61"/>
      <c r="I3065" s="62"/>
      <c r="J3065" s="62"/>
      <c r="K3065" s="78"/>
      <c r="L3065" s="57"/>
      <c r="M3065" s="57"/>
    </row>
    <row r="3066" spans="1:13" ht="15" customHeight="1">
      <c r="A3066" s="73"/>
      <c r="B3066" s="2"/>
      <c r="C3066" s="2"/>
      <c r="D3066" s="2"/>
      <c r="E3066" s="4"/>
      <c r="F3066" s="4"/>
      <c r="G3066" s="4"/>
      <c r="H3066" s="61"/>
      <c r="I3066" s="62"/>
      <c r="J3066" s="62"/>
      <c r="K3066" s="78"/>
      <c r="L3066" s="57"/>
      <c r="M3066" s="57"/>
    </row>
    <row r="3067" spans="1:13" ht="15" customHeight="1">
      <c r="A3067" s="73"/>
      <c r="B3067" s="2"/>
      <c r="C3067" s="2"/>
      <c r="D3067" s="2"/>
      <c r="E3067" s="4"/>
      <c r="F3067" s="4"/>
      <c r="G3067" s="4"/>
      <c r="H3067" s="61"/>
      <c r="I3067" s="62"/>
      <c r="J3067" s="62"/>
      <c r="K3067" s="78"/>
      <c r="L3067" s="57"/>
      <c r="M3067" s="57"/>
    </row>
    <row r="3068" spans="1:13" ht="15" customHeight="1">
      <c r="A3068" s="73"/>
      <c r="B3068" s="2"/>
      <c r="C3068" s="2"/>
      <c r="D3068" s="2"/>
      <c r="E3068" s="4"/>
      <c r="F3068" s="4"/>
      <c r="G3068" s="4"/>
      <c r="H3068" s="61"/>
      <c r="I3068" s="62"/>
      <c r="J3068" s="62"/>
      <c r="K3068" s="78"/>
      <c r="L3068" s="57"/>
      <c r="M3068" s="57"/>
    </row>
    <row r="3069" spans="1:13" ht="15" customHeight="1">
      <c r="A3069" s="73"/>
      <c r="B3069" s="2"/>
      <c r="C3069" s="2"/>
      <c r="D3069" s="2"/>
      <c r="E3069" s="4"/>
      <c r="F3069" s="4"/>
      <c r="G3069" s="4"/>
      <c r="H3069" s="61"/>
      <c r="I3069" s="62"/>
      <c r="J3069" s="62"/>
      <c r="K3069" s="78"/>
      <c r="L3069" s="57"/>
      <c r="M3069" s="57"/>
    </row>
    <row r="3070" spans="1:13" ht="15" customHeight="1">
      <c r="A3070" s="73"/>
      <c r="B3070" s="2"/>
      <c r="C3070" s="2"/>
      <c r="D3070" s="2"/>
      <c r="E3070" s="4"/>
      <c r="F3070" s="4"/>
      <c r="G3070" s="4"/>
      <c r="H3070" s="61"/>
      <c r="I3070" s="62"/>
      <c r="J3070" s="62"/>
      <c r="K3070" s="78"/>
      <c r="L3070" s="57"/>
      <c r="M3070" s="57"/>
    </row>
    <row r="3071" spans="1:13" ht="15" customHeight="1">
      <c r="A3071" s="73"/>
      <c r="B3071" s="2"/>
      <c r="C3071" s="2"/>
      <c r="D3071" s="2"/>
      <c r="E3071" s="63"/>
      <c r="F3071" s="4"/>
      <c r="G3071" s="4"/>
      <c r="H3071" s="61"/>
      <c r="I3071" s="62"/>
      <c r="J3071" s="62"/>
      <c r="K3071" s="78"/>
      <c r="L3071" s="57"/>
      <c r="M3071" s="57"/>
    </row>
    <row r="3072" spans="1:13" ht="15" customHeight="1">
      <c r="A3072" s="73"/>
      <c r="B3072" s="2"/>
      <c r="C3072" s="2"/>
      <c r="D3072" s="2"/>
      <c r="E3072" s="63"/>
      <c r="F3072" s="4"/>
      <c r="G3072" s="4"/>
      <c r="H3072" s="61"/>
      <c r="I3072" s="62"/>
      <c r="J3072" s="62"/>
      <c r="K3072" s="78"/>
      <c r="L3072" s="57"/>
      <c r="M3072" s="57"/>
    </row>
    <row r="3073" spans="1:13" ht="15" customHeight="1">
      <c r="A3073" s="73"/>
      <c r="B3073" s="2"/>
      <c r="C3073" s="2"/>
      <c r="D3073" s="2"/>
      <c r="E3073" s="4"/>
      <c r="F3073" s="4"/>
      <c r="G3073" s="4"/>
      <c r="H3073" s="61"/>
      <c r="I3073" s="62"/>
      <c r="J3073" s="62"/>
      <c r="K3073" s="78"/>
      <c r="L3073" s="57"/>
      <c r="M3073" s="57"/>
    </row>
    <row r="3074" spans="1:13" ht="15" customHeight="1">
      <c r="A3074" s="73"/>
      <c r="B3074" s="2"/>
      <c r="C3074" s="2"/>
      <c r="D3074" s="2"/>
      <c r="E3074" s="4"/>
      <c r="F3074" s="4"/>
      <c r="G3074" s="4"/>
      <c r="H3074" s="61"/>
      <c r="I3074" s="62"/>
      <c r="J3074" s="62"/>
      <c r="K3074" s="78"/>
      <c r="L3074" s="57"/>
      <c r="M3074" s="57"/>
    </row>
    <row r="3075" spans="1:13" ht="15" customHeight="1">
      <c r="A3075" s="73"/>
      <c r="B3075" s="2"/>
      <c r="C3075" s="2"/>
      <c r="D3075" s="2"/>
      <c r="E3075" s="4"/>
      <c r="F3075" s="4"/>
      <c r="G3075" s="4"/>
      <c r="H3075" s="61"/>
      <c r="I3075" s="62"/>
      <c r="J3075" s="62"/>
      <c r="K3075" s="78"/>
      <c r="L3075" s="57"/>
      <c r="M3075" s="57"/>
    </row>
    <row r="3076" spans="1:13" ht="15" customHeight="1">
      <c r="A3076" s="73"/>
      <c r="B3076" s="2"/>
      <c r="C3076" s="2"/>
      <c r="D3076" s="2"/>
      <c r="E3076" s="4"/>
      <c r="F3076" s="4"/>
      <c r="G3076" s="4"/>
      <c r="H3076" s="61"/>
      <c r="I3076" s="62"/>
      <c r="J3076" s="62"/>
      <c r="K3076" s="78"/>
      <c r="L3076" s="57"/>
      <c r="M3076" s="57"/>
    </row>
    <row r="3077" spans="1:13" ht="15" customHeight="1">
      <c r="A3077" s="73"/>
      <c r="B3077" s="2"/>
      <c r="C3077" s="2"/>
      <c r="D3077" s="2"/>
      <c r="E3077" s="4"/>
      <c r="F3077" s="4"/>
      <c r="G3077" s="4"/>
      <c r="H3077" s="61"/>
      <c r="I3077" s="62"/>
      <c r="J3077" s="62"/>
      <c r="K3077" s="78"/>
      <c r="L3077" s="57"/>
      <c r="M3077" s="57"/>
    </row>
    <row r="3078" spans="1:13" ht="15" customHeight="1">
      <c r="A3078" s="73"/>
      <c r="B3078" s="2"/>
      <c r="C3078" s="2"/>
      <c r="D3078" s="2"/>
      <c r="E3078" s="4"/>
      <c r="F3078" s="4"/>
      <c r="G3078" s="4"/>
      <c r="H3078" s="61"/>
      <c r="I3078" s="62"/>
      <c r="J3078" s="62"/>
      <c r="K3078" s="78"/>
      <c r="L3078" s="57"/>
      <c r="M3078" s="57"/>
    </row>
    <row r="3079" spans="1:13" ht="15" customHeight="1">
      <c r="A3079" s="73"/>
      <c r="B3079" s="2"/>
      <c r="C3079" s="2"/>
      <c r="D3079" s="2"/>
      <c r="E3079" s="4"/>
      <c r="F3079" s="4"/>
      <c r="G3079" s="4"/>
      <c r="H3079" s="61"/>
      <c r="I3079" s="62"/>
      <c r="J3079" s="62"/>
      <c r="K3079" s="78"/>
      <c r="L3079" s="57"/>
      <c r="M3079" s="57"/>
    </row>
    <row r="3080" spans="1:13" ht="15" customHeight="1">
      <c r="A3080" s="73"/>
      <c r="B3080" s="2"/>
      <c r="C3080" s="2"/>
      <c r="D3080" s="2"/>
      <c r="E3080" s="63"/>
      <c r="F3080" s="4"/>
      <c r="G3080" s="4"/>
      <c r="H3080" s="61"/>
      <c r="I3080" s="62"/>
      <c r="J3080" s="62"/>
      <c r="K3080" s="78"/>
      <c r="L3080" s="57"/>
      <c r="M3080" s="57"/>
    </row>
    <row r="3081" spans="1:13" ht="15" customHeight="1">
      <c r="A3081" s="73"/>
      <c r="B3081" s="2"/>
      <c r="C3081" s="2"/>
      <c r="D3081" s="2"/>
      <c r="E3081" s="63"/>
      <c r="F3081" s="4"/>
      <c r="G3081" s="4"/>
      <c r="H3081" s="61"/>
      <c r="I3081" s="62"/>
      <c r="J3081" s="62"/>
      <c r="K3081" s="78"/>
      <c r="L3081" s="57"/>
      <c r="M3081" s="57"/>
    </row>
    <row r="3082" spans="1:13" ht="15" customHeight="1">
      <c r="A3082" s="73"/>
      <c r="B3082" s="2"/>
      <c r="C3082" s="2"/>
      <c r="D3082" s="2"/>
      <c r="E3082" s="4"/>
      <c r="F3082" s="4"/>
      <c r="G3082" s="4"/>
      <c r="H3082" s="61"/>
      <c r="I3082" s="62"/>
      <c r="J3082" s="62"/>
      <c r="K3082" s="78"/>
      <c r="L3082" s="57"/>
      <c r="M3082" s="57"/>
    </row>
    <row r="3083" spans="1:13" ht="15" customHeight="1">
      <c r="A3083" s="73"/>
      <c r="B3083" s="2"/>
      <c r="C3083" s="2"/>
      <c r="D3083" s="2"/>
      <c r="E3083" s="63"/>
      <c r="F3083" s="4"/>
      <c r="G3083" s="4"/>
      <c r="H3083" s="61"/>
      <c r="I3083" s="62"/>
      <c r="J3083" s="62"/>
      <c r="K3083" s="78"/>
      <c r="L3083" s="57"/>
      <c r="M3083" s="57"/>
    </row>
    <row r="3084" spans="1:13" ht="15" customHeight="1">
      <c r="A3084" s="73"/>
      <c r="B3084" s="2"/>
      <c r="C3084" s="2"/>
      <c r="D3084" s="2"/>
      <c r="E3084" s="4"/>
      <c r="F3084" s="4"/>
      <c r="G3084" s="4"/>
      <c r="H3084" s="61"/>
      <c r="I3084" s="62"/>
      <c r="J3084" s="62"/>
      <c r="K3084" s="78"/>
      <c r="L3084" s="57"/>
      <c r="M3084" s="57"/>
    </row>
    <row r="3085" spans="1:13" ht="15" customHeight="1">
      <c r="A3085" s="73"/>
      <c r="B3085" s="2"/>
      <c r="C3085" s="2"/>
      <c r="D3085" s="2"/>
      <c r="E3085" s="4"/>
      <c r="F3085" s="4"/>
      <c r="G3085" s="4"/>
      <c r="H3085" s="61"/>
      <c r="I3085" s="62"/>
      <c r="J3085" s="62"/>
      <c r="K3085" s="78"/>
      <c r="L3085" s="57"/>
      <c r="M3085" s="57"/>
    </row>
    <row r="3086" spans="1:13" ht="15" customHeight="1">
      <c r="A3086" s="73"/>
      <c r="B3086" s="2"/>
      <c r="C3086" s="2"/>
      <c r="D3086" s="2"/>
      <c r="E3086" s="4"/>
      <c r="F3086" s="4"/>
      <c r="G3086" s="4"/>
      <c r="H3086" s="61"/>
      <c r="I3086" s="62"/>
      <c r="J3086" s="62"/>
      <c r="K3086" s="78"/>
      <c r="L3086" s="57"/>
      <c r="M3086" s="57"/>
    </row>
    <row r="3087" spans="1:13" ht="15" customHeight="1">
      <c r="A3087" s="73"/>
      <c r="B3087" s="2"/>
      <c r="C3087" s="2"/>
      <c r="D3087" s="2"/>
      <c r="E3087" s="4"/>
      <c r="F3087" s="4"/>
      <c r="G3087" s="4"/>
      <c r="H3087" s="61"/>
      <c r="I3087" s="62"/>
      <c r="J3087" s="62"/>
      <c r="K3087" s="78"/>
      <c r="L3087" s="57"/>
      <c r="M3087" s="57"/>
    </row>
    <row r="3088" spans="1:13" ht="15" customHeight="1">
      <c r="A3088" s="73"/>
      <c r="B3088" s="2"/>
      <c r="C3088" s="2"/>
      <c r="D3088" s="2"/>
      <c r="E3088" s="4"/>
      <c r="F3088" s="4"/>
      <c r="G3088" s="4"/>
      <c r="H3088" s="61"/>
      <c r="I3088" s="62"/>
      <c r="J3088" s="62"/>
      <c r="K3088" s="78"/>
      <c r="L3088" s="57"/>
      <c r="M3088" s="57"/>
    </row>
    <row r="3089" spans="1:13" ht="15" customHeight="1">
      <c r="A3089" s="73"/>
      <c r="B3089" s="2"/>
      <c r="C3089" s="2"/>
      <c r="D3089" s="2"/>
      <c r="E3089" s="4"/>
      <c r="F3089" s="4"/>
      <c r="G3089" s="4"/>
      <c r="H3089" s="61"/>
      <c r="I3089" s="62"/>
      <c r="J3089" s="62"/>
      <c r="K3089" s="78"/>
      <c r="L3089" s="57"/>
      <c r="M3089" s="57"/>
    </row>
    <row r="3090" spans="1:13" ht="15" customHeight="1">
      <c r="A3090" s="73"/>
      <c r="B3090" s="2"/>
      <c r="C3090" s="2"/>
      <c r="D3090" s="2"/>
      <c r="E3090" s="63"/>
      <c r="F3090" s="4"/>
      <c r="G3090" s="4"/>
      <c r="H3090" s="61"/>
      <c r="I3090" s="62"/>
      <c r="J3090" s="62"/>
      <c r="K3090" s="78"/>
      <c r="L3090" s="57"/>
      <c r="M3090" s="57"/>
    </row>
    <row r="3091" spans="1:13" ht="15" customHeight="1">
      <c r="A3091" s="73"/>
      <c r="B3091" s="2"/>
      <c r="C3091" s="2"/>
      <c r="D3091" s="2"/>
      <c r="E3091" s="4"/>
      <c r="F3091" s="4"/>
      <c r="G3091" s="4"/>
      <c r="H3091" s="61"/>
      <c r="I3091" s="62"/>
      <c r="J3091" s="62"/>
      <c r="K3091" s="78"/>
      <c r="L3091" s="57"/>
      <c r="M3091" s="57"/>
    </row>
    <row r="3092" spans="1:13" ht="15" customHeight="1">
      <c r="A3092" s="73"/>
      <c r="B3092" s="2"/>
      <c r="C3092" s="2"/>
      <c r="D3092" s="2"/>
      <c r="E3092" s="4"/>
      <c r="F3092" s="4"/>
      <c r="G3092" s="4"/>
      <c r="H3092" s="61"/>
      <c r="I3092" s="62"/>
      <c r="J3092" s="62"/>
      <c r="K3092" s="78"/>
      <c r="L3092" s="57"/>
      <c r="M3092" s="57"/>
    </row>
    <row r="3093" spans="1:13" ht="15" customHeight="1">
      <c r="A3093" s="73"/>
      <c r="B3093" s="2"/>
      <c r="C3093" s="2"/>
      <c r="D3093" s="2"/>
      <c r="E3093" s="63"/>
      <c r="F3093" s="4"/>
      <c r="G3093" s="4"/>
      <c r="H3093" s="61"/>
      <c r="I3093" s="62"/>
      <c r="J3093" s="62"/>
      <c r="K3093" s="78"/>
      <c r="L3093" s="57"/>
      <c r="M3093" s="57"/>
    </row>
    <row r="3094" spans="1:13" ht="15" customHeight="1">
      <c r="A3094" s="73"/>
      <c r="B3094" s="2"/>
      <c r="C3094" s="2"/>
      <c r="D3094" s="2"/>
      <c r="E3094" s="63"/>
      <c r="F3094" s="4"/>
      <c r="G3094" s="4"/>
      <c r="H3094" s="61"/>
      <c r="I3094" s="62"/>
      <c r="J3094" s="62"/>
      <c r="K3094" s="78"/>
      <c r="L3094" s="57"/>
      <c r="M3094" s="57"/>
    </row>
    <row r="3095" spans="1:13" ht="15" customHeight="1">
      <c r="A3095" s="73"/>
      <c r="B3095" s="2"/>
      <c r="C3095" s="2"/>
      <c r="D3095" s="2"/>
      <c r="E3095" s="63"/>
      <c r="F3095" s="4"/>
      <c r="G3095" s="4"/>
      <c r="H3095" s="61"/>
      <c r="I3095" s="62"/>
      <c r="J3095" s="62"/>
      <c r="K3095" s="78"/>
      <c r="L3095" s="57"/>
      <c r="M3095" s="57"/>
    </row>
    <row r="3096" spans="1:13" ht="15" customHeight="1">
      <c r="A3096" s="73"/>
      <c r="B3096" s="2"/>
      <c r="C3096" s="2"/>
      <c r="D3096" s="2"/>
      <c r="E3096" s="4"/>
      <c r="F3096" s="4"/>
      <c r="G3096" s="4"/>
      <c r="H3096" s="61"/>
      <c r="I3096" s="62"/>
      <c r="J3096" s="62"/>
      <c r="K3096" s="78"/>
      <c r="L3096" s="57"/>
      <c r="M3096" s="57"/>
    </row>
    <row r="3097" spans="1:13" ht="15" customHeight="1">
      <c r="A3097" s="73"/>
      <c r="B3097" s="2"/>
      <c r="C3097" s="2"/>
      <c r="D3097" s="2"/>
      <c r="E3097" s="4"/>
      <c r="F3097" s="4"/>
      <c r="G3097" s="4"/>
      <c r="H3097" s="61"/>
      <c r="I3097" s="62"/>
      <c r="J3097" s="62"/>
      <c r="K3097" s="78"/>
      <c r="L3097" s="57"/>
      <c r="M3097" s="57"/>
    </row>
    <row r="3098" spans="1:13" ht="15" customHeight="1">
      <c r="A3098" s="73"/>
      <c r="B3098" s="2"/>
      <c r="C3098" s="2"/>
      <c r="D3098" s="2"/>
      <c r="E3098" s="63"/>
      <c r="F3098" s="4"/>
      <c r="G3098" s="4"/>
      <c r="H3098" s="61"/>
      <c r="I3098" s="62"/>
      <c r="J3098" s="62"/>
      <c r="K3098" s="78"/>
      <c r="L3098" s="57"/>
      <c r="M3098" s="57"/>
    </row>
    <row r="3099" spans="1:13" ht="15" customHeight="1">
      <c r="A3099" s="73"/>
      <c r="B3099" s="2"/>
      <c r="C3099" s="2"/>
      <c r="D3099" s="2"/>
      <c r="E3099" s="63"/>
      <c r="F3099" s="4"/>
      <c r="G3099" s="4"/>
      <c r="H3099" s="61"/>
      <c r="I3099" s="62"/>
      <c r="J3099" s="62"/>
      <c r="K3099" s="78"/>
      <c r="L3099" s="57"/>
      <c r="M3099" s="57"/>
    </row>
    <row r="3100" spans="1:13" ht="15" customHeight="1">
      <c r="A3100" s="73"/>
      <c r="B3100" s="2"/>
      <c r="C3100" s="2"/>
      <c r="D3100" s="2"/>
      <c r="E3100" s="4"/>
      <c r="F3100" s="4"/>
      <c r="G3100" s="4"/>
      <c r="H3100" s="61"/>
      <c r="I3100" s="62"/>
      <c r="J3100" s="62"/>
      <c r="K3100" s="78"/>
      <c r="L3100" s="57"/>
      <c r="M3100" s="57"/>
    </row>
    <row r="3101" spans="1:13" ht="15" customHeight="1">
      <c r="A3101" s="73"/>
      <c r="B3101" s="2"/>
      <c r="C3101" s="2"/>
      <c r="D3101" s="2"/>
      <c r="E3101" s="4"/>
      <c r="F3101" s="4"/>
      <c r="G3101" s="4"/>
      <c r="H3101" s="61"/>
      <c r="I3101" s="62"/>
      <c r="J3101" s="62"/>
      <c r="K3101" s="78"/>
      <c r="L3101" s="57"/>
      <c r="M3101" s="57"/>
    </row>
    <row r="3102" spans="1:13" ht="15" customHeight="1">
      <c r="A3102" s="73"/>
      <c r="B3102" s="2"/>
      <c r="C3102" s="2"/>
      <c r="D3102" s="2"/>
      <c r="E3102" s="4"/>
      <c r="F3102" s="4"/>
      <c r="G3102" s="4"/>
      <c r="H3102" s="61"/>
      <c r="I3102" s="62"/>
      <c r="J3102" s="62"/>
      <c r="K3102" s="78"/>
      <c r="L3102" s="57"/>
      <c r="M3102" s="57"/>
    </row>
    <row r="3103" spans="1:13" ht="15" customHeight="1">
      <c r="A3103" s="73"/>
      <c r="B3103" s="2"/>
      <c r="C3103" s="2"/>
      <c r="D3103" s="2"/>
      <c r="E3103" s="4"/>
      <c r="F3103" s="4"/>
      <c r="G3103" s="4"/>
      <c r="H3103" s="61"/>
      <c r="I3103" s="62"/>
      <c r="J3103" s="62"/>
      <c r="K3103" s="78"/>
      <c r="L3103" s="57"/>
      <c r="M3103" s="57"/>
    </row>
    <row r="3104" spans="1:13" ht="15" customHeight="1">
      <c r="A3104" s="73"/>
      <c r="B3104" s="2"/>
      <c r="C3104" s="2"/>
      <c r="D3104" s="2"/>
      <c r="E3104" s="4"/>
      <c r="F3104" s="4"/>
      <c r="G3104" s="4"/>
      <c r="H3104" s="61"/>
      <c r="I3104" s="62"/>
      <c r="J3104" s="62"/>
      <c r="K3104" s="78"/>
      <c r="L3104" s="57"/>
      <c r="M3104" s="57"/>
    </row>
    <row r="3105" spans="1:13" ht="15" customHeight="1">
      <c r="A3105" s="73"/>
      <c r="B3105" s="2"/>
      <c r="C3105" s="2"/>
      <c r="D3105" s="2"/>
      <c r="E3105" s="4"/>
      <c r="F3105" s="4"/>
      <c r="G3105" s="4"/>
      <c r="H3105" s="61"/>
      <c r="I3105" s="62"/>
      <c r="J3105" s="62"/>
      <c r="K3105" s="78"/>
      <c r="L3105" s="57"/>
      <c r="M3105" s="57"/>
    </row>
    <row r="3106" spans="1:13" ht="15" customHeight="1">
      <c r="A3106" s="73"/>
      <c r="B3106" s="2"/>
      <c r="C3106" s="2"/>
      <c r="D3106" s="2"/>
      <c r="E3106" s="4"/>
      <c r="F3106" s="4"/>
      <c r="G3106" s="4"/>
      <c r="H3106" s="61"/>
      <c r="I3106" s="62"/>
      <c r="J3106" s="62"/>
      <c r="K3106" s="78"/>
      <c r="L3106" s="57"/>
      <c r="M3106" s="57"/>
    </row>
    <row r="3107" spans="1:13" ht="15" customHeight="1">
      <c r="A3107" s="73"/>
      <c r="B3107" s="2"/>
      <c r="C3107" s="2"/>
      <c r="D3107" s="2"/>
      <c r="E3107" s="4"/>
      <c r="F3107" s="4"/>
      <c r="G3107" s="4"/>
      <c r="H3107" s="61"/>
      <c r="I3107" s="62"/>
      <c r="J3107" s="62"/>
      <c r="K3107" s="78"/>
      <c r="L3107" s="57"/>
      <c r="M3107" s="57"/>
    </row>
    <row r="3108" spans="1:13" ht="15" customHeight="1">
      <c r="A3108" s="73"/>
      <c r="B3108" s="2"/>
      <c r="C3108" s="2"/>
      <c r="D3108" s="2"/>
      <c r="E3108" s="4"/>
      <c r="F3108" s="4"/>
      <c r="G3108" s="4"/>
      <c r="H3108" s="61"/>
      <c r="I3108" s="62"/>
      <c r="J3108" s="62"/>
      <c r="K3108" s="78"/>
      <c r="L3108" s="57"/>
      <c r="M3108" s="57"/>
    </row>
    <row r="3109" spans="1:13" ht="15" customHeight="1">
      <c r="A3109" s="73"/>
      <c r="B3109" s="2"/>
      <c r="C3109" s="2"/>
      <c r="D3109" s="2"/>
      <c r="E3109" s="63"/>
      <c r="F3109" s="4"/>
      <c r="G3109" s="4"/>
      <c r="H3109" s="61"/>
      <c r="I3109" s="62"/>
      <c r="J3109" s="62"/>
      <c r="K3109" s="78"/>
      <c r="L3109" s="57"/>
      <c r="M3109" s="57"/>
    </row>
    <row r="3110" spans="1:13" ht="15" customHeight="1">
      <c r="A3110" s="73"/>
      <c r="B3110" s="2"/>
      <c r="C3110" s="2"/>
      <c r="D3110" s="2"/>
      <c r="E3110" s="4"/>
      <c r="F3110" s="4"/>
      <c r="G3110" s="4"/>
      <c r="H3110" s="61"/>
      <c r="I3110" s="62"/>
      <c r="J3110" s="62"/>
      <c r="K3110" s="78"/>
      <c r="L3110" s="57"/>
      <c r="M3110" s="57"/>
    </row>
    <row r="3111" spans="1:13" ht="15" customHeight="1">
      <c r="A3111" s="73"/>
      <c r="B3111" s="2"/>
      <c r="C3111" s="2"/>
      <c r="D3111" s="2"/>
      <c r="E3111" s="4"/>
      <c r="F3111" s="4"/>
      <c r="G3111" s="4"/>
      <c r="H3111" s="61"/>
      <c r="I3111" s="62"/>
      <c r="J3111" s="62"/>
      <c r="K3111" s="78"/>
      <c r="L3111" s="57"/>
      <c r="M3111" s="57"/>
    </row>
    <row r="3112" spans="1:13" ht="15" customHeight="1">
      <c r="A3112" s="73"/>
      <c r="B3112" s="2"/>
      <c r="C3112" s="2"/>
      <c r="D3112" s="2"/>
      <c r="E3112" s="4"/>
      <c r="F3112" s="4"/>
      <c r="G3112" s="4"/>
      <c r="H3112" s="61"/>
      <c r="I3112" s="62"/>
      <c r="J3112" s="62"/>
      <c r="K3112" s="78"/>
      <c r="L3112" s="57"/>
      <c r="M3112" s="57"/>
    </row>
    <row r="3113" spans="1:13" ht="15" customHeight="1">
      <c r="A3113" s="73"/>
      <c r="B3113" s="2"/>
      <c r="C3113" s="2"/>
      <c r="D3113" s="2"/>
      <c r="E3113" s="4"/>
      <c r="F3113" s="4"/>
      <c r="G3113" s="4"/>
      <c r="H3113" s="61"/>
      <c r="I3113" s="62"/>
      <c r="J3113" s="62"/>
      <c r="K3113" s="78"/>
      <c r="L3113" s="57"/>
      <c r="M3113" s="57"/>
    </row>
    <row r="3114" spans="1:13" ht="15" customHeight="1">
      <c r="A3114" s="73"/>
      <c r="B3114" s="2"/>
      <c r="C3114" s="2"/>
      <c r="D3114" s="2"/>
      <c r="E3114" s="4"/>
      <c r="F3114" s="4"/>
      <c r="G3114" s="4"/>
      <c r="H3114" s="61"/>
      <c r="I3114" s="62"/>
      <c r="J3114" s="62"/>
      <c r="K3114" s="78"/>
      <c r="L3114" s="57"/>
      <c r="M3114" s="57"/>
    </row>
    <row r="3115" spans="1:13" ht="15" customHeight="1">
      <c r="A3115" s="73"/>
      <c r="B3115" s="2"/>
      <c r="C3115" s="2"/>
      <c r="D3115" s="2"/>
      <c r="E3115" s="63"/>
      <c r="F3115" s="4"/>
      <c r="G3115" s="4"/>
      <c r="H3115" s="61"/>
      <c r="I3115" s="62"/>
      <c r="J3115" s="62"/>
      <c r="K3115" s="78"/>
      <c r="L3115" s="57"/>
      <c r="M3115" s="57"/>
    </row>
    <row r="3116" spans="1:13" ht="15" customHeight="1">
      <c r="A3116" s="73"/>
      <c r="B3116" s="2"/>
      <c r="C3116" s="2"/>
      <c r="D3116" s="2"/>
      <c r="E3116" s="4"/>
      <c r="F3116" s="4"/>
      <c r="G3116" s="4"/>
      <c r="H3116" s="61"/>
      <c r="I3116" s="62"/>
      <c r="J3116" s="62"/>
      <c r="K3116" s="78"/>
      <c r="L3116" s="57"/>
      <c r="M3116" s="57"/>
    </row>
    <row r="3117" spans="1:13" ht="15" customHeight="1">
      <c r="A3117" s="73"/>
      <c r="B3117" s="2"/>
      <c r="C3117" s="2"/>
      <c r="D3117" s="2"/>
      <c r="E3117" s="4"/>
      <c r="F3117" s="4"/>
      <c r="G3117" s="4"/>
      <c r="H3117" s="61"/>
      <c r="I3117" s="62"/>
      <c r="J3117" s="62"/>
      <c r="K3117" s="78"/>
      <c r="L3117" s="57"/>
      <c r="M3117" s="57"/>
    </row>
    <row r="3118" spans="1:13" ht="15" customHeight="1">
      <c r="A3118" s="73"/>
      <c r="B3118" s="2"/>
      <c r="C3118" s="2"/>
      <c r="D3118" s="2"/>
      <c r="E3118" s="4"/>
      <c r="F3118" s="4"/>
      <c r="G3118" s="4"/>
      <c r="H3118" s="61"/>
      <c r="I3118" s="62"/>
      <c r="J3118" s="62"/>
      <c r="K3118" s="78"/>
      <c r="L3118" s="57"/>
      <c r="M3118" s="57"/>
    </row>
    <row r="3119" spans="1:13" ht="15" customHeight="1">
      <c r="A3119" s="73"/>
      <c r="B3119" s="2"/>
      <c r="C3119" s="2"/>
      <c r="D3119" s="2"/>
      <c r="E3119" s="4"/>
      <c r="F3119" s="4"/>
      <c r="G3119" s="4"/>
      <c r="H3119" s="61"/>
      <c r="I3119" s="62"/>
      <c r="J3119" s="62"/>
      <c r="K3119" s="78"/>
      <c r="L3119" s="57"/>
      <c r="M3119" s="57"/>
    </row>
    <row r="3120" spans="1:13" ht="15" customHeight="1">
      <c r="A3120" s="73"/>
      <c r="B3120" s="2"/>
      <c r="C3120" s="2"/>
      <c r="D3120" s="2"/>
      <c r="E3120" s="4"/>
      <c r="F3120" s="4"/>
      <c r="G3120" s="4"/>
      <c r="H3120" s="61"/>
      <c r="I3120" s="62"/>
      <c r="J3120" s="62"/>
      <c r="K3120" s="78"/>
      <c r="L3120" s="57"/>
      <c r="M3120" s="57"/>
    </row>
    <row r="3121" spans="1:13" ht="15" customHeight="1">
      <c r="A3121" s="73"/>
      <c r="B3121" s="2"/>
      <c r="C3121" s="2"/>
      <c r="D3121" s="2"/>
      <c r="E3121" s="4"/>
      <c r="F3121" s="4"/>
      <c r="G3121" s="4"/>
      <c r="H3121" s="61"/>
      <c r="I3121" s="62"/>
      <c r="J3121" s="62"/>
      <c r="K3121" s="78"/>
      <c r="L3121" s="57"/>
      <c r="M3121" s="57"/>
    </row>
    <row r="3122" spans="1:13" ht="15" customHeight="1">
      <c r="A3122" s="73"/>
      <c r="B3122" s="2"/>
      <c r="C3122" s="2"/>
      <c r="D3122" s="2"/>
      <c r="E3122" s="4"/>
      <c r="F3122" s="4"/>
      <c r="G3122" s="4"/>
      <c r="H3122" s="61"/>
      <c r="I3122" s="62"/>
      <c r="J3122" s="62"/>
      <c r="K3122" s="78"/>
      <c r="L3122" s="57"/>
      <c r="M3122" s="57"/>
    </row>
    <row r="3123" spans="1:13" ht="15" customHeight="1">
      <c r="A3123" s="73"/>
      <c r="B3123" s="2"/>
      <c r="C3123" s="2"/>
      <c r="D3123" s="2"/>
      <c r="E3123" s="4"/>
      <c r="F3123" s="4"/>
      <c r="G3123" s="4"/>
      <c r="H3123" s="61"/>
      <c r="I3123" s="62"/>
      <c r="J3123" s="62"/>
      <c r="K3123" s="78"/>
      <c r="L3123" s="57"/>
      <c r="M3123" s="57"/>
    </row>
    <row r="3124" spans="1:13" ht="15" customHeight="1">
      <c r="A3124" s="73"/>
      <c r="B3124" s="2"/>
      <c r="C3124" s="2"/>
      <c r="D3124" s="2"/>
      <c r="E3124" s="4"/>
      <c r="F3124" s="4"/>
      <c r="G3124" s="4"/>
      <c r="H3124" s="61"/>
      <c r="I3124" s="62"/>
      <c r="J3124" s="62"/>
      <c r="K3124" s="78"/>
      <c r="L3124" s="57"/>
      <c r="M3124" s="57"/>
    </row>
    <row r="3125" spans="1:13" ht="15" customHeight="1">
      <c r="A3125" s="73"/>
      <c r="B3125" s="2"/>
      <c r="C3125" s="2"/>
      <c r="D3125" s="2"/>
      <c r="E3125" s="4"/>
      <c r="F3125" s="4"/>
      <c r="G3125" s="4"/>
      <c r="H3125" s="61"/>
      <c r="I3125" s="62"/>
      <c r="J3125" s="62"/>
      <c r="K3125" s="78"/>
      <c r="L3125" s="57"/>
      <c r="M3125" s="57"/>
    </row>
    <row r="3126" spans="1:13" ht="15" customHeight="1">
      <c r="A3126" s="73"/>
      <c r="B3126" s="2"/>
      <c r="C3126" s="2"/>
      <c r="D3126" s="2"/>
      <c r="E3126" s="4"/>
      <c r="F3126" s="4"/>
      <c r="G3126" s="4"/>
      <c r="H3126" s="61"/>
      <c r="I3126" s="62"/>
      <c r="J3126" s="62"/>
      <c r="K3126" s="78"/>
      <c r="L3126" s="57"/>
      <c r="M3126" s="57"/>
    </row>
    <row r="3127" spans="1:13" ht="15" customHeight="1">
      <c r="A3127" s="73"/>
      <c r="B3127" s="2"/>
      <c r="C3127" s="2"/>
      <c r="D3127" s="2"/>
      <c r="E3127" s="4"/>
      <c r="F3127" s="4"/>
      <c r="G3127" s="4"/>
      <c r="H3127" s="61"/>
      <c r="I3127" s="62"/>
      <c r="J3127" s="62"/>
      <c r="K3127" s="78"/>
      <c r="L3127" s="57"/>
      <c r="M3127" s="57"/>
    </row>
    <row r="3128" spans="1:13" ht="15" customHeight="1">
      <c r="A3128" s="73"/>
      <c r="B3128" s="2"/>
      <c r="C3128" s="2"/>
      <c r="D3128" s="2"/>
      <c r="E3128" s="4"/>
      <c r="F3128" s="4"/>
      <c r="G3128" s="4"/>
      <c r="H3128" s="61"/>
      <c r="I3128" s="62"/>
      <c r="J3128" s="62"/>
      <c r="K3128" s="78"/>
      <c r="L3128" s="57"/>
      <c r="M3128" s="57"/>
    </row>
    <row r="3129" spans="1:13" ht="15" customHeight="1">
      <c r="A3129" s="73"/>
      <c r="B3129" s="2"/>
      <c r="C3129" s="2"/>
      <c r="D3129" s="2"/>
      <c r="E3129" s="4"/>
      <c r="F3129" s="4"/>
      <c r="G3129" s="4"/>
      <c r="H3129" s="61"/>
      <c r="I3129" s="62"/>
      <c r="J3129" s="62"/>
      <c r="K3129" s="78"/>
      <c r="L3129" s="57"/>
      <c r="M3129" s="57"/>
    </row>
    <row r="3130" spans="1:13" ht="15" customHeight="1">
      <c r="A3130" s="73"/>
      <c r="B3130" s="2"/>
      <c r="C3130" s="2"/>
      <c r="D3130" s="2"/>
      <c r="E3130" s="4"/>
      <c r="F3130" s="4"/>
      <c r="G3130" s="4"/>
      <c r="H3130" s="61"/>
      <c r="I3130" s="62"/>
      <c r="J3130" s="62"/>
      <c r="K3130" s="78"/>
      <c r="L3130" s="57"/>
      <c r="M3130" s="57"/>
    </row>
    <row r="3131" spans="1:13" ht="15" customHeight="1">
      <c r="A3131" s="73"/>
      <c r="B3131" s="2"/>
      <c r="C3131" s="2"/>
      <c r="D3131" s="2"/>
      <c r="E3131" s="4"/>
      <c r="F3131" s="4"/>
      <c r="G3131" s="4"/>
      <c r="H3131" s="61"/>
      <c r="I3131" s="62"/>
      <c r="J3131" s="62"/>
      <c r="K3131" s="78"/>
      <c r="L3131" s="57"/>
      <c r="M3131" s="57"/>
    </row>
    <row r="3132" spans="1:13" ht="15" customHeight="1">
      <c r="A3132" s="73"/>
      <c r="B3132" s="2"/>
      <c r="C3132" s="2"/>
      <c r="D3132" s="2"/>
      <c r="E3132" s="4"/>
      <c r="F3132" s="4"/>
      <c r="G3132" s="4"/>
      <c r="H3132" s="61"/>
      <c r="I3132" s="62"/>
      <c r="J3132" s="62"/>
      <c r="K3132" s="78"/>
      <c r="L3132" s="57"/>
      <c r="M3132" s="57"/>
    </row>
    <row r="3133" spans="1:13" ht="15" customHeight="1">
      <c r="A3133" s="73"/>
      <c r="B3133" s="2"/>
      <c r="C3133" s="2"/>
      <c r="D3133" s="2"/>
      <c r="E3133" s="4"/>
      <c r="F3133" s="4"/>
      <c r="G3133" s="4"/>
      <c r="H3133" s="61"/>
      <c r="I3133" s="62"/>
      <c r="J3133" s="62"/>
      <c r="K3133" s="78"/>
      <c r="L3133" s="57"/>
      <c r="M3133" s="57"/>
    </row>
    <row r="3134" spans="1:13" ht="15" customHeight="1">
      <c r="A3134" s="73"/>
      <c r="B3134" s="2"/>
      <c r="C3134" s="2"/>
      <c r="D3134" s="2"/>
      <c r="E3134" s="4"/>
      <c r="F3134" s="4"/>
      <c r="G3134" s="4"/>
      <c r="H3134" s="61"/>
      <c r="I3134" s="62"/>
      <c r="J3134" s="62"/>
      <c r="K3134" s="78"/>
      <c r="L3134" s="57"/>
      <c r="M3134" s="57"/>
    </row>
    <row r="3135" spans="1:13" ht="15" customHeight="1">
      <c r="A3135" s="73"/>
      <c r="B3135" s="2"/>
      <c r="C3135" s="2"/>
      <c r="D3135" s="2"/>
      <c r="E3135" s="63"/>
      <c r="F3135" s="4"/>
      <c r="G3135" s="4"/>
      <c r="H3135" s="61"/>
      <c r="I3135" s="62"/>
      <c r="J3135" s="62"/>
      <c r="K3135" s="78"/>
      <c r="L3135" s="57"/>
      <c r="M3135" s="57"/>
    </row>
    <row r="3136" spans="1:13" ht="15" customHeight="1">
      <c r="A3136" s="73"/>
      <c r="B3136" s="2"/>
      <c r="C3136" s="2"/>
      <c r="D3136" s="2"/>
      <c r="E3136" s="4"/>
      <c r="F3136" s="4"/>
      <c r="G3136" s="4"/>
      <c r="H3136" s="61"/>
      <c r="I3136" s="62"/>
      <c r="J3136" s="62"/>
      <c r="K3136" s="78"/>
      <c r="L3136" s="57"/>
      <c r="M3136" s="57"/>
    </row>
    <row r="3137" spans="1:13" ht="15" customHeight="1">
      <c r="A3137" s="73"/>
      <c r="B3137" s="2"/>
      <c r="C3137" s="2"/>
      <c r="D3137" s="2"/>
      <c r="E3137" s="4"/>
      <c r="F3137" s="4"/>
      <c r="G3137" s="4"/>
      <c r="H3137" s="61"/>
      <c r="I3137" s="62"/>
      <c r="J3137" s="62"/>
      <c r="K3137" s="78"/>
      <c r="L3137" s="57"/>
      <c r="M3137" s="57"/>
    </row>
    <row r="3138" spans="1:13" ht="15" customHeight="1">
      <c r="A3138" s="73"/>
      <c r="B3138" s="2"/>
      <c r="C3138" s="2"/>
      <c r="D3138" s="2"/>
      <c r="E3138" s="4"/>
      <c r="F3138" s="4"/>
      <c r="G3138" s="4"/>
      <c r="H3138" s="61"/>
      <c r="I3138" s="62"/>
      <c r="J3138" s="62"/>
      <c r="K3138" s="78"/>
      <c r="L3138" s="57"/>
      <c r="M3138" s="57"/>
    </row>
    <row r="3139" spans="1:13" ht="15" customHeight="1">
      <c r="A3139" s="73"/>
      <c r="B3139" s="2"/>
      <c r="C3139" s="2"/>
      <c r="D3139" s="2"/>
      <c r="E3139" s="4"/>
      <c r="F3139" s="4"/>
      <c r="G3139" s="4"/>
      <c r="H3139" s="61"/>
      <c r="I3139" s="62"/>
      <c r="J3139" s="62"/>
      <c r="K3139" s="78"/>
      <c r="L3139" s="57"/>
      <c r="M3139" s="57"/>
    </row>
    <row r="3140" spans="1:13" ht="15" customHeight="1">
      <c r="A3140" s="73"/>
      <c r="B3140" s="2"/>
      <c r="C3140" s="2"/>
      <c r="D3140" s="2"/>
      <c r="E3140" s="4"/>
      <c r="F3140" s="4"/>
      <c r="G3140" s="4"/>
      <c r="H3140" s="61"/>
      <c r="I3140" s="62"/>
      <c r="J3140" s="62"/>
      <c r="K3140" s="78"/>
      <c r="L3140" s="57"/>
      <c r="M3140" s="57"/>
    </row>
    <row r="3141" spans="1:13" ht="15" customHeight="1">
      <c r="A3141" s="73"/>
      <c r="B3141" s="2"/>
      <c r="C3141" s="2"/>
      <c r="D3141" s="2"/>
      <c r="E3141" s="4"/>
      <c r="F3141" s="4"/>
      <c r="G3141" s="4"/>
      <c r="H3141" s="61"/>
      <c r="I3141" s="62"/>
      <c r="J3141" s="62"/>
      <c r="K3141" s="78"/>
      <c r="L3141" s="57"/>
      <c r="M3141" s="57"/>
    </row>
    <row r="3142" spans="1:13" ht="15" customHeight="1">
      <c r="A3142" s="73"/>
      <c r="B3142" s="2"/>
      <c r="C3142" s="2"/>
      <c r="D3142" s="2"/>
      <c r="E3142" s="4"/>
      <c r="F3142" s="4"/>
      <c r="G3142" s="4"/>
      <c r="H3142" s="61"/>
      <c r="I3142" s="62"/>
      <c r="J3142" s="62"/>
      <c r="K3142" s="78"/>
      <c r="L3142" s="57"/>
      <c r="M3142" s="57"/>
    </row>
    <row r="3143" spans="1:13" ht="15" customHeight="1">
      <c r="A3143" s="73"/>
      <c r="B3143" s="2"/>
      <c r="C3143" s="2"/>
      <c r="D3143" s="2"/>
      <c r="E3143" s="4"/>
      <c r="F3143" s="4"/>
      <c r="G3143" s="4"/>
      <c r="H3143" s="61"/>
      <c r="I3143" s="62"/>
      <c r="J3143" s="62"/>
      <c r="K3143" s="78"/>
      <c r="L3143" s="57"/>
      <c r="M3143" s="57"/>
    </row>
    <row r="3144" spans="1:13" ht="15" customHeight="1">
      <c r="A3144" s="73"/>
      <c r="B3144" s="2"/>
      <c r="C3144" s="2"/>
      <c r="D3144" s="2"/>
      <c r="E3144" s="4"/>
      <c r="F3144" s="4"/>
      <c r="G3144" s="4"/>
      <c r="H3144" s="61"/>
      <c r="I3144" s="62"/>
      <c r="J3144" s="62"/>
      <c r="K3144" s="78"/>
      <c r="L3144" s="57"/>
      <c r="M3144" s="57"/>
    </row>
    <row r="3145" spans="1:13" ht="15" customHeight="1">
      <c r="A3145" s="73"/>
      <c r="B3145" s="2"/>
      <c r="C3145" s="2"/>
      <c r="D3145" s="2"/>
      <c r="E3145" s="4"/>
      <c r="F3145" s="4"/>
      <c r="G3145" s="4"/>
      <c r="H3145" s="61"/>
      <c r="I3145" s="62"/>
      <c r="J3145" s="62"/>
      <c r="K3145" s="78"/>
      <c r="L3145" s="57"/>
      <c r="M3145" s="57"/>
    </row>
    <row r="3146" spans="1:13" ht="15" customHeight="1">
      <c r="A3146" s="73"/>
      <c r="B3146" s="2"/>
      <c r="C3146" s="2"/>
      <c r="D3146" s="2"/>
      <c r="E3146" s="4"/>
      <c r="F3146" s="4"/>
      <c r="G3146" s="4"/>
      <c r="H3146" s="61"/>
      <c r="I3146" s="62"/>
      <c r="J3146" s="62"/>
      <c r="K3146" s="78"/>
      <c r="L3146" s="57"/>
      <c r="M3146" s="57"/>
    </row>
    <row r="3147" spans="1:13" ht="15" customHeight="1">
      <c r="A3147" s="73"/>
      <c r="B3147" s="2"/>
      <c r="C3147" s="2"/>
      <c r="D3147" s="2"/>
      <c r="E3147" s="4"/>
      <c r="F3147" s="4"/>
      <c r="G3147" s="4"/>
      <c r="H3147" s="61"/>
      <c r="I3147" s="62"/>
      <c r="J3147" s="62"/>
      <c r="K3147" s="78"/>
      <c r="L3147" s="57"/>
      <c r="M3147" s="57"/>
    </row>
    <row r="3148" spans="1:13" ht="15" customHeight="1">
      <c r="A3148" s="73"/>
      <c r="B3148" s="2"/>
      <c r="C3148" s="2"/>
      <c r="D3148" s="2"/>
      <c r="E3148" s="4"/>
      <c r="F3148" s="4"/>
      <c r="G3148" s="4"/>
      <c r="H3148" s="61"/>
      <c r="I3148" s="62"/>
      <c r="J3148" s="62"/>
      <c r="K3148" s="78"/>
      <c r="L3148" s="57"/>
      <c r="M3148" s="57"/>
    </row>
    <row r="3149" spans="1:13" ht="15" customHeight="1">
      <c r="A3149" s="73"/>
      <c r="B3149" s="2"/>
      <c r="C3149" s="2"/>
      <c r="D3149" s="2"/>
      <c r="E3149" s="4"/>
      <c r="F3149" s="4"/>
      <c r="G3149" s="4"/>
      <c r="H3149" s="61"/>
      <c r="I3149" s="62"/>
      <c r="J3149" s="62"/>
      <c r="K3149" s="78"/>
      <c r="L3149" s="57"/>
      <c r="M3149" s="57"/>
    </row>
    <row r="3150" spans="1:13" ht="15" customHeight="1">
      <c r="A3150" s="73"/>
      <c r="B3150" s="2"/>
      <c r="C3150" s="2"/>
      <c r="D3150" s="2"/>
      <c r="E3150" s="4"/>
      <c r="F3150" s="4"/>
      <c r="G3150" s="4"/>
      <c r="H3150" s="61"/>
      <c r="I3150" s="62"/>
      <c r="J3150" s="62"/>
      <c r="K3150" s="78"/>
      <c r="L3150" s="57"/>
      <c r="M3150" s="57"/>
    </row>
    <row r="3151" spans="1:13" ht="15" customHeight="1">
      <c r="A3151" s="73"/>
      <c r="B3151" s="2"/>
      <c r="C3151" s="2"/>
      <c r="D3151" s="2"/>
      <c r="E3151" s="4"/>
      <c r="F3151" s="4"/>
      <c r="G3151" s="4"/>
      <c r="H3151" s="61"/>
      <c r="I3151" s="62"/>
      <c r="J3151" s="62"/>
      <c r="K3151" s="78"/>
      <c r="L3151" s="57"/>
      <c r="M3151" s="57"/>
    </row>
    <row r="3152" spans="1:13" ht="15" customHeight="1">
      <c r="A3152" s="73"/>
      <c r="B3152" s="2"/>
      <c r="C3152" s="2"/>
      <c r="D3152" s="2"/>
      <c r="E3152" s="4"/>
      <c r="F3152" s="4"/>
      <c r="G3152" s="4"/>
      <c r="H3152" s="61"/>
      <c r="I3152" s="62"/>
      <c r="J3152" s="62"/>
      <c r="K3152" s="78"/>
      <c r="L3152" s="57"/>
      <c r="M3152" s="57"/>
    </row>
    <row r="3153" spans="1:13" ht="15" customHeight="1">
      <c r="A3153" s="73"/>
      <c r="B3153" s="2"/>
      <c r="C3153" s="2"/>
      <c r="D3153" s="2"/>
      <c r="E3153" s="4"/>
      <c r="F3153" s="4"/>
      <c r="G3153" s="4"/>
      <c r="H3153" s="61"/>
      <c r="I3153" s="62"/>
      <c r="J3153" s="62"/>
      <c r="K3153" s="78"/>
      <c r="L3153" s="57"/>
      <c r="M3153" s="57"/>
    </row>
    <row r="3154" spans="1:13" ht="15" customHeight="1">
      <c r="A3154" s="73"/>
      <c r="B3154" s="2"/>
      <c r="C3154" s="2"/>
      <c r="D3154" s="2"/>
      <c r="E3154" s="4"/>
      <c r="F3154" s="4"/>
      <c r="G3154" s="4"/>
      <c r="H3154" s="61"/>
      <c r="I3154" s="62"/>
      <c r="J3154" s="62"/>
      <c r="K3154" s="78"/>
      <c r="L3154" s="57"/>
      <c r="M3154" s="57"/>
    </row>
    <row r="3155" spans="1:13" ht="15" customHeight="1">
      <c r="A3155" s="73"/>
      <c r="B3155" s="2"/>
      <c r="C3155" s="2"/>
      <c r="D3155" s="2"/>
      <c r="E3155" s="4"/>
      <c r="F3155" s="4"/>
      <c r="G3155" s="4"/>
      <c r="H3155" s="61"/>
      <c r="I3155" s="62"/>
      <c r="J3155" s="62"/>
      <c r="K3155" s="78"/>
      <c r="L3155" s="57"/>
      <c r="M3155" s="57"/>
    </row>
    <row r="3156" spans="1:13" ht="15" customHeight="1">
      <c r="A3156" s="73"/>
      <c r="B3156" s="2"/>
      <c r="C3156" s="2"/>
      <c r="D3156" s="2"/>
      <c r="E3156" s="4"/>
      <c r="F3156" s="4"/>
      <c r="G3156" s="4"/>
      <c r="H3156" s="61"/>
      <c r="I3156" s="62"/>
      <c r="J3156" s="62"/>
      <c r="K3156" s="78"/>
      <c r="L3156" s="57"/>
      <c r="M3156" s="57"/>
    </row>
    <row r="3157" spans="1:13" ht="15" customHeight="1">
      <c r="A3157" s="73"/>
      <c r="B3157" s="2"/>
      <c r="C3157" s="2"/>
      <c r="D3157" s="2"/>
      <c r="E3157" s="4"/>
      <c r="F3157" s="4"/>
      <c r="G3157" s="4"/>
      <c r="H3157" s="61"/>
      <c r="I3157" s="62"/>
      <c r="J3157" s="62"/>
      <c r="K3157" s="78"/>
      <c r="L3157" s="57"/>
      <c r="M3157" s="57"/>
    </row>
    <row r="3158" spans="1:13" ht="15" customHeight="1">
      <c r="A3158" s="73"/>
      <c r="B3158" s="2"/>
      <c r="C3158" s="2"/>
      <c r="D3158" s="2"/>
      <c r="E3158" s="4"/>
      <c r="F3158" s="4"/>
      <c r="G3158" s="4"/>
      <c r="H3158" s="61"/>
      <c r="I3158" s="62"/>
      <c r="J3158" s="62"/>
      <c r="K3158" s="78"/>
      <c r="L3158" s="57"/>
      <c r="M3158" s="57"/>
    </row>
    <row r="3159" spans="1:13" ht="15" customHeight="1">
      <c r="A3159" s="73"/>
      <c r="B3159" s="2"/>
      <c r="C3159" s="2"/>
      <c r="D3159" s="2"/>
      <c r="E3159" s="4"/>
      <c r="F3159" s="4"/>
      <c r="G3159" s="4"/>
      <c r="H3159" s="61"/>
      <c r="I3159" s="62"/>
      <c r="J3159" s="62"/>
      <c r="K3159" s="78"/>
      <c r="L3159" s="57"/>
      <c r="M3159" s="57"/>
    </row>
    <row r="3160" spans="1:13" ht="15" customHeight="1">
      <c r="A3160" s="73"/>
      <c r="B3160" s="2"/>
      <c r="C3160" s="2"/>
      <c r="D3160" s="2"/>
      <c r="E3160" s="4"/>
      <c r="F3160" s="4"/>
      <c r="G3160" s="4"/>
      <c r="H3160" s="61"/>
      <c r="I3160" s="62"/>
      <c r="J3160" s="62"/>
      <c r="K3160" s="78"/>
      <c r="L3160" s="57"/>
      <c r="M3160" s="57"/>
    </row>
    <row r="3161" spans="1:13" ht="15" customHeight="1">
      <c r="A3161" s="73"/>
      <c r="B3161" s="2"/>
      <c r="C3161" s="2"/>
      <c r="D3161" s="2"/>
      <c r="E3161" s="4"/>
      <c r="F3161" s="4"/>
      <c r="G3161" s="4"/>
      <c r="H3161" s="61"/>
      <c r="I3161" s="62"/>
      <c r="J3161" s="62"/>
      <c r="K3161" s="78"/>
      <c r="L3161" s="57"/>
      <c r="M3161" s="57"/>
    </row>
    <row r="3162" spans="1:13" ht="15" customHeight="1">
      <c r="A3162" s="73"/>
      <c r="B3162" s="2"/>
      <c r="C3162" s="2"/>
      <c r="D3162" s="2"/>
      <c r="E3162" s="4"/>
      <c r="F3162" s="4"/>
      <c r="G3162" s="4"/>
      <c r="H3162" s="61"/>
      <c r="I3162" s="62"/>
      <c r="J3162" s="62"/>
      <c r="K3162" s="78"/>
      <c r="L3162" s="57"/>
      <c r="M3162" s="57"/>
    </row>
    <row r="3163" spans="1:13" ht="15" customHeight="1">
      <c r="A3163" s="73"/>
      <c r="B3163" s="2"/>
      <c r="C3163" s="2"/>
      <c r="D3163" s="2"/>
      <c r="E3163" s="4"/>
      <c r="F3163" s="4"/>
      <c r="G3163" s="4"/>
      <c r="H3163" s="61"/>
      <c r="I3163" s="62"/>
      <c r="J3163" s="62"/>
      <c r="K3163" s="78"/>
      <c r="L3163" s="57"/>
      <c r="M3163" s="57"/>
    </row>
    <row r="3164" spans="1:13" ht="15" customHeight="1">
      <c r="A3164" s="73"/>
      <c r="B3164" s="2"/>
      <c r="C3164" s="2"/>
      <c r="D3164" s="2"/>
      <c r="E3164" s="4"/>
      <c r="F3164" s="4"/>
      <c r="G3164" s="4"/>
      <c r="H3164" s="61"/>
      <c r="I3164" s="62"/>
      <c r="J3164" s="62"/>
      <c r="K3164" s="78"/>
      <c r="L3164" s="57"/>
      <c r="M3164" s="57"/>
    </row>
    <row r="3165" spans="1:13" ht="15" customHeight="1">
      <c r="A3165" s="73"/>
      <c r="B3165" s="2"/>
      <c r="C3165" s="2"/>
      <c r="D3165" s="2"/>
      <c r="E3165" s="63"/>
      <c r="F3165" s="4"/>
      <c r="G3165" s="4"/>
      <c r="H3165" s="61"/>
      <c r="I3165" s="62"/>
      <c r="J3165" s="62"/>
      <c r="K3165" s="78"/>
      <c r="L3165" s="57"/>
      <c r="M3165" s="57"/>
    </row>
    <row r="3166" spans="1:13" ht="15" customHeight="1">
      <c r="A3166" s="73"/>
      <c r="B3166" s="2"/>
      <c r="C3166" s="2"/>
      <c r="D3166" s="2"/>
      <c r="E3166" s="4"/>
      <c r="F3166" s="4"/>
      <c r="G3166" s="4"/>
      <c r="H3166" s="61"/>
      <c r="I3166" s="62"/>
      <c r="J3166" s="62"/>
      <c r="K3166" s="78"/>
      <c r="L3166" s="57"/>
      <c r="M3166" s="57"/>
    </row>
    <row r="3167" spans="1:13" ht="15" customHeight="1">
      <c r="A3167" s="73"/>
      <c r="B3167" s="2"/>
      <c r="C3167" s="2"/>
      <c r="D3167" s="2"/>
      <c r="E3167" s="4"/>
      <c r="F3167" s="4"/>
      <c r="G3167" s="4"/>
      <c r="H3167" s="61"/>
      <c r="I3167" s="62"/>
      <c r="J3167" s="62"/>
      <c r="K3167" s="78"/>
      <c r="L3167" s="57"/>
      <c r="M3167" s="57"/>
    </row>
    <row r="3168" spans="1:13" ht="15" customHeight="1">
      <c r="A3168" s="73"/>
      <c r="B3168" s="2"/>
      <c r="C3168" s="2"/>
      <c r="D3168" s="2"/>
      <c r="E3168" s="4"/>
      <c r="F3168" s="4"/>
      <c r="G3168" s="4"/>
      <c r="H3168" s="61"/>
      <c r="I3168" s="62"/>
      <c r="J3168" s="62"/>
      <c r="K3168" s="78"/>
      <c r="L3168" s="57"/>
      <c r="M3168" s="57"/>
    </row>
    <row r="3169" spans="1:13" ht="15" customHeight="1">
      <c r="A3169" s="73"/>
      <c r="B3169" s="2"/>
      <c r="C3169" s="2"/>
      <c r="D3169" s="2"/>
      <c r="E3169" s="4"/>
      <c r="F3169" s="4"/>
      <c r="G3169" s="4"/>
      <c r="H3169" s="61"/>
      <c r="I3169" s="62"/>
      <c r="J3169" s="62"/>
      <c r="K3169" s="78"/>
      <c r="L3169" s="57"/>
      <c r="M3169" s="57"/>
    </row>
    <row r="3170" spans="1:13" ht="15" customHeight="1">
      <c r="A3170" s="73"/>
      <c r="B3170" s="2"/>
      <c r="C3170" s="2"/>
      <c r="D3170" s="2"/>
      <c r="E3170" s="4"/>
      <c r="F3170" s="4"/>
      <c r="G3170" s="4"/>
      <c r="H3170" s="61"/>
      <c r="I3170" s="62"/>
      <c r="J3170" s="62"/>
      <c r="K3170" s="78"/>
      <c r="L3170" s="57"/>
      <c r="M3170" s="57"/>
    </row>
    <row r="3171" spans="1:13" ht="15" customHeight="1">
      <c r="A3171" s="73"/>
      <c r="B3171" s="2"/>
      <c r="C3171" s="2"/>
      <c r="D3171" s="2"/>
      <c r="E3171" s="4"/>
      <c r="F3171" s="4"/>
      <c r="G3171" s="4"/>
      <c r="H3171" s="61"/>
      <c r="I3171" s="62"/>
      <c r="J3171" s="62"/>
      <c r="K3171" s="78"/>
      <c r="L3171" s="57"/>
      <c r="M3171" s="57"/>
    </row>
    <row r="3172" spans="1:13" ht="15" customHeight="1">
      <c r="A3172" s="73"/>
      <c r="B3172" s="2"/>
      <c r="C3172" s="2"/>
      <c r="D3172" s="2"/>
      <c r="E3172" s="4"/>
      <c r="F3172" s="4"/>
      <c r="G3172" s="4"/>
      <c r="H3172" s="61"/>
      <c r="I3172" s="62"/>
      <c r="J3172" s="62"/>
      <c r="K3172" s="78"/>
      <c r="L3172" s="57"/>
      <c r="M3172" s="57"/>
    </row>
    <row r="3173" spans="1:13" ht="15" customHeight="1">
      <c r="A3173" s="73"/>
      <c r="B3173" s="2"/>
      <c r="C3173" s="2"/>
      <c r="D3173" s="2"/>
      <c r="E3173" s="63"/>
      <c r="F3173" s="4"/>
      <c r="G3173" s="4"/>
      <c r="H3173" s="61"/>
      <c r="I3173" s="62"/>
      <c r="J3173" s="62"/>
      <c r="K3173" s="78"/>
      <c r="L3173" s="57"/>
      <c r="M3173" s="57"/>
    </row>
    <row r="3174" spans="1:13" ht="15" customHeight="1">
      <c r="A3174" s="73"/>
      <c r="B3174" s="2"/>
      <c r="C3174" s="2"/>
      <c r="D3174" s="2"/>
      <c r="E3174" s="4"/>
      <c r="F3174" s="4"/>
      <c r="G3174" s="4"/>
      <c r="H3174" s="61"/>
      <c r="I3174" s="62"/>
      <c r="J3174" s="62"/>
      <c r="K3174" s="78"/>
      <c r="L3174" s="57"/>
      <c r="M3174" s="57"/>
    </row>
    <row r="3175" spans="1:13" ht="15" customHeight="1">
      <c r="A3175" s="73"/>
      <c r="B3175" s="2"/>
      <c r="C3175" s="2"/>
      <c r="D3175" s="2"/>
      <c r="E3175" s="4"/>
      <c r="F3175" s="4"/>
      <c r="G3175" s="4"/>
      <c r="H3175" s="61"/>
      <c r="I3175" s="62"/>
      <c r="J3175" s="62"/>
      <c r="K3175" s="78"/>
      <c r="L3175" s="57"/>
      <c r="M3175" s="57"/>
    </row>
    <row r="3176" spans="1:13" ht="15" customHeight="1">
      <c r="A3176" s="73"/>
      <c r="B3176" s="2"/>
      <c r="C3176" s="2"/>
      <c r="D3176" s="2"/>
      <c r="E3176" s="4"/>
      <c r="F3176" s="4"/>
      <c r="G3176" s="4"/>
      <c r="H3176" s="61"/>
      <c r="I3176" s="62"/>
      <c r="J3176" s="62"/>
      <c r="K3176" s="78"/>
      <c r="L3176" s="57"/>
      <c r="M3176" s="57"/>
    </row>
    <row r="3177" spans="1:13" ht="15" customHeight="1">
      <c r="A3177" s="73"/>
      <c r="B3177" s="2"/>
      <c r="C3177" s="2"/>
      <c r="D3177" s="2"/>
      <c r="E3177" s="4"/>
      <c r="F3177" s="4"/>
      <c r="G3177" s="4"/>
      <c r="H3177" s="61"/>
      <c r="I3177" s="62"/>
      <c r="J3177" s="62"/>
      <c r="K3177" s="78"/>
      <c r="L3177" s="57"/>
      <c r="M3177" s="57"/>
    </row>
    <row r="3178" spans="1:13" ht="15" customHeight="1">
      <c r="A3178" s="73"/>
      <c r="B3178" s="2"/>
      <c r="C3178" s="2"/>
      <c r="D3178" s="2"/>
      <c r="E3178" s="4"/>
      <c r="F3178" s="4"/>
      <c r="G3178" s="4"/>
      <c r="H3178" s="61"/>
      <c r="I3178" s="62"/>
      <c r="J3178" s="62"/>
      <c r="K3178" s="78"/>
      <c r="L3178" s="57"/>
      <c r="M3178" s="57"/>
    </row>
    <row r="3179" spans="1:13" ht="15" customHeight="1">
      <c r="A3179" s="73"/>
      <c r="B3179" s="2"/>
      <c r="C3179" s="2"/>
      <c r="D3179" s="2"/>
      <c r="E3179" s="4"/>
      <c r="F3179" s="4"/>
      <c r="G3179" s="4"/>
      <c r="H3179" s="61"/>
      <c r="I3179" s="62"/>
      <c r="J3179" s="62"/>
      <c r="K3179" s="78"/>
      <c r="L3179" s="57"/>
      <c r="M3179" s="57"/>
    </row>
    <row r="3180" spans="1:13" ht="15" customHeight="1">
      <c r="A3180" s="73"/>
      <c r="B3180" s="2"/>
      <c r="C3180" s="2"/>
      <c r="D3180" s="2"/>
      <c r="E3180" s="4"/>
      <c r="F3180" s="4"/>
      <c r="G3180" s="4"/>
      <c r="H3180" s="61"/>
      <c r="I3180" s="62"/>
      <c r="J3180" s="62"/>
      <c r="K3180" s="78"/>
      <c r="L3180" s="57"/>
      <c r="M3180" s="57"/>
    </row>
    <row r="3181" spans="1:13" ht="15" customHeight="1">
      <c r="A3181" s="73"/>
      <c r="B3181" s="2"/>
      <c r="C3181" s="2"/>
      <c r="D3181" s="2"/>
      <c r="E3181" s="4"/>
      <c r="F3181" s="4"/>
      <c r="G3181" s="4"/>
      <c r="H3181" s="61"/>
      <c r="I3181" s="62"/>
      <c r="J3181" s="62"/>
      <c r="K3181" s="78"/>
      <c r="L3181" s="57"/>
      <c r="M3181" s="57"/>
    </row>
    <row r="3182" spans="1:13" ht="15" customHeight="1">
      <c r="A3182" s="73"/>
      <c r="B3182" s="2"/>
      <c r="C3182" s="2"/>
      <c r="D3182" s="2"/>
      <c r="E3182" s="4"/>
      <c r="F3182" s="4"/>
      <c r="G3182" s="4"/>
      <c r="H3182" s="61"/>
      <c r="I3182" s="62"/>
      <c r="J3182" s="62"/>
      <c r="K3182" s="78"/>
      <c r="L3182" s="57"/>
      <c r="M3182" s="57"/>
    </row>
    <row r="3183" spans="1:13" ht="15" customHeight="1">
      <c r="A3183" s="73"/>
      <c r="B3183" s="2"/>
      <c r="C3183" s="2"/>
      <c r="D3183" s="2"/>
      <c r="E3183" s="4"/>
      <c r="F3183" s="4"/>
      <c r="G3183" s="4"/>
      <c r="H3183" s="61"/>
      <c r="I3183" s="62"/>
      <c r="J3183" s="62"/>
      <c r="K3183" s="78"/>
      <c r="L3183" s="57"/>
      <c r="M3183" s="57"/>
    </row>
    <row r="3184" spans="1:13" ht="15" customHeight="1">
      <c r="A3184" s="73"/>
      <c r="B3184" s="2"/>
      <c r="C3184" s="2"/>
      <c r="D3184" s="2"/>
      <c r="E3184" s="4"/>
      <c r="F3184" s="4"/>
      <c r="G3184" s="4"/>
      <c r="H3184" s="61"/>
      <c r="I3184" s="62"/>
      <c r="J3184" s="62"/>
      <c r="K3184" s="78"/>
      <c r="L3184" s="57"/>
      <c r="M3184" s="57"/>
    </row>
    <row r="3185" spans="1:13" ht="15" customHeight="1">
      <c r="A3185" s="73"/>
      <c r="B3185" s="2"/>
      <c r="C3185" s="2"/>
      <c r="D3185" s="2"/>
      <c r="E3185" s="4"/>
      <c r="F3185" s="4"/>
      <c r="G3185" s="4"/>
      <c r="H3185" s="61"/>
      <c r="I3185" s="62"/>
      <c r="J3185" s="62"/>
      <c r="K3185" s="78"/>
      <c r="L3185" s="57"/>
      <c r="M3185" s="57"/>
    </row>
    <row r="3186" spans="1:13" ht="15" customHeight="1">
      <c r="A3186" s="73"/>
      <c r="B3186" s="2"/>
      <c r="C3186" s="2"/>
      <c r="D3186" s="2"/>
      <c r="E3186" s="63"/>
      <c r="F3186" s="4"/>
      <c r="G3186" s="4"/>
      <c r="H3186" s="61"/>
      <c r="I3186" s="62"/>
      <c r="J3186" s="62"/>
      <c r="K3186" s="78"/>
      <c r="L3186" s="57"/>
      <c r="M3186" s="57"/>
    </row>
    <row r="3187" spans="1:13" ht="15" customHeight="1">
      <c r="A3187" s="73"/>
      <c r="B3187" s="2"/>
      <c r="C3187" s="2"/>
      <c r="D3187" s="2"/>
      <c r="E3187" s="4"/>
      <c r="F3187" s="4"/>
      <c r="G3187" s="4"/>
      <c r="H3187" s="61"/>
      <c r="I3187" s="62"/>
      <c r="J3187" s="62"/>
      <c r="K3187" s="78"/>
      <c r="L3187" s="57"/>
      <c r="M3187" s="57"/>
    </row>
    <row r="3188" spans="1:13" ht="15" customHeight="1">
      <c r="A3188" s="73"/>
      <c r="B3188" s="2"/>
      <c r="C3188" s="2"/>
      <c r="D3188" s="2"/>
      <c r="E3188" s="4"/>
      <c r="F3188" s="4"/>
      <c r="G3188" s="4"/>
      <c r="H3188" s="61"/>
      <c r="I3188" s="62"/>
      <c r="J3188" s="62"/>
      <c r="K3188" s="78"/>
      <c r="L3188" s="57"/>
      <c r="M3188" s="57"/>
    </row>
    <row r="3189" spans="1:13" ht="15" customHeight="1">
      <c r="A3189" s="73"/>
      <c r="B3189" s="2"/>
      <c r="C3189" s="2"/>
      <c r="D3189" s="2"/>
      <c r="E3189" s="4"/>
      <c r="F3189" s="4"/>
      <c r="G3189" s="4"/>
      <c r="H3189" s="61"/>
      <c r="I3189" s="62"/>
      <c r="J3189" s="62"/>
      <c r="K3189" s="78"/>
      <c r="L3189" s="57"/>
      <c r="M3189" s="57"/>
    </row>
    <row r="3190" spans="1:13" ht="15" customHeight="1">
      <c r="A3190" s="73"/>
      <c r="B3190" s="2"/>
      <c r="C3190" s="2"/>
      <c r="D3190" s="2"/>
      <c r="E3190" s="4"/>
      <c r="F3190" s="4"/>
      <c r="G3190" s="4"/>
      <c r="H3190" s="61"/>
      <c r="I3190" s="62"/>
      <c r="J3190" s="62"/>
      <c r="K3190" s="78"/>
      <c r="L3190" s="57"/>
      <c r="M3190" s="57"/>
    </row>
    <row r="3191" spans="1:13" ht="15" customHeight="1">
      <c r="A3191" s="73"/>
      <c r="B3191" s="2"/>
      <c r="C3191" s="2"/>
      <c r="D3191" s="2"/>
      <c r="E3191" s="4"/>
      <c r="F3191" s="4"/>
      <c r="G3191" s="4"/>
      <c r="H3191" s="61"/>
      <c r="I3191" s="62"/>
      <c r="J3191" s="62"/>
      <c r="K3191" s="78"/>
      <c r="L3191" s="57"/>
      <c r="M3191" s="57"/>
    </row>
    <row r="3192" spans="1:13" ht="15" customHeight="1">
      <c r="A3192" s="73"/>
      <c r="B3192" s="2"/>
      <c r="C3192" s="2"/>
      <c r="D3192" s="2"/>
      <c r="E3192" s="4"/>
      <c r="F3192" s="4"/>
      <c r="G3192" s="4"/>
      <c r="H3192" s="61"/>
      <c r="I3192" s="62"/>
      <c r="J3192" s="62"/>
      <c r="K3192" s="78"/>
      <c r="L3192" s="57"/>
      <c r="M3192" s="57"/>
    </row>
    <row r="3193" spans="1:13" ht="15" customHeight="1">
      <c r="A3193" s="73"/>
      <c r="B3193" s="2"/>
      <c r="C3193" s="2"/>
      <c r="D3193" s="2"/>
      <c r="E3193" s="4"/>
      <c r="F3193" s="4"/>
      <c r="G3193" s="4"/>
      <c r="H3193" s="61"/>
      <c r="I3193" s="62"/>
      <c r="J3193" s="62"/>
      <c r="K3193" s="78"/>
      <c r="L3193" s="57"/>
      <c r="M3193" s="57"/>
    </row>
    <row r="3194" spans="1:13" ht="15" customHeight="1">
      <c r="A3194" s="73"/>
      <c r="B3194" s="2"/>
      <c r="C3194" s="2"/>
      <c r="D3194" s="2"/>
      <c r="E3194" s="4"/>
      <c r="F3194" s="4"/>
      <c r="G3194" s="4"/>
      <c r="H3194" s="61"/>
      <c r="I3194" s="62"/>
      <c r="J3194" s="62"/>
      <c r="K3194" s="78"/>
      <c r="L3194" s="57"/>
      <c r="M3194" s="57"/>
    </row>
    <row r="3195" spans="1:13" ht="15" customHeight="1">
      <c r="A3195" s="73"/>
      <c r="B3195" s="2"/>
      <c r="C3195" s="2"/>
      <c r="D3195" s="2"/>
      <c r="E3195" s="4"/>
      <c r="F3195" s="4"/>
      <c r="G3195" s="4"/>
      <c r="H3195" s="61"/>
      <c r="I3195" s="62"/>
      <c r="J3195" s="62"/>
      <c r="K3195" s="78"/>
      <c r="L3195" s="57"/>
      <c r="M3195" s="57"/>
    </row>
    <row r="3196" spans="1:13" ht="15" customHeight="1">
      <c r="A3196" s="73"/>
      <c r="B3196" s="2"/>
      <c r="C3196" s="2"/>
      <c r="D3196" s="2"/>
      <c r="E3196" s="4"/>
      <c r="F3196" s="4"/>
      <c r="G3196" s="4"/>
      <c r="H3196" s="61"/>
      <c r="I3196" s="62"/>
      <c r="J3196" s="62"/>
      <c r="K3196" s="78"/>
      <c r="L3196" s="57"/>
      <c r="M3196" s="57"/>
    </row>
    <row r="3197" spans="1:13" ht="15" customHeight="1">
      <c r="A3197" s="73"/>
      <c r="B3197" s="2"/>
      <c r="C3197" s="2"/>
      <c r="D3197" s="2"/>
      <c r="E3197" s="4"/>
      <c r="F3197" s="4"/>
      <c r="G3197" s="4"/>
      <c r="H3197" s="61"/>
      <c r="I3197" s="62"/>
      <c r="J3197" s="62"/>
      <c r="K3197" s="78"/>
      <c r="L3197" s="57"/>
      <c r="M3197" s="57"/>
    </row>
    <row r="3198" spans="1:13" ht="15" customHeight="1">
      <c r="A3198" s="73"/>
      <c r="B3198" s="2"/>
      <c r="C3198" s="2"/>
      <c r="D3198" s="2"/>
      <c r="E3198" s="4"/>
      <c r="F3198" s="4"/>
      <c r="G3198" s="4"/>
      <c r="H3198" s="61"/>
      <c r="I3198" s="62"/>
      <c r="J3198" s="62"/>
      <c r="K3198" s="78"/>
      <c r="L3198" s="57"/>
      <c r="M3198" s="57"/>
    </row>
    <row r="3199" spans="1:13" ht="15" customHeight="1">
      <c r="A3199" s="73"/>
      <c r="B3199" s="2"/>
      <c r="C3199" s="2"/>
      <c r="D3199" s="2"/>
      <c r="E3199" s="4"/>
      <c r="F3199" s="4"/>
      <c r="G3199" s="4"/>
      <c r="H3199" s="61"/>
      <c r="I3199" s="62"/>
      <c r="J3199" s="62"/>
      <c r="K3199" s="78"/>
      <c r="L3199" s="57"/>
      <c r="M3199" s="57"/>
    </row>
    <row r="3200" spans="1:13" ht="15" customHeight="1">
      <c r="A3200" s="73"/>
      <c r="B3200" s="2"/>
      <c r="C3200" s="2"/>
      <c r="D3200" s="2"/>
      <c r="E3200" s="4"/>
      <c r="F3200" s="4"/>
      <c r="G3200" s="4"/>
      <c r="H3200" s="61"/>
      <c r="I3200" s="62"/>
      <c r="J3200" s="62"/>
      <c r="K3200" s="78"/>
      <c r="L3200" s="57"/>
      <c r="M3200" s="57"/>
    </row>
    <row r="3201" spans="1:13" ht="15" customHeight="1">
      <c r="A3201" s="73"/>
      <c r="B3201" s="2"/>
      <c r="C3201" s="2"/>
      <c r="D3201" s="2"/>
      <c r="E3201" s="4"/>
      <c r="F3201" s="4"/>
      <c r="G3201" s="4"/>
      <c r="H3201" s="61"/>
      <c r="I3201" s="62"/>
      <c r="J3201" s="62"/>
      <c r="K3201" s="78"/>
      <c r="L3201" s="57"/>
      <c r="M3201" s="57"/>
    </row>
    <row r="3202" spans="1:13" ht="15" customHeight="1">
      <c r="A3202" s="73"/>
      <c r="B3202" s="2"/>
      <c r="C3202" s="2"/>
      <c r="D3202" s="2"/>
      <c r="E3202" s="4"/>
      <c r="F3202" s="4"/>
      <c r="G3202" s="4"/>
      <c r="H3202" s="61"/>
      <c r="I3202" s="62"/>
      <c r="J3202" s="62"/>
      <c r="K3202" s="78"/>
      <c r="L3202" s="57"/>
      <c r="M3202" s="57"/>
    </row>
    <row r="3203" spans="1:13" ht="15" customHeight="1">
      <c r="A3203" s="73"/>
      <c r="B3203" s="2"/>
      <c r="C3203" s="2"/>
      <c r="D3203" s="2"/>
      <c r="E3203" s="4"/>
      <c r="F3203" s="4"/>
      <c r="G3203" s="4"/>
      <c r="H3203" s="61"/>
      <c r="I3203" s="62"/>
      <c r="J3203" s="62"/>
      <c r="K3203" s="78"/>
      <c r="L3203" s="57"/>
      <c r="M3203" s="57"/>
    </row>
    <row r="3204" spans="1:13" ht="15" customHeight="1">
      <c r="A3204" s="73"/>
      <c r="B3204" s="2"/>
      <c r="C3204" s="2"/>
      <c r="D3204" s="2"/>
      <c r="E3204" s="4"/>
      <c r="F3204" s="4"/>
      <c r="G3204" s="4"/>
      <c r="H3204" s="61"/>
      <c r="I3204" s="62"/>
      <c r="J3204" s="62"/>
      <c r="K3204" s="78"/>
      <c r="L3204" s="57"/>
      <c r="M3204" s="57"/>
    </row>
    <row r="3205" spans="1:13" ht="15" customHeight="1">
      <c r="A3205" s="73"/>
      <c r="B3205" s="2"/>
      <c r="C3205" s="2"/>
      <c r="D3205" s="2"/>
      <c r="E3205" s="4"/>
      <c r="F3205" s="4"/>
      <c r="G3205" s="4"/>
      <c r="H3205" s="61"/>
      <c r="I3205" s="62"/>
      <c r="J3205" s="62"/>
      <c r="K3205" s="78"/>
      <c r="L3205" s="57"/>
      <c r="M3205" s="57"/>
    </row>
    <row r="3206" spans="1:13" ht="15" customHeight="1">
      <c r="A3206" s="73"/>
      <c r="B3206" s="2"/>
      <c r="C3206" s="2"/>
      <c r="D3206" s="2"/>
      <c r="E3206" s="4"/>
      <c r="F3206" s="4"/>
      <c r="G3206" s="4"/>
      <c r="H3206" s="61"/>
      <c r="I3206" s="62"/>
      <c r="J3206" s="62"/>
      <c r="K3206" s="78"/>
      <c r="L3206" s="57"/>
      <c r="M3206" s="57"/>
    </row>
    <row r="3207" spans="1:13" ht="15" customHeight="1">
      <c r="A3207" s="73"/>
      <c r="B3207" s="2"/>
      <c r="C3207" s="2"/>
      <c r="D3207" s="2"/>
      <c r="E3207" s="4"/>
      <c r="F3207" s="4"/>
      <c r="G3207" s="4"/>
      <c r="H3207" s="61"/>
      <c r="I3207" s="62"/>
      <c r="J3207" s="62"/>
      <c r="K3207" s="78"/>
      <c r="L3207" s="57"/>
      <c r="M3207" s="57"/>
    </row>
    <row r="3208" spans="1:13" ht="15" customHeight="1">
      <c r="A3208" s="73"/>
      <c r="B3208" s="2"/>
      <c r="C3208" s="2"/>
      <c r="D3208" s="2"/>
      <c r="E3208" s="4"/>
      <c r="F3208" s="4"/>
      <c r="G3208" s="4"/>
      <c r="H3208" s="61"/>
      <c r="I3208" s="62"/>
      <c r="J3208" s="62"/>
      <c r="K3208" s="78"/>
      <c r="L3208" s="57"/>
      <c r="M3208" s="57"/>
    </row>
    <row r="3209" spans="1:13" ht="15" customHeight="1">
      <c r="A3209" s="73"/>
      <c r="B3209" s="2"/>
      <c r="C3209" s="2"/>
      <c r="D3209" s="2"/>
      <c r="E3209" s="4"/>
      <c r="F3209" s="4"/>
      <c r="G3209" s="4"/>
      <c r="H3209" s="61"/>
      <c r="I3209" s="62"/>
      <c r="J3209" s="62"/>
      <c r="K3209" s="78"/>
      <c r="L3209" s="57"/>
      <c r="M3209" s="57"/>
    </row>
    <row r="3210" spans="1:13" ht="15" customHeight="1">
      <c r="A3210" s="73"/>
      <c r="B3210" s="2"/>
      <c r="C3210" s="2"/>
      <c r="D3210" s="2"/>
      <c r="E3210" s="4"/>
      <c r="F3210" s="4"/>
      <c r="G3210" s="4"/>
      <c r="H3210" s="61"/>
      <c r="I3210" s="62"/>
      <c r="J3210" s="62"/>
      <c r="K3210" s="78"/>
      <c r="L3210" s="57"/>
      <c r="M3210" s="57"/>
    </row>
    <row r="3211" spans="1:13" ht="15" customHeight="1">
      <c r="A3211" s="73"/>
      <c r="B3211" s="2"/>
      <c r="C3211" s="2"/>
      <c r="D3211" s="2"/>
      <c r="E3211" s="4"/>
      <c r="F3211" s="4"/>
      <c r="G3211" s="4"/>
      <c r="H3211" s="61"/>
      <c r="I3211" s="62"/>
      <c r="J3211" s="62"/>
      <c r="K3211" s="78"/>
      <c r="L3211" s="57"/>
      <c r="M3211" s="57"/>
    </row>
    <row r="3212" spans="1:13" ht="15" customHeight="1">
      <c r="A3212" s="73"/>
      <c r="B3212" s="2"/>
      <c r="C3212" s="2"/>
      <c r="D3212" s="2"/>
      <c r="E3212" s="4"/>
      <c r="F3212" s="4"/>
      <c r="G3212" s="4"/>
      <c r="H3212" s="61"/>
      <c r="I3212" s="62"/>
      <c r="J3212" s="62"/>
      <c r="K3212" s="78"/>
      <c r="L3212" s="57"/>
      <c r="M3212" s="57"/>
    </row>
    <row r="3213" spans="1:13" ht="15" customHeight="1">
      <c r="A3213" s="73"/>
      <c r="B3213" s="2"/>
      <c r="C3213" s="2"/>
      <c r="D3213" s="2"/>
      <c r="E3213" s="4"/>
      <c r="F3213" s="4"/>
      <c r="G3213" s="4"/>
      <c r="H3213" s="61"/>
      <c r="I3213" s="62"/>
      <c r="J3213" s="62"/>
      <c r="K3213" s="78"/>
      <c r="L3213" s="57"/>
      <c r="M3213" s="57"/>
    </row>
    <row r="3214" spans="1:13" ht="15" customHeight="1">
      <c r="A3214" s="73"/>
      <c r="B3214" s="2"/>
      <c r="C3214" s="2"/>
      <c r="D3214" s="2"/>
      <c r="E3214" s="4"/>
      <c r="F3214" s="4"/>
      <c r="G3214" s="4"/>
      <c r="H3214" s="61"/>
      <c r="I3214" s="62"/>
      <c r="J3214" s="62"/>
      <c r="K3214" s="78"/>
      <c r="L3214" s="57"/>
      <c r="M3214" s="57"/>
    </row>
    <row r="3215" spans="1:13" ht="15" customHeight="1">
      <c r="A3215" s="73"/>
      <c r="B3215" s="2"/>
      <c r="C3215" s="2"/>
      <c r="D3215" s="2"/>
      <c r="E3215" s="4"/>
      <c r="F3215" s="4"/>
      <c r="G3215" s="4"/>
      <c r="H3215" s="61"/>
      <c r="I3215" s="62"/>
      <c r="J3215" s="62"/>
      <c r="K3215" s="78"/>
      <c r="L3215" s="57"/>
      <c r="M3215" s="57"/>
    </row>
    <row r="3216" spans="1:13" ht="15" customHeight="1">
      <c r="A3216" s="73"/>
      <c r="B3216" s="2"/>
      <c r="C3216" s="2"/>
      <c r="D3216" s="2"/>
      <c r="E3216" s="4"/>
      <c r="F3216" s="4"/>
      <c r="G3216" s="4"/>
      <c r="H3216" s="61"/>
      <c r="I3216" s="62"/>
      <c r="J3216" s="62"/>
      <c r="K3216" s="78"/>
      <c r="L3216" s="57"/>
      <c r="M3216" s="57"/>
    </row>
    <row r="3217" spans="1:13" ht="15" customHeight="1">
      <c r="A3217" s="73"/>
      <c r="B3217" s="2"/>
      <c r="C3217" s="2"/>
      <c r="D3217" s="2"/>
      <c r="E3217" s="4"/>
      <c r="F3217" s="4"/>
      <c r="G3217" s="4"/>
      <c r="H3217" s="61"/>
      <c r="I3217" s="62"/>
      <c r="J3217" s="62"/>
      <c r="K3217" s="78"/>
      <c r="L3217" s="57"/>
      <c r="M3217" s="57"/>
    </row>
    <row r="3218" spans="1:13" ht="15" customHeight="1">
      <c r="A3218" s="73"/>
      <c r="B3218" s="2"/>
      <c r="C3218" s="2"/>
      <c r="D3218" s="2"/>
      <c r="E3218" s="4"/>
      <c r="F3218" s="4"/>
      <c r="G3218" s="4"/>
      <c r="H3218" s="61"/>
      <c r="I3218" s="62"/>
      <c r="J3218" s="62"/>
      <c r="K3218" s="78"/>
      <c r="L3218" s="57"/>
      <c r="M3218" s="57"/>
    </row>
    <row r="3219" spans="1:13" ht="15" customHeight="1">
      <c r="A3219" s="73"/>
      <c r="B3219" s="2"/>
      <c r="C3219" s="2"/>
      <c r="D3219" s="2"/>
      <c r="E3219" s="4"/>
      <c r="F3219" s="4"/>
      <c r="G3219" s="4"/>
      <c r="H3219" s="61"/>
      <c r="I3219" s="62"/>
      <c r="J3219" s="62"/>
      <c r="K3219" s="78"/>
      <c r="L3219" s="57"/>
      <c r="M3219" s="57"/>
    </row>
    <row r="3220" spans="1:13" ht="15" customHeight="1">
      <c r="A3220" s="73"/>
      <c r="B3220" s="2"/>
      <c r="C3220" s="2"/>
      <c r="D3220" s="2"/>
      <c r="E3220" s="4"/>
      <c r="F3220" s="4"/>
      <c r="G3220" s="4"/>
      <c r="H3220" s="61"/>
      <c r="I3220" s="62"/>
      <c r="J3220" s="62"/>
      <c r="K3220" s="78"/>
      <c r="L3220" s="57"/>
      <c r="M3220" s="57"/>
    </row>
    <row r="3221" spans="1:13" ht="15" customHeight="1">
      <c r="A3221" s="73"/>
      <c r="B3221" s="2"/>
      <c r="C3221" s="2"/>
      <c r="D3221" s="2"/>
      <c r="E3221" s="4"/>
      <c r="F3221" s="4"/>
      <c r="G3221" s="4"/>
      <c r="H3221" s="61"/>
      <c r="I3221" s="62"/>
      <c r="J3221" s="62"/>
      <c r="K3221" s="78"/>
      <c r="L3221" s="57"/>
      <c r="M3221" s="57"/>
    </row>
    <row r="3222" spans="1:13" ht="15" customHeight="1">
      <c r="A3222" s="73"/>
      <c r="B3222" s="2"/>
      <c r="C3222" s="2"/>
      <c r="D3222" s="2"/>
      <c r="E3222" s="4"/>
      <c r="F3222" s="4"/>
      <c r="G3222" s="4"/>
      <c r="H3222" s="61"/>
      <c r="I3222" s="62"/>
      <c r="J3222" s="62"/>
      <c r="K3222" s="78"/>
      <c r="L3222" s="57"/>
      <c r="M3222" s="57"/>
    </row>
    <row r="3223" spans="1:13" ht="15" customHeight="1">
      <c r="A3223" s="73"/>
      <c r="B3223" s="2"/>
      <c r="C3223" s="2"/>
      <c r="D3223" s="2"/>
      <c r="E3223" s="4"/>
      <c r="F3223" s="4"/>
      <c r="G3223" s="4"/>
      <c r="H3223" s="61"/>
      <c r="I3223" s="62"/>
      <c r="J3223" s="62"/>
      <c r="K3223" s="78"/>
      <c r="L3223" s="57"/>
      <c r="M3223" s="57"/>
    </row>
    <row r="3224" spans="1:13" ht="15" customHeight="1">
      <c r="A3224" s="73"/>
      <c r="B3224" s="2"/>
      <c r="C3224" s="2"/>
      <c r="D3224" s="2"/>
      <c r="E3224" s="4"/>
      <c r="F3224" s="4"/>
      <c r="G3224" s="4"/>
      <c r="H3224" s="61"/>
      <c r="I3224" s="62"/>
      <c r="J3224" s="62"/>
      <c r="K3224" s="78"/>
      <c r="L3224" s="57"/>
      <c r="M3224" s="57"/>
    </row>
    <row r="3225" spans="1:13" ht="15" customHeight="1">
      <c r="A3225" s="73"/>
      <c r="B3225" s="2"/>
      <c r="C3225" s="2"/>
      <c r="D3225" s="2"/>
      <c r="E3225" s="4"/>
      <c r="F3225" s="4"/>
      <c r="G3225" s="4"/>
      <c r="H3225" s="61"/>
      <c r="I3225" s="62"/>
      <c r="J3225" s="62"/>
      <c r="K3225" s="78"/>
      <c r="L3225" s="57"/>
      <c r="M3225" s="57"/>
    </row>
    <row r="3226" spans="1:13" ht="15" customHeight="1">
      <c r="A3226" s="73"/>
      <c r="B3226" s="2"/>
      <c r="C3226" s="2"/>
      <c r="D3226" s="2"/>
      <c r="E3226" s="4"/>
      <c r="F3226" s="4"/>
      <c r="G3226" s="4"/>
      <c r="H3226" s="61"/>
      <c r="I3226" s="62"/>
      <c r="J3226" s="62"/>
      <c r="K3226" s="78"/>
      <c r="L3226" s="57"/>
      <c r="M3226" s="57"/>
    </row>
    <row r="3227" spans="1:13" ht="15" customHeight="1">
      <c r="A3227" s="73"/>
      <c r="B3227" s="2"/>
      <c r="C3227" s="2"/>
      <c r="D3227" s="2"/>
      <c r="E3227" s="4"/>
      <c r="F3227" s="4"/>
      <c r="G3227" s="4"/>
      <c r="H3227" s="61"/>
      <c r="I3227" s="62"/>
      <c r="J3227" s="62"/>
      <c r="K3227" s="78"/>
      <c r="L3227" s="57"/>
      <c r="M3227" s="57"/>
    </row>
    <row r="3228" spans="1:13" ht="15" customHeight="1">
      <c r="A3228" s="73"/>
      <c r="B3228" s="2"/>
      <c r="C3228" s="2"/>
      <c r="D3228" s="2"/>
      <c r="E3228" s="4"/>
      <c r="F3228" s="4"/>
      <c r="G3228" s="4"/>
      <c r="H3228" s="61"/>
      <c r="I3228" s="62"/>
      <c r="J3228" s="62"/>
      <c r="K3228" s="78"/>
      <c r="L3228" s="57"/>
      <c r="M3228" s="57"/>
    </row>
    <row r="3229" spans="1:13" ht="15" customHeight="1">
      <c r="A3229" s="73"/>
      <c r="B3229" s="2"/>
      <c r="C3229" s="2"/>
      <c r="D3229" s="2"/>
      <c r="E3229" s="4"/>
      <c r="F3229" s="4"/>
      <c r="G3229" s="4"/>
      <c r="H3229" s="61"/>
      <c r="I3229" s="62"/>
      <c r="J3229" s="62"/>
      <c r="K3229" s="78"/>
      <c r="L3229" s="57"/>
      <c r="M3229" s="57"/>
    </row>
    <row r="3230" spans="1:13" ht="15" customHeight="1">
      <c r="A3230" s="73"/>
      <c r="B3230" s="2"/>
      <c r="C3230" s="2"/>
      <c r="D3230" s="2"/>
      <c r="E3230" s="4"/>
      <c r="F3230" s="4"/>
      <c r="G3230" s="4"/>
      <c r="H3230" s="61"/>
      <c r="I3230" s="62"/>
      <c r="J3230" s="62"/>
      <c r="K3230" s="78"/>
      <c r="L3230" s="57"/>
      <c r="M3230" s="57"/>
    </row>
    <row r="3231" spans="1:13" ht="15" customHeight="1">
      <c r="A3231" s="73"/>
      <c r="B3231" s="2"/>
      <c r="C3231" s="2"/>
      <c r="D3231" s="2"/>
      <c r="E3231" s="4"/>
      <c r="F3231" s="4"/>
      <c r="G3231" s="4"/>
      <c r="H3231" s="61"/>
      <c r="I3231" s="62"/>
      <c r="J3231" s="62"/>
      <c r="K3231" s="78"/>
      <c r="L3231" s="57"/>
      <c r="M3231" s="57"/>
    </row>
    <row r="3232" spans="1:13" ht="15" customHeight="1">
      <c r="A3232" s="73"/>
      <c r="B3232" s="2"/>
      <c r="C3232" s="2"/>
      <c r="D3232" s="2"/>
      <c r="E3232" s="4"/>
      <c r="F3232" s="4"/>
      <c r="G3232" s="4"/>
      <c r="H3232" s="61"/>
      <c r="I3232" s="62"/>
      <c r="J3232" s="62"/>
      <c r="K3232" s="78"/>
      <c r="L3232" s="57"/>
      <c r="M3232" s="57"/>
    </row>
    <row r="3233" spans="1:13" ht="15" customHeight="1">
      <c r="A3233" s="73"/>
      <c r="B3233" s="2"/>
      <c r="C3233" s="2"/>
      <c r="D3233" s="2"/>
      <c r="E3233" s="4"/>
      <c r="F3233" s="4"/>
      <c r="G3233" s="4"/>
      <c r="H3233" s="61"/>
      <c r="I3233" s="62"/>
      <c r="J3233" s="62"/>
      <c r="K3233" s="78"/>
      <c r="L3233" s="57"/>
      <c r="M3233" s="57"/>
    </row>
    <row r="3234" spans="1:13" ht="15" customHeight="1">
      <c r="A3234" s="73"/>
      <c r="B3234" s="2"/>
      <c r="C3234" s="2"/>
      <c r="D3234" s="2"/>
      <c r="E3234" s="4"/>
      <c r="F3234" s="4"/>
      <c r="G3234" s="4"/>
      <c r="H3234" s="61"/>
      <c r="I3234" s="62"/>
      <c r="J3234" s="62"/>
      <c r="K3234" s="78"/>
      <c r="L3234" s="57"/>
      <c r="M3234" s="57"/>
    </row>
    <row r="3235" spans="1:13" ht="15" customHeight="1">
      <c r="A3235" s="73"/>
      <c r="B3235" s="2"/>
      <c r="C3235" s="2"/>
      <c r="D3235" s="2"/>
      <c r="E3235" s="4"/>
      <c r="F3235" s="4"/>
      <c r="G3235" s="4"/>
      <c r="H3235" s="61"/>
      <c r="I3235" s="62"/>
      <c r="J3235" s="62"/>
      <c r="K3235" s="78"/>
      <c r="L3235" s="57"/>
      <c r="M3235" s="57"/>
    </row>
    <row r="3236" spans="1:13" ht="15" customHeight="1">
      <c r="A3236" s="73"/>
      <c r="B3236" s="2"/>
      <c r="C3236" s="2"/>
      <c r="D3236" s="2"/>
      <c r="E3236" s="4"/>
      <c r="F3236" s="4"/>
      <c r="G3236" s="4"/>
      <c r="H3236" s="61"/>
      <c r="I3236" s="62"/>
      <c r="J3236" s="62"/>
      <c r="K3236" s="78"/>
      <c r="L3236" s="57"/>
      <c r="M3236" s="57"/>
    </row>
    <row r="3237" spans="1:13" ht="15" customHeight="1">
      <c r="A3237" s="73"/>
      <c r="B3237" s="2"/>
      <c r="C3237" s="2"/>
      <c r="D3237" s="2"/>
      <c r="E3237" s="4"/>
      <c r="F3237" s="4"/>
      <c r="G3237" s="4"/>
      <c r="H3237" s="61"/>
      <c r="I3237" s="62"/>
      <c r="J3237" s="62"/>
      <c r="K3237" s="78"/>
      <c r="L3237" s="57"/>
      <c r="M3237" s="57"/>
    </row>
    <row r="3238" spans="1:13" ht="15" customHeight="1">
      <c r="A3238" s="73"/>
      <c r="B3238" s="2"/>
      <c r="C3238" s="2"/>
      <c r="D3238" s="2"/>
      <c r="E3238" s="4"/>
      <c r="F3238" s="4"/>
      <c r="G3238" s="4"/>
      <c r="H3238" s="61"/>
      <c r="I3238" s="62"/>
      <c r="J3238" s="62"/>
      <c r="K3238" s="78"/>
      <c r="L3238" s="57"/>
      <c r="M3238" s="57"/>
    </row>
    <row r="3239" spans="1:13" ht="15" customHeight="1">
      <c r="A3239" s="73"/>
      <c r="B3239" s="2"/>
      <c r="C3239" s="2"/>
      <c r="D3239" s="2"/>
      <c r="E3239" s="4"/>
      <c r="F3239" s="4"/>
      <c r="G3239" s="4"/>
      <c r="H3239" s="61"/>
      <c r="I3239" s="62"/>
      <c r="J3239" s="62"/>
      <c r="K3239" s="78"/>
      <c r="L3239" s="57"/>
      <c r="M3239" s="57"/>
    </row>
    <row r="3240" spans="1:13" ht="15" customHeight="1">
      <c r="A3240" s="73"/>
      <c r="B3240" s="2"/>
      <c r="C3240" s="2"/>
      <c r="D3240" s="2"/>
      <c r="E3240" s="4"/>
      <c r="F3240" s="4"/>
      <c r="G3240" s="4"/>
      <c r="H3240" s="61"/>
      <c r="I3240" s="62"/>
      <c r="J3240" s="62"/>
      <c r="K3240" s="78"/>
      <c r="L3240" s="57"/>
      <c r="M3240" s="57"/>
    </row>
    <row r="3241" spans="1:13" ht="15" customHeight="1">
      <c r="A3241" s="73"/>
      <c r="B3241" s="2"/>
      <c r="C3241" s="2"/>
      <c r="D3241" s="2"/>
      <c r="E3241" s="4"/>
      <c r="F3241" s="4"/>
      <c r="G3241" s="4"/>
      <c r="H3241" s="61"/>
      <c r="I3241" s="62"/>
      <c r="J3241" s="62"/>
      <c r="K3241" s="78"/>
      <c r="L3241" s="57"/>
      <c r="M3241" s="57"/>
    </row>
    <row r="3242" spans="1:13" ht="15" customHeight="1">
      <c r="A3242" s="73"/>
      <c r="B3242" s="2"/>
      <c r="C3242" s="2"/>
      <c r="D3242" s="2"/>
      <c r="E3242" s="4"/>
      <c r="F3242" s="4"/>
      <c r="G3242" s="4"/>
      <c r="H3242" s="61"/>
      <c r="I3242" s="62"/>
      <c r="J3242" s="62"/>
      <c r="K3242" s="78"/>
      <c r="L3242" s="57"/>
      <c r="M3242" s="57"/>
    </row>
    <row r="3243" spans="1:13" ht="15" customHeight="1">
      <c r="A3243" s="73"/>
      <c r="B3243" s="2"/>
      <c r="C3243" s="2"/>
      <c r="D3243" s="2"/>
      <c r="E3243" s="4"/>
      <c r="F3243" s="4"/>
      <c r="G3243" s="4"/>
      <c r="H3243" s="61"/>
      <c r="I3243" s="62"/>
      <c r="J3243" s="62"/>
      <c r="K3243" s="78"/>
      <c r="L3243" s="57"/>
      <c r="M3243" s="57"/>
    </row>
    <row r="3244" spans="1:13" ht="15" customHeight="1">
      <c r="A3244" s="73"/>
      <c r="B3244" s="2"/>
      <c r="C3244" s="2"/>
      <c r="D3244" s="2"/>
      <c r="E3244" s="4"/>
      <c r="F3244" s="4"/>
      <c r="G3244" s="4"/>
      <c r="H3244" s="61"/>
      <c r="I3244" s="62"/>
      <c r="J3244" s="62"/>
      <c r="K3244" s="78"/>
      <c r="L3244" s="57"/>
      <c r="M3244" s="57"/>
    </row>
    <row r="3245" spans="1:13" ht="15" customHeight="1">
      <c r="A3245" s="73"/>
      <c r="B3245" s="2"/>
      <c r="C3245" s="2"/>
      <c r="D3245" s="2"/>
      <c r="E3245" s="4"/>
      <c r="F3245" s="4"/>
      <c r="G3245" s="4"/>
      <c r="H3245" s="61"/>
      <c r="I3245" s="62"/>
      <c r="J3245" s="62"/>
      <c r="K3245" s="78"/>
      <c r="L3245" s="57"/>
      <c r="M3245" s="57"/>
    </row>
    <row r="3246" spans="1:13" ht="15" customHeight="1">
      <c r="A3246" s="73"/>
      <c r="B3246" s="2"/>
      <c r="C3246" s="2"/>
      <c r="D3246" s="2"/>
      <c r="E3246" s="4"/>
      <c r="F3246" s="4"/>
      <c r="G3246" s="4"/>
      <c r="H3246" s="61"/>
      <c r="I3246" s="62"/>
      <c r="J3246" s="62"/>
      <c r="K3246" s="78"/>
      <c r="L3246" s="57"/>
      <c r="M3246" s="57"/>
    </row>
    <row r="3247" spans="1:13" ht="15" customHeight="1">
      <c r="A3247" s="73"/>
      <c r="B3247" s="2"/>
      <c r="C3247" s="2"/>
      <c r="D3247" s="2"/>
      <c r="E3247" s="4"/>
      <c r="F3247" s="4"/>
      <c r="G3247" s="4"/>
      <c r="H3247" s="61"/>
      <c r="I3247" s="62"/>
      <c r="J3247" s="62"/>
      <c r="K3247" s="78"/>
      <c r="L3247" s="57"/>
      <c r="M3247" s="57"/>
    </row>
    <row r="3248" spans="1:13" ht="15" customHeight="1">
      <c r="A3248" s="73"/>
      <c r="B3248" s="2"/>
      <c r="C3248" s="2"/>
      <c r="D3248" s="2"/>
      <c r="E3248" s="4"/>
      <c r="F3248" s="4"/>
      <c r="G3248" s="4"/>
      <c r="H3248" s="61"/>
      <c r="I3248" s="62"/>
      <c r="J3248" s="62"/>
      <c r="K3248" s="78"/>
      <c r="L3248" s="57"/>
      <c r="M3248" s="57"/>
    </row>
    <row r="3249" spans="1:13" ht="15" customHeight="1">
      <c r="A3249" s="73"/>
      <c r="B3249" s="2"/>
      <c r="C3249" s="2"/>
      <c r="D3249" s="2"/>
      <c r="E3249" s="4"/>
      <c r="F3249" s="4"/>
      <c r="G3249" s="4"/>
      <c r="H3249" s="61"/>
      <c r="I3249" s="62"/>
      <c r="J3249" s="62"/>
      <c r="K3249" s="78"/>
      <c r="L3249" s="57"/>
      <c r="M3249" s="57"/>
    </row>
    <row r="3250" spans="1:13" ht="15" customHeight="1">
      <c r="A3250" s="73"/>
      <c r="B3250" s="2"/>
      <c r="C3250" s="2"/>
      <c r="D3250" s="2"/>
      <c r="E3250" s="4"/>
      <c r="F3250" s="4"/>
      <c r="G3250" s="4"/>
      <c r="H3250" s="61"/>
      <c r="I3250" s="62"/>
      <c r="J3250" s="62"/>
      <c r="K3250" s="78"/>
      <c r="L3250" s="57"/>
      <c r="M3250" s="57"/>
    </row>
    <row r="3251" spans="1:13" ht="15" customHeight="1">
      <c r="A3251" s="73"/>
      <c r="B3251" s="2"/>
      <c r="C3251" s="2"/>
      <c r="D3251" s="2"/>
      <c r="E3251" s="4"/>
      <c r="F3251" s="4"/>
      <c r="G3251" s="4"/>
      <c r="H3251" s="61"/>
      <c r="I3251" s="62"/>
      <c r="J3251" s="62"/>
      <c r="K3251" s="78"/>
      <c r="L3251" s="57"/>
      <c r="M3251" s="57"/>
    </row>
    <row r="3252" spans="1:13" ht="15" customHeight="1">
      <c r="A3252" s="73"/>
      <c r="B3252" s="2"/>
      <c r="C3252" s="2"/>
      <c r="D3252" s="2"/>
      <c r="E3252" s="4"/>
      <c r="F3252" s="4"/>
      <c r="G3252" s="4"/>
      <c r="H3252" s="61"/>
      <c r="I3252" s="62"/>
      <c r="J3252" s="62"/>
      <c r="K3252" s="78"/>
      <c r="L3252" s="57"/>
      <c r="M3252" s="57"/>
    </row>
    <row r="3253" spans="1:13" ht="15" customHeight="1">
      <c r="A3253" s="73"/>
      <c r="B3253" s="2"/>
      <c r="C3253" s="2"/>
      <c r="D3253" s="2"/>
      <c r="E3253" s="4"/>
      <c r="F3253" s="4"/>
      <c r="G3253" s="4"/>
      <c r="H3253" s="61"/>
      <c r="I3253" s="62"/>
      <c r="J3253" s="62"/>
      <c r="K3253" s="78"/>
      <c r="L3253" s="57"/>
      <c r="M3253" s="57"/>
    </row>
    <row r="3254" spans="1:13" ht="15" customHeight="1">
      <c r="A3254" s="73"/>
      <c r="B3254" s="2"/>
      <c r="C3254" s="2"/>
      <c r="D3254" s="2"/>
      <c r="E3254" s="4"/>
      <c r="F3254" s="4"/>
      <c r="G3254" s="4"/>
      <c r="H3254" s="61"/>
      <c r="I3254" s="62"/>
      <c r="J3254" s="62"/>
      <c r="K3254" s="78"/>
      <c r="L3254" s="57"/>
      <c r="M3254" s="57"/>
    </row>
    <row r="3255" spans="1:13" ht="15" customHeight="1">
      <c r="A3255" s="73"/>
      <c r="B3255" s="2"/>
      <c r="C3255" s="2"/>
      <c r="D3255" s="2"/>
      <c r="E3255" s="4"/>
      <c r="F3255" s="4"/>
      <c r="G3255" s="4"/>
      <c r="H3255" s="61"/>
      <c r="I3255" s="62"/>
      <c r="J3255" s="62"/>
      <c r="K3255" s="78"/>
      <c r="L3255" s="57"/>
      <c r="M3255" s="57"/>
    </row>
    <row r="3256" spans="1:13" ht="15" customHeight="1">
      <c r="A3256" s="73"/>
      <c r="B3256" s="2"/>
      <c r="C3256" s="2"/>
      <c r="D3256" s="2"/>
      <c r="E3256" s="4"/>
      <c r="F3256" s="4"/>
      <c r="G3256" s="4"/>
      <c r="H3256" s="61"/>
      <c r="I3256" s="62"/>
      <c r="J3256" s="62"/>
      <c r="K3256" s="78"/>
      <c r="L3256" s="57"/>
      <c r="M3256" s="57"/>
    </row>
    <row r="3257" spans="1:13" ht="15" customHeight="1">
      <c r="A3257" s="73"/>
      <c r="B3257" s="2"/>
      <c r="C3257" s="2"/>
      <c r="D3257" s="2"/>
      <c r="E3257" s="4"/>
      <c r="F3257" s="4"/>
      <c r="G3257" s="4"/>
      <c r="H3257" s="61"/>
      <c r="I3257" s="62"/>
      <c r="J3257" s="62"/>
      <c r="K3257" s="78"/>
      <c r="L3257" s="57"/>
      <c r="M3257" s="57"/>
    </row>
    <row r="3258" spans="1:13" ht="15" customHeight="1">
      <c r="A3258" s="73"/>
      <c r="B3258" s="2"/>
      <c r="C3258" s="2"/>
      <c r="D3258" s="2"/>
      <c r="E3258" s="4"/>
      <c r="F3258" s="4"/>
      <c r="G3258" s="4"/>
      <c r="H3258" s="61"/>
      <c r="I3258" s="62"/>
      <c r="J3258" s="62"/>
      <c r="K3258" s="78"/>
      <c r="L3258" s="57"/>
      <c r="M3258" s="57"/>
    </row>
    <row r="3259" spans="1:13" ht="15" customHeight="1">
      <c r="A3259" s="73"/>
      <c r="B3259" s="2"/>
      <c r="C3259" s="2"/>
      <c r="D3259" s="2"/>
      <c r="E3259" s="4"/>
      <c r="F3259" s="4"/>
      <c r="G3259" s="4"/>
      <c r="H3259" s="61"/>
      <c r="I3259" s="62"/>
      <c r="J3259" s="62"/>
      <c r="K3259" s="78"/>
      <c r="L3259" s="57"/>
      <c r="M3259" s="57"/>
    </row>
    <row r="3260" spans="1:13" ht="15" customHeight="1">
      <c r="A3260" s="73"/>
      <c r="B3260" s="2"/>
      <c r="C3260" s="2"/>
      <c r="D3260" s="2"/>
      <c r="E3260" s="4"/>
      <c r="F3260" s="4"/>
      <c r="G3260" s="4"/>
      <c r="H3260" s="61"/>
      <c r="I3260" s="62"/>
      <c r="J3260" s="62"/>
      <c r="K3260" s="78"/>
      <c r="L3260" s="57"/>
      <c r="M3260" s="57"/>
    </row>
    <row r="3261" spans="1:13" ht="15" customHeight="1">
      <c r="A3261" s="73"/>
      <c r="B3261" s="2"/>
      <c r="C3261" s="2"/>
      <c r="D3261" s="2"/>
      <c r="E3261" s="4"/>
      <c r="F3261" s="4"/>
      <c r="G3261" s="4"/>
      <c r="H3261" s="61"/>
      <c r="I3261" s="62"/>
      <c r="J3261" s="62"/>
      <c r="K3261" s="78"/>
      <c r="L3261" s="57"/>
      <c r="M3261" s="57"/>
    </row>
    <row r="3262" spans="1:13" ht="15" customHeight="1">
      <c r="A3262" s="73"/>
      <c r="B3262" s="2"/>
      <c r="C3262" s="2"/>
      <c r="D3262" s="2"/>
      <c r="E3262" s="4"/>
      <c r="F3262" s="4"/>
      <c r="G3262" s="4"/>
      <c r="H3262" s="61"/>
      <c r="I3262" s="62"/>
      <c r="J3262" s="62"/>
      <c r="K3262" s="78"/>
      <c r="L3262" s="57"/>
      <c r="M3262" s="57"/>
    </row>
    <row r="3263" spans="1:13" ht="15" customHeight="1">
      <c r="A3263" s="73"/>
      <c r="B3263" s="2"/>
      <c r="C3263" s="2"/>
      <c r="D3263" s="2"/>
      <c r="E3263" s="4"/>
      <c r="F3263" s="4"/>
      <c r="G3263" s="4"/>
      <c r="H3263" s="61"/>
      <c r="I3263" s="62"/>
      <c r="J3263" s="62"/>
      <c r="K3263" s="78"/>
      <c r="L3263" s="57"/>
      <c r="M3263" s="57"/>
    </row>
    <row r="3264" spans="1:13" ht="15" customHeight="1">
      <c r="A3264" s="73"/>
      <c r="B3264" s="2"/>
      <c r="C3264" s="2"/>
      <c r="D3264" s="2"/>
      <c r="E3264" s="4"/>
      <c r="F3264" s="4"/>
      <c r="G3264" s="4"/>
      <c r="H3264" s="61"/>
      <c r="I3264" s="62"/>
      <c r="J3264" s="62"/>
      <c r="K3264" s="78"/>
      <c r="L3264" s="57"/>
      <c r="M3264" s="57"/>
    </row>
    <row r="3265" spans="1:13" ht="15" customHeight="1">
      <c r="A3265" s="73"/>
      <c r="B3265" s="2"/>
      <c r="C3265" s="2"/>
      <c r="D3265" s="2"/>
      <c r="E3265" s="63"/>
      <c r="F3265" s="4"/>
      <c r="G3265" s="4"/>
      <c r="H3265" s="61"/>
      <c r="I3265" s="62"/>
      <c r="J3265" s="62"/>
      <c r="K3265" s="78"/>
      <c r="L3265" s="57"/>
      <c r="M3265" s="57"/>
    </row>
    <row r="3266" spans="1:13" ht="15" customHeight="1">
      <c r="A3266" s="73"/>
      <c r="B3266" s="2"/>
      <c r="C3266" s="2"/>
      <c r="D3266" s="2"/>
      <c r="E3266" s="63"/>
      <c r="F3266" s="4"/>
      <c r="G3266" s="4"/>
      <c r="H3266" s="61"/>
      <c r="I3266" s="62"/>
      <c r="J3266" s="62"/>
      <c r="K3266" s="78"/>
      <c r="L3266" s="57"/>
      <c r="M3266" s="57"/>
    </row>
    <row r="3267" spans="1:13" ht="15" customHeight="1">
      <c r="A3267" s="73"/>
      <c r="B3267" s="2"/>
      <c r="C3267" s="2"/>
      <c r="D3267" s="2"/>
      <c r="E3267" s="4"/>
      <c r="F3267" s="4"/>
      <c r="G3267" s="4"/>
      <c r="H3267" s="61"/>
      <c r="I3267" s="62"/>
      <c r="J3267" s="62"/>
      <c r="K3267" s="78"/>
      <c r="L3267" s="57"/>
      <c r="M3267" s="57"/>
    </row>
    <row r="3268" spans="1:13" ht="15" customHeight="1">
      <c r="A3268" s="73"/>
      <c r="B3268" s="2"/>
      <c r="C3268" s="2"/>
      <c r="D3268" s="2"/>
      <c r="E3268" s="4"/>
      <c r="F3268" s="4"/>
      <c r="G3268" s="4"/>
      <c r="H3268" s="61"/>
      <c r="I3268" s="62"/>
      <c r="J3268" s="62"/>
      <c r="K3268" s="78"/>
      <c r="L3268" s="57"/>
      <c r="M3268" s="57"/>
    </row>
    <row r="3269" spans="1:13" ht="15" customHeight="1">
      <c r="A3269" s="73"/>
      <c r="B3269" s="2"/>
      <c r="C3269" s="2"/>
      <c r="D3269" s="2"/>
      <c r="E3269" s="4"/>
      <c r="F3269" s="4"/>
      <c r="G3269" s="4"/>
      <c r="H3269" s="61"/>
      <c r="I3269" s="62"/>
      <c r="J3269" s="62"/>
      <c r="K3269" s="78"/>
      <c r="L3269" s="57"/>
      <c r="M3269" s="57"/>
    </row>
    <row r="3270" spans="1:13" ht="15" customHeight="1">
      <c r="A3270" s="73"/>
      <c r="B3270" s="2"/>
      <c r="C3270" s="2"/>
      <c r="D3270" s="2"/>
      <c r="E3270" s="4"/>
      <c r="F3270" s="4"/>
      <c r="G3270" s="4"/>
      <c r="H3270" s="61"/>
      <c r="I3270" s="62"/>
      <c r="J3270" s="62"/>
      <c r="K3270" s="78"/>
      <c r="L3270" s="57"/>
      <c r="M3270" s="57"/>
    </row>
    <row r="3271" spans="1:13" ht="15" customHeight="1">
      <c r="A3271" s="73"/>
      <c r="B3271" s="2"/>
      <c r="C3271" s="2"/>
      <c r="D3271" s="2"/>
      <c r="E3271" s="4"/>
      <c r="F3271" s="4"/>
      <c r="G3271" s="4"/>
      <c r="H3271" s="61"/>
      <c r="I3271" s="62"/>
      <c r="J3271" s="62"/>
      <c r="K3271" s="78"/>
      <c r="L3271" s="57"/>
      <c r="M3271" s="57"/>
    </row>
    <row r="3272" spans="1:13" ht="15" customHeight="1">
      <c r="A3272" s="73"/>
      <c r="B3272" s="2"/>
      <c r="C3272" s="2"/>
      <c r="D3272" s="2"/>
      <c r="E3272" s="4"/>
      <c r="F3272" s="4"/>
      <c r="G3272" s="4"/>
      <c r="H3272" s="61"/>
      <c r="I3272" s="62"/>
      <c r="J3272" s="62"/>
      <c r="K3272" s="78"/>
      <c r="L3272" s="57"/>
      <c r="M3272" s="57"/>
    </row>
    <row r="3273" spans="1:13" ht="15" customHeight="1">
      <c r="A3273" s="73"/>
      <c r="B3273" s="2"/>
      <c r="C3273" s="2"/>
      <c r="D3273" s="2"/>
      <c r="E3273" s="4"/>
      <c r="F3273" s="4"/>
      <c r="G3273" s="4"/>
      <c r="H3273" s="61"/>
      <c r="I3273" s="62"/>
      <c r="J3273" s="62"/>
      <c r="K3273" s="78"/>
      <c r="L3273" s="57"/>
      <c r="M3273" s="57"/>
    </row>
    <row r="3274" spans="1:13" ht="15" customHeight="1">
      <c r="A3274" s="73"/>
      <c r="B3274" s="2"/>
      <c r="C3274" s="2"/>
      <c r="D3274" s="2"/>
      <c r="E3274" s="4"/>
      <c r="F3274" s="4"/>
      <c r="G3274" s="4"/>
      <c r="H3274" s="61"/>
      <c r="I3274" s="62"/>
      <c r="J3274" s="62"/>
      <c r="K3274" s="78"/>
      <c r="L3274" s="57"/>
      <c r="M3274" s="57"/>
    </row>
    <row r="3275" spans="1:13" ht="15" customHeight="1">
      <c r="A3275" s="73"/>
      <c r="B3275" s="2"/>
      <c r="C3275" s="2"/>
      <c r="D3275" s="2"/>
      <c r="E3275" s="4"/>
      <c r="F3275" s="4"/>
      <c r="G3275" s="4"/>
      <c r="H3275" s="61"/>
      <c r="I3275" s="62"/>
      <c r="J3275" s="62"/>
      <c r="K3275" s="78"/>
      <c r="L3275" s="57"/>
      <c r="M3275" s="57"/>
    </row>
    <row r="3276" spans="1:13" ht="15" customHeight="1">
      <c r="A3276" s="73"/>
      <c r="B3276" s="2"/>
      <c r="C3276" s="2"/>
      <c r="D3276" s="2"/>
      <c r="E3276" s="4"/>
      <c r="F3276" s="4"/>
      <c r="G3276" s="4"/>
      <c r="H3276" s="61"/>
      <c r="I3276" s="62"/>
      <c r="J3276" s="62"/>
      <c r="K3276" s="78"/>
      <c r="L3276" s="57"/>
      <c r="M3276" s="57"/>
    </row>
    <row r="3277" spans="1:13" ht="15" customHeight="1">
      <c r="A3277" s="73"/>
      <c r="B3277" s="2"/>
      <c r="C3277" s="2"/>
      <c r="D3277" s="2"/>
      <c r="E3277" s="4"/>
      <c r="F3277" s="4"/>
      <c r="G3277" s="4"/>
      <c r="H3277" s="61"/>
      <c r="I3277" s="62"/>
      <c r="J3277" s="62"/>
      <c r="K3277" s="78"/>
      <c r="L3277" s="57"/>
      <c r="M3277" s="57"/>
    </row>
    <row r="3278" spans="1:13" ht="15" customHeight="1">
      <c r="A3278" s="73"/>
      <c r="B3278" s="2"/>
      <c r="C3278" s="2"/>
      <c r="D3278" s="2"/>
      <c r="E3278" s="4"/>
      <c r="F3278" s="4"/>
      <c r="G3278" s="4"/>
      <c r="H3278" s="61"/>
      <c r="I3278" s="62"/>
      <c r="J3278" s="62"/>
      <c r="K3278" s="78"/>
      <c r="L3278" s="57"/>
      <c r="M3278" s="57"/>
    </row>
    <row r="3279" spans="1:13" ht="15" customHeight="1">
      <c r="A3279" s="73"/>
      <c r="B3279" s="2"/>
      <c r="C3279" s="2"/>
      <c r="D3279" s="2"/>
      <c r="E3279" s="4"/>
      <c r="F3279" s="4"/>
      <c r="G3279" s="4"/>
      <c r="H3279" s="61"/>
      <c r="I3279" s="62"/>
      <c r="J3279" s="62"/>
      <c r="K3279" s="78"/>
      <c r="L3279" s="57"/>
      <c r="M3279" s="57"/>
    </row>
    <row r="3280" spans="1:13" ht="15" customHeight="1">
      <c r="A3280" s="73"/>
      <c r="B3280" s="2"/>
      <c r="C3280" s="2"/>
      <c r="D3280" s="2"/>
      <c r="E3280" s="4"/>
      <c r="F3280" s="4"/>
      <c r="G3280" s="4"/>
      <c r="H3280" s="61"/>
      <c r="I3280" s="62"/>
      <c r="J3280" s="62"/>
      <c r="K3280" s="78"/>
      <c r="L3280" s="57"/>
      <c r="M3280" s="57"/>
    </row>
    <row r="3281" spans="1:13" ht="15" customHeight="1">
      <c r="A3281" s="73"/>
      <c r="B3281" s="2"/>
      <c r="C3281" s="2"/>
      <c r="D3281" s="2"/>
      <c r="E3281" s="4"/>
      <c r="F3281" s="4"/>
      <c r="G3281" s="4"/>
      <c r="H3281" s="61"/>
      <c r="I3281" s="62"/>
      <c r="J3281" s="62"/>
      <c r="K3281" s="78"/>
      <c r="L3281" s="57"/>
      <c r="M3281" s="57"/>
    </row>
    <row r="3282" spans="1:13" ht="15" customHeight="1">
      <c r="A3282" s="73"/>
      <c r="B3282" s="2"/>
      <c r="C3282" s="2"/>
      <c r="D3282" s="2"/>
      <c r="E3282" s="4"/>
      <c r="F3282" s="4"/>
      <c r="G3282" s="4"/>
      <c r="H3282" s="61"/>
      <c r="I3282" s="62"/>
      <c r="J3282" s="62"/>
      <c r="K3282" s="78"/>
      <c r="L3282" s="57"/>
      <c r="M3282" s="57"/>
    </row>
    <row r="3283" spans="1:13" ht="15" customHeight="1">
      <c r="A3283" s="73"/>
      <c r="B3283" s="2"/>
      <c r="C3283" s="2"/>
      <c r="D3283" s="2"/>
      <c r="E3283" s="4"/>
      <c r="F3283" s="4"/>
      <c r="G3283" s="4"/>
      <c r="H3283" s="61"/>
      <c r="I3283" s="62"/>
      <c r="J3283" s="62"/>
      <c r="K3283" s="78"/>
      <c r="L3283" s="57"/>
      <c r="M3283" s="57"/>
    </row>
    <row r="3284" spans="1:13" ht="15" customHeight="1">
      <c r="A3284" s="73"/>
      <c r="B3284" s="2"/>
      <c r="C3284" s="2"/>
      <c r="D3284" s="2"/>
      <c r="E3284" s="4"/>
      <c r="F3284" s="4"/>
      <c r="G3284" s="4"/>
      <c r="H3284" s="61"/>
      <c r="I3284" s="62"/>
      <c r="J3284" s="62"/>
      <c r="K3284" s="78"/>
      <c r="L3284" s="57"/>
      <c r="M3284" s="57"/>
    </row>
    <row r="3285" spans="1:13" ht="15" customHeight="1">
      <c r="A3285" s="73"/>
      <c r="B3285" s="2"/>
      <c r="C3285" s="2"/>
      <c r="D3285" s="2"/>
      <c r="E3285" s="4"/>
      <c r="F3285" s="4"/>
      <c r="G3285" s="4"/>
      <c r="H3285" s="61"/>
      <c r="I3285" s="62"/>
      <c r="J3285" s="62"/>
      <c r="K3285" s="78"/>
      <c r="L3285" s="57"/>
      <c r="M3285" s="57"/>
    </row>
    <row r="3286" spans="1:13" ht="15" customHeight="1">
      <c r="A3286" s="73"/>
      <c r="B3286" s="2"/>
      <c r="C3286" s="2"/>
      <c r="D3286" s="2"/>
      <c r="E3286" s="4"/>
      <c r="F3286" s="4"/>
      <c r="G3286" s="4"/>
      <c r="H3286" s="61"/>
      <c r="I3286" s="62"/>
      <c r="J3286" s="62"/>
      <c r="K3286" s="78"/>
      <c r="L3286" s="57"/>
      <c r="M3286" s="57"/>
    </row>
    <row r="3287" spans="1:13" ht="15" customHeight="1">
      <c r="A3287" s="73"/>
      <c r="B3287" s="2"/>
      <c r="C3287" s="2"/>
      <c r="D3287" s="2"/>
      <c r="E3287" s="4"/>
      <c r="F3287" s="4"/>
      <c r="G3287" s="4"/>
      <c r="H3287" s="61"/>
      <c r="I3287" s="62"/>
      <c r="J3287" s="62"/>
      <c r="K3287" s="78"/>
      <c r="L3287" s="57"/>
      <c r="M3287" s="57"/>
    </row>
    <row r="3288" spans="1:13" ht="15" customHeight="1">
      <c r="A3288" s="73"/>
      <c r="B3288" s="2"/>
      <c r="C3288" s="2"/>
      <c r="D3288" s="2"/>
      <c r="E3288" s="4"/>
      <c r="F3288" s="4"/>
      <c r="G3288" s="4"/>
      <c r="H3288" s="61"/>
      <c r="I3288" s="62"/>
      <c r="J3288" s="62"/>
      <c r="K3288" s="78"/>
      <c r="L3288" s="57"/>
      <c r="M3288" s="57"/>
    </row>
    <row r="3289" spans="1:13" ht="15" customHeight="1">
      <c r="A3289" s="73"/>
      <c r="B3289" s="2"/>
      <c r="C3289" s="2"/>
      <c r="D3289" s="2"/>
      <c r="E3289" s="4"/>
      <c r="F3289" s="4"/>
      <c r="G3289" s="4"/>
      <c r="H3289" s="61"/>
      <c r="I3289" s="62"/>
      <c r="J3289" s="62"/>
      <c r="K3289" s="78"/>
      <c r="L3289" s="57"/>
      <c r="M3289" s="57"/>
    </row>
    <row r="3290" spans="1:13" ht="15" customHeight="1">
      <c r="A3290" s="73"/>
      <c r="B3290" s="2"/>
      <c r="C3290" s="2"/>
      <c r="D3290" s="2"/>
      <c r="E3290" s="4"/>
      <c r="F3290" s="4"/>
      <c r="G3290" s="4"/>
      <c r="H3290" s="61"/>
      <c r="I3290" s="62"/>
      <c r="J3290" s="62"/>
      <c r="K3290" s="78"/>
      <c r="L3290" s="57"/>
      <c r="M3290" s="57"/>
    </row>
    <row r="3291" spans="1:13" ht="15" customHeight="1">
      <c r="A3291" s="73"/>
      <c r="B3291" s="2"/>
      <c r="C3291" s="2"/>
      <c r="D3291" s="2"/>
      <c r="E3291" s="4"/>
      <c r="F3291" s="4"/>
      <c r="G3291" s="4"/>
      <c r="H3291" s="61"/>
      <c r="I3291" s="62"/>
      <c r="J3291" s="62"/>
      <c r="K3291" s="78"/>
      <c r="L3291" s="57"/>
      <c r="M3291" s="57"/>
    </row>
    <row r="3292" spans="1:13" ht="15" customHeight="1">
      <c r="A3292" s="73"/>
      <c r="B3292" s="2"/>
      <c r="C3292" s="2"/>
      <c r="D3292" s="2"/>
      <c r="E3292" s="4"/>
      <c r="F3292" s="4"/>
      <c r="G3292" s="4"/>
      <c r="H3292" s="61"/>
      <c r="I3292" s="62"/>
      <c r="J3292" s="62"/>
      <c r="K3292" s="78"/>
      <c r="L3292" s="57"/>
      <c r="M3292" s="57"/>
    </row>
    <row r="3293" spans="1:13" ht="15" customHeight="1">
      <c r="A3293" s="73"/>
      <c r="B3293" s="2"/>
      <c r="C3293" s="2"/>
      <c r="D3293" s="2"/>
      <c r="E3293" s="4"/>
      <c r="F3293" s="4"/>
      <c r="G3293" s="4"/>
      <c r="H3293" s="61"/>
      <c r="I3293" s="62"/>
      <c r="J3293" s="62"/>
      <c r="K3293" s="78"/>
      <c r="L3293" s="57"/>
      <c r="M3293" s="57"/>
    </row>
    <row r="3294" spans="1:13" ht="15" customHeight="1">
      <c r="A3294" s="73"/>
      <c r="B3294" s="2"/>
      <c r="C3294" s="2"/>
      <c r="D3294" s="2"/>
      <c r="E3294" s="4"/>
      <c r="F3294" s="4"/>
      <c r="G3294" s="4"/>
      <c r="H3294" s="61"/>
      <c r="I3294" s="62"/>
      <c r="J3294" s="62"/>
      <c r="K3294" s="78"/>
      <c r="L3294" s="57"/>
      <c r="M3294" s="57"/>
    </row>
    <row r="3295" spans="1:13" ht="15" customHeight="1">
      <c r="A3295" s="73"/>
      <c r="B3295" s="2"/>
      <c r="C3295" s="2"/>
      <c r="D3295" s="2"/>
      <c r="E3295" s="4"/>
      <c r="F3295" s="4"/>
      <c r="G3295" s="4"/>
      <c r="H3295" s="61"/>
      <c r="I3295" s="62"/>
      <c r="J3295" s="62"/>
      <c r="K3295" s="78"/>
      <c r="L3295" s="57"/>
      <c r="M3295" s="57"/>
    </row>
    <row r="3296" spans="1:13" ht="15" customHeight="1">
      <c r="A3296" s="73"/>
      <c r="B3296" s="2"/>
      <c r="C3296" s="2"/>
      <c r="D3296" s="2"/>
      <c r="E3296" s="4"/>
      <c r="F3296" s="4"/>
      <c r="G3296" s="4"/>
      <c r="H3296" s="61"/>
      <c r="I3296" s="62"/>
      <c r="J3296" s="62"/>
      <c r="K3296" s="78"/>
      <c r="L3296" s="57"/>
      <c r="M3296" s="57"/>
    </row>
    <row r="3297" spans="1:13" ht="15" customHeight="1">
      <c r="A3297" s="73"/>
      <c r="B3297" s="2"/>
      <c r="C3297" s="2"/>
      <c r="D3297" s="2"/>
      <c r="E3297" s="4"/>
      <c r="F3297" s="4"/>
      <c r="G3297" s="4"/>
      <c r="H3297" s="61"/>
      <c r="I3297" s="62"/>
      <c r="J3297" s="62"/>
      <c r="K3297" s="78"/>
      <c r="L3297" s="57"/>
      <c r="M3297" s="57"/>
    </row>
    <row r="3298" spans="1:13" ht="15" customHeight="1">
      <c r="A3298" s="73"/>
      <c r="B3298" s="2"/>
      <c r="C3298" s="2"/>
      <c r="D3298" s="2"/>
      <c r="E3298" s="4"/>
      <c r="F3298" s="4"/>
      <c r="G3298" s="4"/>
      <c r="H3298" s="61"/>
      <c r="I3298" s="62"/>
      <c r="J3298" s="62"/>
      <c r="K3298" s="78"/>
      <c r="L3298" s="57"/>
      <c r="M3298" s="57"/>
    </row>
    <row r="3299" spans="1:13" ht="15" customHeight="1">
      <c r="A3299" s="73"/>
      <c r="B3299" s="2"/>
      <c r="C3299" s="2"/>
      <c r="D3299" s="2"/>
      <c r="E3299" s="4"/>
      <c r="F3299" s="4"/>
      <c r="G3299" s="4"/>
      <c r="H3299" s="61"/>
      <c r="I3299" s="62"/>
      <c r="J3299" s="62"/>
      <c r="K3299" s="78"/>
      <c r="L3299" s="57"/>
      <c r="M3299" s="57"/>
    </row>
    <row r="3300" spans="1:13" ht="15" customHeight="1">
      <c r="A3300" s="73"/>
      <c r="B3300" s="2"/>
      <c r="C3300" s="2"/>
      <c r="D3300" s="2"/>
      <c r="E3300" s="4"/>
      <c r="F3300" s="4"/>
      <c r="G3300" s="4"/>
      <c r="H3300" s="61"/>
      <c r="I3300" s="62"/>
      <c r="J3300" s="62"/>
      <c r="K3300" s="78"/>
      <c r="L3300" s="57"/>
      <c r="M3300" s="57"/>
    </row>
    <row r="3301" spans="1:13" ht="15" customHeight="1">
      <c r="A3301" s="73"/>
      <c r="B3301" s="2"/>
      <c r="C3301" s="2"/>
      <c r="D3301" s="2"/>
      <c r="E3301" s="4"/>
      <c r="F3301" s="4"/>
      <c r="G3301" s="4"/>
      <c r="H3301" s="61"/>
      <c r="I3301" s="62"/>
      <c r="J3301" s="62"/>
      <c r="K3301" s="78"/>
      <c r="L3301" s="57"/>
      <c r="M3301" s="57"/>
    </row>
    <row r="3302" spans="1:13" ht="15" customHeight="1">
      <c r="A3302" s="73"/>
      <c r="B3302" s="2"/>
      <c r="C3302" s="2"/>
      <c r="D3302" s="2"/>
      <c r="E3302" s="4"/>
      <c r="F3302" s="4"/>
      <c r="G3302" s="4"/>
      <c r="H3302" s="61"/>
      <c r="I3302" s="62"/>
      <c r="J3302" s="62"/>
      <c r="K3302" s="78"/>
      <c r="L3302" s="57"/>
      <c r="M3302" s="57"/>
    </row>
    <row r="3303" spans="1:13" ht="15" customHeight="1">
      <c r="A3303" s="73"/>
      <c r="B3303" s="2"/>
      <c r="C3303" s="2"/>
      <c r="D3303" s="2"/>
      <c r="E3303" s="4"/>
      <c r="F3303" s="4"/>
      <c r="G3303" s="4"/>
      <c r="H3303" s="61"/>
      <c r="I3303" s="62"/>
      <c r="J3303" s="62"/>
      <c r="K3303" s="78"/>
      <c r="L3303" s="57"/>
      <c r="M3303" s="57"/>
    </row>
    <row r="3304" spans="1:13" ht="15" customHeight="1">
      <c r="A3304" s="73"/>
      <c r="B3304" s="2"/>
      <c r="C3304" s="2"/>
      <c r="D3304" s="2"/>
      <c r="E3304" s="4"/>
      <c r="F3304" s="4"/>
      <c r="G3304" s="4"/>
      <c r="H3304" s="61"/>
      <c r="I3304" s="62"/>
      <c r="J3304" s="62"/>
      <c r="K3304" s="78"/>
      <c r="L3304" s="57"/>
      <c r="M3304" s="57"/>
    </row>
    <row r="3305" spans="1:13" ht="15" customHeight="1">
      <c r="A3305" s="73"/>
      <c r="B3305" s="2"/>
      <c r="C3305" s="2"/>
      <c r="D3305" s="2"/>
      <c r="E3305" s="4"/>
      <c r="F3305" s="4"/>
      <c r="G3305" s="4"/>
      <c r="H3305" s="61"/>
      <c r="I3305" s="62"/>
      <c r="J3305" s="62"/>
      <c r="K3305" s="78"/>
      <c r="L3305" s="57"/>
      <c r="M3305" s="57"/>
    </row>
    <row r="3306" spans="1:13" ht="15" customHeight="1">
      <c r="A3306" s="73"/>
      <c r="B3306" s="2"/>
      <c r="C3306" s="2"/>
      <c r="D3306" s="2"/>
      <c r="E3306" s="4"/>
      <c r="F3306" s="4"/>
      <c r="G3306" s="4"/>
      <c r="H3306" s="61"/>
      <c r="I3306" s="62"/>
      <c r="J3306" s="62"/>
      <c r="K3306" s="78"/>
      <c r="L3306" s="57"/>
      <c r="M3306" s="57"/>
    </row>
    <row r="3307" spans="1:13" ht="15" customHeight="1">
      <c r="A3307" s="73"/>
      <c r="B3307" s="2"/>
      <c r="C3307" s="2"/>
      <c r="D3307" s="2"/>
      <c r="E3307" s="4"/>
      <c r="F3307" s="4"/>
      <c r="G3307" s="4"/>
      <c r="H3307" s="61"/>
      <c r="I3307" s="62"/>
      <c r="J3307" s="62"/>
      <c r="K3307" s="78"/>
      <c r="L3307" s="57"/>
      <c r="M3307" s="57"/>
    </row>
    <row r="3308" spans="1:13" ht="15" customHeight="1">
      <c r="A3308" s="73"/>
      <c r="B3308" s="2"/>
      <c r="C3308" s="2"/>
      <c r="D3308" s="2"/>
      <c r="E3308" s="4"/>
      <c r="F3308" s="4"/>
      <c r="G3308" s="4"/>
      <c r="H3308" s="61"/>
      <c r="I3308" s="62"/>
      <c r="J3308" s="62"/>
      <c r="K3308" s="78"/>
      <c r="L3308" s="57"/>
      <c r="M3308" s="57"/>
    </row>
    <row r="3309" spans="1:13" ht="15" customHeight="1">
      <c r="A3309" s="73"/>
      <c r="B3309" s="2"/>
      <c r="C3309" s="2"/>
      <c r="D3309" s="2"/>
      <c r="E3309" s="4"/>
      <c r="F3309" s="4"/>
      <c r="G3309" s="4"/>
      <c r="H3309" s="61"/>
      <c r="I3309" s="62"/>
      <c r="J3309" s="62"/>
      <c r="K3309" s="78"/>
      <c r="L3309" s="57"/>
      <c r="M3309" s="57"/>
    </row>
    <row r="3310" spans="1:13" ht="15" customHeight="1">
      <c r="A3310" s="73"/>
      <c r="B3310" s="2"/>
      <c r="C3310" s="2"/>
      <c r="D3310" s="2"/>
      <c r="E3310" s="4"/>
      <c r="F3310" s="4"/>
      <c r="G3310" s="4"/>
      <c r="H3310" s="61"/>
      <c r="I3310" s="62"/>
      <c r="J3310" s="62"/>
      <c r="K3310" s="78"/>
      <c r="L3310" s="57"/>
      <c r="M3310" s="57"/>
    </row>
    <row r="3311" spans="1:13" ht="15" customHeight="1">
      <c r="A3311" s="73"/>
      <c r="B3311" s="2"/>
      <c r="C3311" s="2"/>
      <c r="D3311" s="2"/>
      <c r="E3311" s="63"/>
      <c r="F3311" s="4"/>
      <c r="G3311" s="4"/>
      <c r="H3311" s="61"/>
      <c r="I3311" s="62"/>
      <c r="J3311" s="62"/>
      <c r="K3311" s="78"/>
      <c r="L3311" s="57"/>
      <c r="M3311" s="57"/>
    </row>
    <row r="3312" spans="1:13" ht="15" customHeight="1">
      <c r="A3312" s="73"/>
      <c r="B3312" s="2"/>
      <c r="C3312" s="2"/>
      <c r="D3312" s="2"/>
      <c r="E3312" s="4"/>
      <c r="F3312" s="4"/>
      <c r="G3312" s="4"/>
      <c r="H3312" s="61"/>
      <c r="I3312" s="62"/>
      <c r="J3312" s="62"/>
      <c r="K3312" s="78"/>
      <c r="L3312" s="57"/>
      <c r="M3312" s="57"/>
    </row>
    <row r="3313" spans="1:13" ht="15" customHeight="1">
      <c r="A3313" s="73"/>
      <c r="B3313" s="2"/>
      <c r="C3313" s="2"/>
      <c r="D3313" s="2"/>
      <c r="E3313" s="63"/>
      <c r="F3313" s="4"/>
      <c r="G3313" s="4"/>
      <c r="H3313" s="61"/>
      <c r="I3313" s="62"/>
      <c r="J3313" s="62"/>
      <c r="K3313" s="78"/>
      <c r="L3313" s="57"/>
      <c r="M3313" s="57"/>
    </row>
    <row r="3314" spans="1:13" ht="15" customHeight="1">
      <c r="A3314" s="73"/>
      <c r="B3314" s="2"/>
      <c r="C3314" s="2"/>
      <c r="D3314" s="2"/>
      <c r="E3314" s="4"/>
      <c r="F3314" s="4"/>
      <c r="G3314" s="4"/>
      <c r="H3314" s="61"/>
      <c r="I3314" s="62"/>
      <c r="J3314" s="62"/>
      <c r="K3314" s="78"/>
      <c r="L3314" s="57"/>
      <c r="M3314" s="57"/>
    </row>
    <row r="3315" spans="1:13" ht="15" customHeight="1">
      <c r="A3315" s="73"/>
      <c r="B3315" s="2"/>
      <c r="C3315" s="2"/>
      <c r="D3315" s="2"/>
      <c r="E3315" s="4"/>
      <c r="F3315" s="4"/>
      <c r="G3315" s="4"/>
      <c r="H3315" s="61"/>
      <c r="I3315" s="62"/>
      <c r="J3315" s="62"/>
      <c r="K3315" s="78"/>
      <c r="L3315" s="57"/>
      <c r="M3315" s="57"/>
    </row>
    <row r="3316" spans="1:13" ht="15" customHeight="1">
      <c r="A3316" s="73"/>
      <c r="B3316" s="2"/>
      <c r="C3316" s="2"/>
      <c r="D3316" s="2"/>
      <c r="E3316" s="4"/>
      <c r="F3316" s="4"/>
      <c r="G3316" s="4"/>
      <c r="H3316" s="61"/>
      <c r="I3316" s="62"/>
      <c r="J3316" s="62"/>
      <c r="K3316" s="78"/>
      <c r="L3316" s="57"/>
      <c r="M3316" s="57"/>
    </row>
    <row r="3317" spans="1:13" ht="15" customHeight="1">
      <c r="A3317" s="73"/>
      <c r="B3317" s="2"/>
      <c r="C3317" s="2"/>
      <c r="D3317" s="2"/>
      <c r="E3317" s="4"/>
      <c r="F3317" s="4"/>
      <c r="G3317" s="4"/>
      <c r="H3317" s="61"/>
      <c r="I3317" s="62"/>
      <c r="J3317" s="62"/>
      <c r="K3317" s="78"/>
      <c r="L3317" s="57"/>
      <c r="M3317" s="57"/>
    </row>
    <row r="3318" spans="1:13" ht="15" customHeight="1">
      <c r="A3318" s="73"/>
      <c r="B3318" s="2"/>
      <c r="C3318" s="2"/>
      <c r="D3318" s="2"/>
      <c r="E3318" s="63"/>
      <c r="F3318" s="4"/>
      <c r="G3318" s="4"/>
      <c r="H3318" s="61"/>
      <c r="I3318" s="62"/>
      <c r="J3318" s="62"/>
      <c r="K3318" s="78"/>
      <c r="L3318" s="57"/>
      <c r="M3318" s="57"/>
    </row>
    <row r="3319" spans="1:13" ht="15" customHeight="1">
      <c r="A3319" s="73"/>
      <c r="B3319" s="2"/>
      <c r="C3319" s="2"/>
      <c r="D3319" s="2"/>
      <c r="E3319" s="4"/>
      <c r="F3319" s="4"/>
      <c r="G3319" s="4"/>
      <c r="H3319" s="61"/>
      <c r="I3319" s="62"/>
      <c r="J3319" s="62"/>
      <c r="K3319" s="78"/>
      <c r="L3319" s="57"/>
      <c r="M3319" s="57"/>
    </row>
    <row r="3320" spans="1:13" ht="15" customHeight="1">
      <c r="A3320" s="73"/>
      <c r="B3320" s="2"/>
      <c r="C3320" s="2"/>
      <c r="D3320" s="2"/>
      <c r="E3320" s="4"/>
      <c r="F3320" s="4"/>
      <c r="G3320" s="4"/>
      <c r="H3320" s="61"/>
      <c r="I3320" s="62"/>
      <c r="J3320" s="62"/>
      <c r="K3320" s="78"/>
      <c r="L3320" s="57"/>
      <c r="M3320" s="57"/>
    </row>
    <row r="3321" spans="1:13" ht="15" customHeight="1">
      <c r="A3321" s="73"/>
      <c r="B3321" s="2"/>
      <c r="C3321" s="2"/>
      <c r="D3321" s="2"/>
      <c r="E3321" s="4"/>
      <c r="F3321" s="4"/>
      <c r="G3321" s="4"/>
      <c r="H3321" s="61"/>
      <c r="I3321" s="62"/>
      <c r="J3321" s="62"/>
      <c r="K3321" s="78"/>
      <c r="L3321" s="57"/>
      <c r="M3321" s="57"/>
    </row>
    <row r="3322" spans="1:13" ht="15" customHeight="1">
      <c r="A3322" s="73"/>
      <c r="B3322" s="2"/>
      <c r="C3322" s="2"/>
      <c r="D3322" s="2"/>
      <c r="E3322" s="4"/>
      <c r="F3322" s="4"/>
      <c r="G3322" s="4"/>
      <c r="H3322" s="61"/>
      <c r="I3322" s="62"/>
      <c r="J3322" s="62"/>
      <c r="K3322" s="78"/>
      <c r="L3322" s="57"/>
      <c r="M3322" s="57"/>
    </row>
    <row r="3323" spans="1:13" ht="15" customHeight="1">
      <c r="A3323" s="73"/>
      <c r="B3323" s="2"/>
      <c r="C3323" s="2"/>
      <c r="D3323" s="2"/>
      <c r="E3323" s="4"/>
      <c r="F3323" s="4"/>
      <c r="G3323" s="4"/>
      <c r="H3323" s="61"/>
      <c r="I3323" s="62"/>
      <c r="J3323" s="62"/>
      <c r="K3323" s="78"/>
      <c r="L3323" s="57"/>
      <c r="M3323" s="57"/>
    </row>
    <row r="3324" spans="1:13" ht="15" customHeight="1">
      <c r="A3324" s="73"/>
      <c r="B3324" s="2"/>
      <c r="C3324" s="2"/>
      <c r="D3324" s="2"/>
      <c r="E3324" s="4"/>
      <c r="F3324" s="4"/>
      <c r="G3324" s="4"/>
      <c r="H3324" s="61"/>
      <c r="I3324" s="62"/>
      <c r="J3324" s="62"/>
      <c r="K3324" s="78"/>
      <c r="L3324" s="57"/>
      <c r="M3324" s="57"/>
    </row>
    <row r="3325" spans="1:13" ht="15" customHeight="1">
      <c r="A3325" s="73"/>
      <c r="B3325" s="2"/>
      <c r="C3325" s="2"/>
      <c r="D3325" s="2"/>
      <c r="E3325" s="4"/>
      <c r="F3325" s="4"/>
      <c r="G3325" s="4"/>
      <c r="H3325" s="61"/>
      <c r="I3325" s="62"/>
      <c r="J3325" s="62"/>
      <c r="K3325" s="78"/>
      <c r="L3325" s="57"/>
      <c r="M3325" s="57"/>
    </row>
    <row r="3326" spans="1:13" ht="15" customHeight="1">
      <c r="A3326" s="73"/>
      <c r="B3326" s="2"/>
      <c r="C3326" s="2"/>
      <c r="D3326" s="2"/>
      <c r="E3326" s="4"/>
      <c r="F3326" s="4"/>
      <c r="G3326" s="4"/>
      <c r="H3326" s="61"/>
      <c r="I3326" s="62"/>
      <c r="J3326" s="62"/>
      <c r="K3326" s="78"/>
      <c r="L3326" s="57"/>
      <c r="M3326" s="57"/>
    </row>
    <row r="3327" spans="1:13" ht="15" customHeight="1">
      <c r="A3327" s="73"/>
      <c r="B3327" s="2"/>
      <c r="C3327" s="2"/>
      <c r="D3327" s="2"/>
      <c r="E3327" s="4"/>
      <c r="F3327" s="4"/>
      <c r="G3327" s="4"/>
      <c r="H3327" s="61"/>
      <c r="I3327" s="62"/>
      <c r="J3327" s="62"/>
      <c r="K3327" s="78"/>
      <c r="L3327" s="57"/>
      <c r="M3327" s="57"/>
    </row>
    <row r="3328" spans="1:13" ht="15" customHeight="1">
      <c r="A3328" s="73"/>
      <c r="B3328" s="2"/>
      <c r="C3328" s="2"/>
      <c r="D3328" s="2"/>
      <c r="E3328" s="4"/>
      <c r="F3328" s="4"/>
      <c r="G3328" s="4"/>
      <c r="H3328" s="61"/>
      <c r="I3328" s="62"/>
      <c r="J3328" s="62"/>
      <c r="K3328" s="78"/>
      <c r="L3328" s="57"/>
      <c r="M3328" s="57"/>
    </row>
    <row r="3329" spans="1:13" ht="15" customHeight="1">
      <c r="A3329" s="73"/>
      <c r="B3329" s="2"/>
      <c r="C3329" s="2"/>
      <c r="D3329" s="2"/>
      <c r="E3329" s="4"/>
      <c r="F3329" s="4"/>
      <c r="G3329" s="4"/>
      <c r="H3329" s="61"/>
      <c r="I3329" s="62"/>
      <c r="J3329" s="62"/>
      <c r="K3329" s="78"/>
      <c r="L3329" s="57"/>
      <c r="M3329" s="57"/>
    </row>
    <row r="3330" spans="1:13" ht="15" customHeight="1">
      <c r="A3330" s="73"/>
      <c r="B3330" s="2"/>
      <c r="C3330" s="2"/>
      <c r="D3330" s="2"/>
      <c r="E3330" s="4"/>
      <c r="F3330" s="4"/>
      <c r="G3330" s="4"/>
      <c r="H3330" s="61"/>
      <c r="I3330" s="62"/>
      <c r="J3330" s="62"/>
      <c r="K3330" s="78"/>
      <c r="L3330" s="57"/>
      <c r="M3330" s="57"/>
    </row>
    <row r="3331" spans="1:13" ht="15" customHeight="1">
      <c r="A3331" s="73"/>
      <c r="B3331" s="2"/>
      <c r="C3331" s="2"/>
      <c r="D3331" s="2"/>
      <c r="E3331" s="4"/>
      <c r="F3331" s="4"/>
      <c r="G3331" s="4"/>
      <c r="H3331" s="61"/>
      <c r="I3331" s="62"/>
      <c r="J3331" s="62"/>
      <c r="K3331" s="78"/>
      <c r="L3331" s="57"/>
      <c r="M3331" s="57"/>
    </row>
    <row r="3332" spans="1:13" ht="15" customHeight="1">
      <c r="A3332" s="73"/>
      <c r="B3332" s="2"/>
      <c r="C3332" s="2"/>
      <c r="D3332" s="2"/>
      <c r="E3332" s="4"/>
      <c r="F3332" s="4"/>
      <c r="G3332" s="4"/>
      <c r="H3332" s="61"/>
      <c r="I3332" s="62"/>
      <c r="J3332" s="62"/>
      <c r="K3332" s="78"/>
      <c r="L3332" s="57"/>
      <c r="M3332" s="57"/>
    </row>
    <row r="3333" spans="1:13" ht="15" customHeight="1">
      <c r="A3333" s="73"/>
      <c r="B3333" s="2"/>
      <c r="C3333" s="2"/>
      <c r="D3333" s="2"/>
      <c r="E3333" s="63"/>
      <c r="F3333" s="4"/>
      <c r="G3333" s="4"/>
      <c r="H3333" s="61"/>
      <c r="I3333" s="62"/>
      <c r="J3333" s="62"/>
      <c r="K3333" s="78"/>
      <c r="L3333" s="57"/>
      <c r="M3333" s="57"/>
    </row>
    <row r="3334" spans="1:13" ht="15" customHeight="1">
      <c r="A3334" s="73"/>
      <c r="B3334" s="2"/>
      <c r="C3334" s="2"/>
      <c r="D3334" s="2"/>
      <c r="E3334" s="4"/>
      <c r="F3334" s="4"/>
      <c r="G3334" s="4"/>
      <c r="H3334" s="61"/>
      <c r="I3334" s="62"/>
      <c r="J3334" s="62"/>
      <c r="K3334" s="78"/>
      <c r="L3334" s="57"/>
      <c r="M3334" s="57"/>
    </row>
    <row r="3339" spans="1:13" ht="15" customHeight="1">
      <c r="E3339" s="64"/>
    </row>
    <row r="3340" spans="1:13" ht="15" customHeight="1">
      <c r="E3340" s="64"/>
    </row>
    <row r="3344" spans="1:13" ht="15" customHeight="1">
      <c r="E3344" s="64"/>
    </row>
    <row r="3362" spans="5:5" ht="15" customHeight="1">
      <c r="E3362" s="64"/>
    </row>
    <row r="3379" spans="5:5" ht="15" customHeight="1">
      <c r="E3379" s="64"/>
    </row>
    <row r="3478" spans="5:5" ht="15" customHeight="1">
      <c r="E3478" s="64"/>
    </row>
    <row r="3491" spans="5:5" ht="15" customHeight="1">
      <c r="E3491" s="64"/>
    </row>
    <row r="3524" spans="5:5" ht="15" customHeight="1">
      <c r="E3524" s="64"/>
    </row>
    <row r="3558" spans="5:5" ht="15" customHeight="1">
      <c r="E3558" s="64"/>
    </row>
    <row r="3573" spans="5:5" ht="15" customHeight="1">
      <c r="E3573" s="64"/>
    </row>
    <row r="3593" spans="5:5" ht="15" customHeight="1">
      <c r="E3593" s="64"/>
    </row>
    <row r="3598" spans="5:5" ht="15" customHeight="1">
      <c r="E3598" s="64"/>
    </row>
    <row r="3599" spans="5:5" ht="15" customHeight="1">
      <c r="E3599" s="64"/>
    </row>
    <row r="3600" spans="5:5" ht="15" customHeight="1">
      <c r="E3600" s="64"/>
    </row>
    <row r="3607" spans="5:5" ht="15" customHeight="1">
      <c r="E3607" s="64"/>
    </row>
    <row r="3626" spans="5:5" ht="15" customHeight="1">
      <c r="E3626" s="64"/>
    </row>
    <row r="3631" spans="5:5" ht="15" customHeight="1">
      <c r="E3631" s="64"/>
    </row>
    <row r="3635" spans="5:5" ht="15" customHeight="1">
      <c r="E3635" s="64"/>
    </row>
    <row r="3639" spans="5:5" ht="15" customHeight="1">
      <c r="E3639" s="64"/>
    </row>
    <row r="3640" spans="5:5" ht="15" customHeight="1">
      <c r="E3640" s="64"/>
    </row>
    <row r="3644" spans="5:5" ht="15" customHeight="1">
      <c r="E3644" s="64"/>
    </row>
    <row r="3645" spans="5:5" ht="15" customHeight="1">
      <c r="E3645" s="64"/>
    </row>
    <row r="3646" spans="5:5" ht="15" customHeight="1">
      <c r="E3646" s="64"/>
    </row>
    <row r="3647" spans="5:5" ht="15" customHeight="1">
      <c r="E3647" s="64"/>
    </row>
    <row r="3669" spans="5:5" ht="15" customHeight="1">
      <c r="E3669" s="64"/>
    </row>
    <row r="3673" spans="5:5" ht="15" customHeight="1">
      <c r="E3673" s="64"/>
    </row>
    <row r="3675" spans="5:5" ht="15" customHeight="1">
      <c r="E3675" s="64"/>
    </row>
    <row r="3685" spans="5:5" ht="15" customHeight="1">
      <c r="E3685" s="64"/>
    </row>
    <row r="3692" spans="5:5" ht="15" customHeight="1">
      <c r="E3692" s="64"/>
    </row>
    <row r="3695" spans="5:5" ht="15" customHeight="1">
      <c r="E3695" s="64"/>
    </row>
    <row r="3704" spans="5:5" ht="15" customHeight="1">
      <c r="E3704" s="64"/>
    </row>
    <row r="3715" spans="5:5" ht="15" customHeight="1">
      <c r="E3715" s="64"/>
    </row>
    <row r="3721" spans="5:5" ht="15" customHeight="1">
      <c r="E3721" s="64"/>
    </row>
    <row r="3727" spans="5:5" ht="15" customHeight="1">
      <c r="E3727" s="64"/>
    </row>
    <row r="3740" spans="5:5" ht="15" customHeight="1">
      <c r="E3740" s="64"/>
    </row>
    <row r="3751" spans="5:5" ht="15" customHeight="1">
      <c r="E3751" s="64"/>
    </row>
    <row r="3753" spans="5:5" ht="15" customHeight="1">
      <c r="E3753" s="64"/>
    </row>
    <row r="3795" spans="5:5" ht="15" customHeight="1">
      <c r="E3795" s="64"/>
    </row>
    <row r="3801" spans="5:5" ht="15" customHeight="1">
      <c r="E3801" s="64"/>
    </row>
    <row r="3810" spans="5:5" ht="15" customHeight="1">
      <c r="E3810" s="64"/>
    </row>
    <row r="3846" spans="5:5" ht="15" customHeight="1">
      <c r="E3846" s="64"/>
    </row>
    <row r="3848" spans="5:5" ht="15" customHeight="1">
      <c r="E3848" s="64"/>
    </row>
    <row r="3852" spans="5:5" ht="15" customHeight="1">
      <c r="E3852" s="64"/>
    </row>
    <row r="3857" spans="5:5" ht="15" customHeight="1">
      <c r="E3857" s="64"/>
    </row>
    <row r="3863" spans="5:5" ht="15" customHeight="1">
      <c r="E3863" s="64"/>
    </row>
    <row r="3879" spans="5:5" ht="15" customHeight="1">
      <c r="E3879" s="64"/>
    </row>
    <row r="3896" spans="5:5" ht="15" customHeight="1">
      <c r="E3896" s="64"/>
    </row>
    <row r="3964" spans="5:5" ht="15" customHeight="1">
      <c r="E3964" s="64"/>
    </row>
    <row r="3984" spans="5:5" ht="15" customHeight="1">
      <c r="E3984" s="64"/>
    </row>
    <row r="3995" spans="5:5" ht="15" customHeight="1">
      <c r="E3995" s="64"/>
    </row>
    <row r="4012" spans="5:5" ht="15" customHeight="1">
      <c r="E4012" s="64"/>
    </row>
    <row r="4014" spans="5:5" ht="15" customHeight="1">
      <c r="E4014" s="64"/>
    </row>
    <row r="4015" spans="5:5" ht="15" customHeight="1">
      <c r="E4015" s="64"/>
    </row>
    <row r="4072" spans="5:5" ht="15" customHeight="1">
      <c r="E4072" s="64"/>
    </row>
    <row r="4098" spans="5:5" ht="15" customHeight="1">
      <c r="E4098" s="64"/>
    </row>
    <row r="4100" spans="5:5" ht="15" customHeight="1">
      <c r="E4100" s="64"/>
    </row>
    <row r="4101" spans="5:5" ht="15" customHeight="1">
      <c r="E4101" s="64"/>
    </row>
    <row r="4102" spans="5:5" ht="15" customHeight="1">
      <c r="E4102" s="64"/>
    </row>
    <row r="4110" spans="5:5" ht="15" customHeight="1">
      <c r="E4110" s="64"/>
    </row>
    <row r="4116" spans="5:5" ht="15" customHeight="1">
      <c r="E4116" s="64"/>
    </row>
    <row r="4117" spans="5:5" ht="15" customHeight="1">
      <c r="E4117" s="64"/>
    </row>
    <row r="4133" spans="5:5" ht="15" customHeight="1">
      <c r="E4133" s="64"/>
    </row>
    <row r="4136" spans="5:5" ht="15" customHeight="1">
      <c r="E4136" s="64"/>
    </row>
    <row r="4137" spans="5:5" ht="15" customHeight="1">
      <c r="E4137" s="64"/>
    </row>
    <row r="4197" spans="5:5" ht="15" customHeight="1">
      <c r="E4197" s="64"/>
    </row>
    <row r="4212" spans="5:5" ht="15" customHeight="1">
      <c r="E4212" s="64"/>
    </row>
    <row r="4274" spans="5:5" ht="15" customHeight="1">
      <c r="E4274" s="64"/>
    </row>
    <row r="4277" spans="5:5" ht="15" customHeight="1">
      <c r="E4277" s="64"/>
    </row>
    <row r="4342" spans="5:5" ht="15" customHeight="1">
      <c r="E4342" s="64"/>
    </row>
    <row r="4343" spans="5:5" ht="15" customHeight="1">
      <c r="E4343" s="64"/>
    </row>
    <row r="4395" spans="5:5" ht="15" customHeight="1">
      <c r="E4395" s="64"/>
    </row>
    <row r="4436" spans="5:5" ht="15" customHeight="1">
      <c r="E4436" s="64"/>
    </row>
    <row r="4465" spans="5:5" ht="15" customHeight="1">
      <c r="E4465" s="64"/>
    </row>
    <row r="4501" spans="5:5" ht="15" customHeight="1">
      <c r="E4501" s="64"/>
    </row>
    <row r="4555" spans="5:5" ht="15" customHeight="1">
      <c r="E4555" s="64"/>
    </row>
    <row r="4556" spans="5:5" ht="15" customHeight="1">
      <c r="E4556" s="64"/>
    </row>
  </sheetData>
  <autoFilter ref="E1:E4556" xr:uid="{00000000-0009-0000-0000-000001000000}"/>
  <sortState xmlns:xlrd2="http://schemas.microsoft.com/office/spreadsheetml/2017/richdata2" ref="A427:G431">
    <sortCondition ref="B427:B431"/>
  </sortState>
  <pageMargins left="0.7" right="0.7" top="0.75" bottom="0.75" header="0.3" footer="0.3"/>
  <pageSetup orientation="portrait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J1328"/>
  <sheetViews>
    <sheetView topLeftCell="A181" zoomScale="80" zoomScaleNormal="80" workbookViewId="0">
      <selection activeCell="I17" sqref="I17"/>
    </sheetView>
  </sheetViews>
  <sheetFormatPr baseColWidth="10" defaultRowHeight="14.25"/>
  <cols>
    <col min="1" max="1" width="58.3984375" style="14" customWidth="1"/>
    <col min="2" max="2" width="38.73046875" style="14" customWidth="1"/>
    <col min="3" max="3" width="33.59765625" style="14" bestFit="1" customWidth="1"/>
    <col min="4" max="4" width="30.59765625" style="15" bestFit="1" customWidth="1"/>
    <col min="5" max="5" width="20.73046875" bestFit="1" customWidth="1"/>
    <col min="6" max="6" width="21" customWidth="1"/>
  </cols>
  <sheetData>
    <row r="1" spans="1:9">
      <c r="A1" s="53" t="s">
        <v>230</v>
      </c>
      <c r="B1" s="50" t="s">
        <v>231</v>
      </c>
      <c r="C1" s="50" t="s">
        <v>232</v>
      </c>
      <c r="D1" s="52" t="s">
        <v>270</v>
      </c>
      <c r="E1" s="50" t="s">
        <v>233</v>
      </c>
      <c r="F1" s="50" t="s">
        <v>234</v>
      </c>
    </row>
    <row r="2" spans="1:9">
      <c r="A2" s="14" t="s">
        <v>271</v>
      </c>
      <c r="B2" t="s">
        <v>272</v>
      </c>
      <c r="C2" t="s">
        <v>255</v>
      </c>
      <c r="D2" s="15" t="s">
        <v>273</v>
      </c>
      <c r="E2" t="s">
        <v>274</v>
      </c>
      <c r="F2" t="s">
        <v>275</v>
      </c>
      <c r="G2">
        <v>0</v>
      </c>
      <c r="I2" s="49">
        <v>672</v>
      </c>
    </row>
    <row r="3" spans="1:9">
      <c r="A3" s="14" t="s">
        <v>4200</v>
      </c>
      <c r="B3" t="s">
        <v>184</v>
      </c>
      <c r="C3" t="s">
        <v>278</v>
      </c>
      <c r="D3" s="15" t="s">
        <v>3736</v>
      </c>
      <c r="E3" t="s">
        <v>274</v>
      </c>
      <c r="F3" t="s">
        <v>4201</v>
      </c>
      <c r="G3">
        <v>10.5</v>
      </c>
      <c r="I3" s="49"/>
    </row>
    <row r="4" spans="1:9">
      <c r="A4" s="14" t="s">
        <v>276</v>
      </c>
      <c r="B4" t="s">
        <v>277</v>
      </c>
      <c r="C4" t="s">
        <v>278</v>
      </c>
      <c r="D4" s="15" t="s">
        <v>273</v>
      </c>
      <c r="E4" t="s">
        <v>279</v>
      </c>
      <c r="F4" t="s">
        <v>280</v>
      </c>
      <c r="G4">
        <v>21</v>
      </c>
    </row>
    <row r="5" spans="1:9">
      <c r="A5" s="14" t="s">
        <v>281</v>
      </c>
      <c r="B5" t="s">
        <v>282</v>
      </c>
      <c r="C5" t="s">
        <v>235</v>
      </c>
      <c r="D5" s="15" t="s">
        <v>273</v>
      </c>
      <c r="E5" t="s">
        <v>274</v>
      </c>
      <c r="F5" t="s">
        <v>283</v>
      </c>
    </row>
    <row r="6" spans="1:9">
      <c r="A6" s="14" t="s">
        <v>3655</v>
      </c>
      <c r="B6" t="s">
        <v>284</v>
      </c>
      <c r="C6" t="s">
        <v>285</v>
      </c>
      <c r="D6" s="15" t="s">
        <v>273</v>
      </c>
      <c r="E6" t="s">
        <v>274</v>
      </c>
      <c r="F6" t="s">
        <v>30</v>
      </c>
      <c r="H6" s="15"/>
    </row>
    <row r="7" spans="1:9">
      <c r="A7" s="14" t="s">
        <v>286</v>
      </c>
      <c r="B7" t="s">
        <v>287</v>
      </c>
      <c r="C7" t="s">
        <v>288</v>
      </c>
      <c r="D7" s="15" t="s">
        <v>273</v>
      </c>
      <c r="E7" t="s">
        <v>274</v>
      </c>
      <c r="F7" t="s">
        <v>289</v>
      </c>
    </row>
    <row r="8" spans="1:9">
      <c r="A8" s="14" t="s">
        <v>3656</v>
      </c>
      <c r="B8" t="s">
        <v>290</v>
      </c>
      <c r="C8" t="s">
        <v>291</v>
      </c>
      <c r="D8" s="15" t="s">
        <v>273</v>
      </c>
      <c r="E8" t="s">
        <v>274</v>
      </c>
      <c r="F8" t="s">
        <v>292</v>
      </c>
      <c r="H8" s="15"/>
    </row>
    <row r="9" spans="1:9">
      <c r="A9" s="14" t="s">
        <v>293</v>
      </c>
      <c r="B9" t="s">
        <v>294</v>
      </c>
      <c r="C9" t="s">
        <v>295</v>
      </c>
      <c r="D9" s="15" t="s">
        <v>295</v>
      </c>
      <c r="E9" t="s">
        <v>274</v>
      </c>
      <c r="F9" t="s">
        <v>296</v>
      </c>
    </row>
    <row r="10" spans="1:9">
      <c r="A10" s="14" t="s">
        <v>3815</v>
      </c>
      <c r="B10"/>
      <c r="C10"/>
      <c r="E10" t="s">
        <v>274</v>
      </c>
      <c r="F10" t="s">
        <v>3816</v>
      </c>
    </row>
    <row r="11" spans="1:9">
      <c r="A11" s="14" t="s">
        <v>3657</v>
      </c>
      <c r="B11" t="s">
        <v>297</v>
      </c>
      <c r="C11" t="s">
        <v>237</v>
      </c>
      <c r="D11" s="15" t="s">
        <v>273</v>
      </c>
      <c r="E11" t="s">
        <v>274</v>
      </c>
      <c r="F11" t="s">
        <v>31</v>
      </c>
      <c r="H11" s="15"/>
    </row>
    <row r="12" spans="1:9">
      <c r="A12" s="14" t="s">
        <v>298</v>
      </c>
      <c r="B12" t="s">
        <v>299</v>
      </c>
      <c r="C12" t="s">
        <v>300</v>
      </c>
      <c r="D12" s="15" t="s">
        <v>273</v>
      </c>
      <c r="E12" t="s">
        <v>274</v>
      </c>
      <c r="F12" t="s">
        <v>301</v>
      </c>
    </row>
    <row r="13" spans="1:9">
      <c r="A13" s="14" t="s">
        <v>302</v>
      </c>
      <c r="B13" t="s">
        <v>32</v>
      </c>
      <c r="C13" t="s">
        <v>238</v>
      </c>
      <c r="D13" s="15" t="s">
        <v>273</v>
      </c>
      <c r="E13" t="s">
        <v>274</v>
      </c>
      <c r="F13" t="s">
        <v>33</v>
      </c>
    </row>
    <row r="14" spans="1:9">
      <c r="A14" s="14" t="s">
        <v>303</v>
      </c>
      <c r="B14" t="s">
        <v>304</v>
      </c>
      <c r="C14" t="s">
        <v>305</v>
      </c>
      <c r="D14" s="15" t="s">
        <v>305</v>
      </c>
      <c r="E14" t="s">
        <v>274</v>
      </c>
      <c r="F14" t="s">
        <v>306</v>
      </c>
    </row>
    <row r="15" spans="1:9">
      <c r="A15" s="14" t="s">
        <v>307</v>
      </c>
      <c r="B15" t="s">
        <v>308</v>
      </c>
      <c r="C15" t="s">
        <v>309</v>
      </c>
      <c r="D15" s="15" t="s">
        <v>273</v>
      </c>
      <c r="E15" t="s">
        <v>274</v>
      </c>
      <c r="F15" t="s">
        <v>310</v>
      </c>
    </row>
    <row r="16" spans="1:9">
      <c r="A16" s="14" t="s">
        <v>311</v>
      </c>
      <c r="B16" t="s">
        <v>312</v>
      </c>
      <c r="C16" t="s">
        <v>313</v>
      </c>
      <c r="D16" s="15" t="s">
        <v>273</v>
      </c>
      <c r="E16" t="s">
        <v>274</v>
      </c>
      <c r="F16" t="s">
        <v>314</v>
      </c>
    </row>
    <row r="17" spans="1:6">
      <c r="A17" s="14" t="s">
        <v>315</v>
      </c>
      <c r="B17" t="s">
        <v>316</v>
      </c>
      <c r="C17" t="s">
        <v>278</v>
      </c>
      <c r="D17" s="15" t="s">
        <v>273</v>
      </c>
      <c r="E17" t="s">
        <v>274</v>
      </c>
      <c r="F17" t="s">
        <v>318</v>
      </c>
    </row>
    <row r="18" spans="1:6">
      <c r="A18" s="14" t="s">
        <v>3844</v>
      </c>
      <c r="B18" t="s">
        <v>3845</v>
      </c>
      <c r="C18" t="s">
        <v>3846</v>
      </c>
      <c r="D18" s="15" t="s">
        <v>418</v>
      </c>
      <c r="E18" t="s">
        <v>274</v>
      </c>
      <c r="F18" t="s">
        <v>3847</v>
      </c>
    </row>
    <row r="19" spans="1:6">
      <c r="A19" s="14" t="s">
        <v>319</v>
      </c>
      <c r="B19" t="s">
        <v>320</v>
      </c>
      <c r="C19" t="s">
        <v>278</v>
      </c>
      <c r="D19" s="15" t="s">
        <v>273</v>
      </c>
      <c r="E19" t="s">
        <v>274</v>
      </c>
      <c r="F19" t="s">
        <v>321</v>
      </c>
    </row>
    <row r="20" spans="1:6">
      <c r="A20" s="14" t="s">
        <v>322</v>
      </c>
      <c r="B20" t="s">
        <v>323</v>
      </c>
      <c r="C20" t="s">
        <v>278</v>
      </c>
      <c r="D20" s="15" t="s">
        <v>273</v>
      </c>
      <c r="E20" t="s">
        <v>274</v>
      </c>
      <c r="F20" t="s">
        <v>324</v>
      </c>
    </row>
    <row r="21" spans="1:6">
      <c r="A21" s="14" t="s">
        <v>3708</v>
      </c>
      <c r="B21"/>
      <c r="C21" t="s">
        <v>278</v>
      </c>
      <c r="D21" s="15" t="s">
        <v>273</v>
      </c>
    </row>
    <row r="22" spans="1:6">
      <c r="A22" s="14" t="s">
        <v>325</v>
      </c>
      <c r="B22" t="s">
        <v>326</v>
      </c>
      <c r="C22" t="s">
        <v>288</v>
      </c>
      <c r="D22" s="15" t="s">
        <v>273</v>
      </c>
      <c r="E22" t="s">
        <v>327</v>
      </c>
      <c r="F22" t="s">
        <v>328</v>
      </c>
    </row>
    <row r="23" spans="1:6">
      <c r="A23" s="14" t="s">
        <v>329</v>
      </c>
      <c r="B23" t="s">
        <v>330</v>
      </c>
      <c r="C23" t="s">
        <v>278</v>
      </c>
      <c r="D23" s="15" t="s">
        <v>273</v>
      </c>
      <c r="E23" t="s">
        <v>274</v>
      </c>
      <c r="F23" t="s">
        <v>35</v>
      </c>
    </row>
    <row r="24" spans="1:6">
      <c r="A24" s="14" t="s">
        <v>331</v>
      </c>
      <c r="B24" t="s">
        <v>332</v>
      </c>
      <c r="C24" t="s">
        <v>258</v>
      </c>
      <c r="D24" s="15" t="s">
        <v>273</v>
      </c>
      <c r="E24" t="s">
        <v>274</v>
      </c>
      <c r="F24" t="s">
        <v>333</v>
      </c>
    </row>
    <row r="25" spans="1:6">
      <c r="A25" s="14" t="s">
        <v>334</v>
      </c>
      <c r="B25" t="s">
        <v>335</v>
      </c>
      <c r="C25" t="s">
        <v>336</v>
      </c>
      <c r="D25" s="15" t="s">
        <v>273</v>
      </c>
      <c r="E25" t="s">
        <v>274</v>
      </c>
      <c r="F25" t="s">
        <v>337</v>
      </c>
    </row>
    <row r="26" spans="1:6">
      <c r="A26" s="14" t="s">
        <v>338</v>
      </c>
      <c r="B26" t="s">
        <v>339</v>
      </c>
      <c r="C26" t="s">
        <v>278</v>
      </c>
      <c r="D26" s="15" t="s">
        <v>273</v>
      </c>
      <c r="E26" t="s">
        <v>274</v>
      </c>
      <c r="F26" t="s">
        <v>340</v>
      </c>
    </row>
    <row r="27" spans="1:6">
      <c r="A27" s="14" t="s">
        <v>341</v>
      </c>
      <c r="B27" t="s">
        <v>342</v>
      </c>
      <c r="C27" t="s">
        <v>278</v>
      </c>
      <c r="D27" s="15" t="s">
        <v>273</v>
      </c>
      <c r="E27" t="s">
        <v>327</v>
      </c>
      <c r="F27" t="s">
        <v>343</v>
      </c>
    </row>
    <row r="28" spans="1:6">
      <c r="A28" s="14" t="s">
        <v>344</v>
      </c>
      <c r="B28" t="s">
        <v>345</v>
      </c>
      <c r="C28" t="s">
        <v>346</v>
      </c>
      <c r="D28" s="15" t="s">
        <v>273</v>
      </c>
      <c r="E28" t="s">
        <v>274</v>
      </c>
      <c r="F28" t="s">
        <v>347</v>
      </c>
    </row>
    <row r="29" spans="1:6">
      <c r="A29" s="14" t="s">
        <v>348</v>
      </c>
      <c r="B29" t="s">
        <v>349</v>
      </c>
      <c r="C29" t="s">
        <v>278</v>
      </c>
      <c r="D29" s="15" t="s">
        <v>273</v>
      </c>
      <c r="E29" t="s">
        <v>274</v>
      </c>
      <c r="F29" t="s">
        <v>350</v>
      </c>
    </row>
    <row r="30" spans="1:6">
      <c r="A30" s="14" t="s">
        <v>351</v>
      </c>
      <c r="B30" t="s">
        <v>352</v>
      </c>
      <c r="C30" t="s">
        <v>353</v>
      </c>
      <c r="D30" s="15" t="s">
        <v>295</v>
      </c>
      <c r="E30" t="s">
        <v>274</v>
      </c>
      <c r="F30" t="s">
        <v>354</v>
      </c>
    </row>
    <row r="31" spans="1:6">
      <c r="A31" s="14" t="s">
        <v>355</v>
      </c>
      <c r="B31" t="s">
        <v>356</v>
      </c>
      <c r="C31" t="s">
        <v>288</v>
      </c>
      <c r="D31" s="15" t="s">
        <v>273</v>
      </c>
      <c r="E31" t="s">
        <v>274</v>
      </c>
      <c r="F31" t="s">
        <v>357</v>
      </c>
    </row>
    <row r="32" spans="1:6">
      <c r="A32" s="14" t="s">
        <v>358</v>
      </c>
      <c r="B32" t="s">
        <v>359</v>
      </c>
      <c r="C32" t="s">
        <v>278</v>
      </c>
      <c r="D32" s="15" t="s">
        <v>273</v>
      </c>
      <c r="E32" t="s">
        <v>274</v>
      </c>
      <c r="F32" t="s">
        <v>360</v>
      </c>
    </row>
    <row r="33" spans="1:6">
      <c r="A33" s="14" t="s">
        <v>3971</v>
      </c>
      <c r="B33" t="s">
        <v>3972</v>
      </c>
      <c r="C33" t="s">
        <v>366</v>
      </c>
      <c r="D33" s="15" t="s">
        <v>3736</v>
      </c>
      <c r="E33" t="s">
        <v>274</v>
      </c>
      <c r="F33" t="s">
        <v>3973</v>
      </c>
    </row>
    <row r="34" spans="1:6">
      <c r="A34" s="14" t="s">
        <v>361</v>
      </c>
      <c r="B34" t="s">
        <v>362</v>
      </c>
      <c r="C34" t="s">
        <v>278</v>
      </c>
      <c r="D34" s="15" t="s">
        <v>273</v>
      </c>
      <c r="E34" t="s">
        <v>274</v>
      </c>
      <c r="F34" t="s">
        <v>363</v>
      </c>
    </row>
    <row r="35" spans="1:6">
      <c r="A35" s="14" t="s">
        <v>364</v>
      </c>
      <c r="B35" t="s">
        <v>365</v>
      </c>
      <c r="C35" t="s">
        <v>366</v>
      </c>
      <c r="D35" s="15" t="s">
        <v>273</v>
      </c>
      <c r="E35" t="s">
        <v>274</v>
      </c>
      <c r="F35" t="s">
        <v>367</v>
      </c>
    </row>
    <row r="36" spans="1:6">
      <c r="A36" s="14" t="s">
        <v>368</v>
      </c>
      <c r="B36" t="s">
        <v>369</v>
      </c>
      <c r="C36" t="s">
        <v>370</v>
      </c>
      <c r="D36" s="15" t="s">
        <v>273</v>
      </c>
      <c r="E36" t="s">
        <v>274</v>
      </c>
      <c r="F36" t="s">
        <v>371</v>
      </c>
    </row>
    <row r="37" spans="1:6">
      <c r="A37" s="14" t="s">
        <v>372</v>
      </c>
      <c r="B37" t="s">
        <v>373</v>
      </c>
      <c r="C37" t="s">
        <v>285</v>
      </c>
      <c r="D37" s="15" t="s">
        <v>374</v>
      </c>
      <c r="E37" t="s">
        <v>274</v>
      </c>
      <c r="F37" t="s">
        <v>375</v>
      </c>
    </row>
    <row r="38" spans="1:6">
      <c r="A38" s="14" t="s">
        <v>376</v>
      </c>
      <c r="B38" t="s">
        <v>377</v>
      </c>
      <c r="C38" t="s">
        <v>278</v>
      </c>
      <c r="D38" s="15" t="s">
        <v>273</v>
      </c>
      <c r="E38" t="s">
        <v>327</v>
      </c>
      <c r="F38" t="s">
        <v>378</v>
      </c>
    </row>
    <row r="39" spans="1:6">
      <c r="A39" s="14" t="s">
        <v>379</v>
      </c>
      <c r="B39" t="s">
        <v>262</v>
      </c>
      <c r="C39" t="s">
        <v>278</v>
      </c>
      <c r="D39" s="15" t="s">
        <v>273</v>
      </c>
      <c r="E39" t="s">
        <v>274</v>
      </c>
      <c r="F39" t="s">
        <v>380</v>
      </c>
    </row>
    <row r="40" spans="1:6">
      <c r="A40" s="14" t="s">
        <v>381</v>
      </c>
      <c r="B40" t="s">
        <v>382</v>
      </c>
      <c r="C40" t="s">
        <v>383</v>
      </c>
      <c r="D40" s="15" t="s">
        <v>273</v>
      </c>
      <c r="E40" t="s">
        <v>327</v>
      </c>
      <c r="F40" t="s">
        <v>384</v>
      </c>
    </row>
    <row r="41" spans="1:6">
      <c r="A41" s="14" t="s">
        <v>385</v>
      </c>
      <c r="B41" t="s">
        <v>386</v>
      </c>
      <c r="C41" t="s">
        <v>387</v>
      </c>
      <c r="D41" s="15" t="s">
        <v>273</v>
      </c>
      <c r="E41" t="s">
        <v>274</v>
      </c>
      <c r="F41" t="s">
        <v>388</v>
      </c>
    </row>
    <row r="42" spans="1:6">
      <c r="A42" s="14" t="s">
        <v>3784</v>
      </c>
      <c r="B42" t="s">
        <v>3785</v>
      </c>
      <c r="C42" t="s">
        <v>426</v>
      </c>
      <c r="D42" s="15" t="s">
        <v>273</v>
      </c>
      <c r="E42" t="s">
        <v>274</v>
      </c>
      <c r="F42" t="s">
        <v>3786</v>
      </c>
    </row>
    <row r="43" spans="1:6">
      <c r="A43" s="14" t="s">
        <v>389</v>
      </c>
      <c r="B43" t="s">
        <v>390</v>
      </c>
      <c r="C43" t="s">
        <v>285</v>
      </c>
      <c r="D43" s="15" t="s">
        <v>374</v>
      </c>
      <c r="E43" t="s">
        <v>274</v>
      </c>
      <c r="F43" t="s">
        <v>36</v>
      </c>
    </row>
    <row r="44" spans="1:6">
      <c r="A44" s="14" t="s">
        <v>391</v>
      </c>
      <c r="B44" t="s">
        <v>392</v>
      </c>
      <c r="C44" t="s">
        <v>278</v>
      </c>
      <c r="D44" s="15" t="s">
        <v>273</v>
      </c>
      <c r="E44" t="s">
        <v>274</v>
      </c>
      <c r="F44" t="s">
        <v>37</v>
      </c>
    </row>
    <row r="45" spans="1:6">
      <c r="A45" s="14" t="s">
        <v>393</v>
      </c>
      <c r="B45" t="s">
        <v>394</v>
      </c>
      <c r="C45" t="s">
        <v>395</v>
      </c>
      <c r="D45" s="15" t="s">
        <v>273</v>
      </c>
      <c r="E45" t="s">
        <v>274</v>
      </c>
      <c r="F45" t="s">
        <v>396</v>
      </c>
    </row>
    <row r="46" spans="1:6">
      <c r="A46" s="14" t="s">
        <v>397</v>
      </c>
      <c r="B46" t="s">
        <v>398</v>
      </c>
      <c r="C46" t="s">
        <v>278</v>
      </c>
      <c r="D46" s="15" t="s">
        <v>273</v>
      </c>
      <c r="E46" t="s">
        <v>274</v>
      </c>
      <c r="F46" t="s">
        <v>399</v>
      </c>
    </row>
    <row r="47" spans="1:6">
      <c r="A47" s="14" t="s">
        <v>400</v>
      </c>
      <c r="B47" t="s">
        <v>401</v>
      </c>
      <c r="C47" t="s">
        <v>278</v>
      </c>
      <c r="D47" s="15" t="s">
        <v>273</v>
      </c>
      <c r="E47" t="s">
        <v>274</v>
      </c>
      <c r="F47" t="s">
        <v>402</v>
      </c>
    </row>
    <row r="48" spans="1:6">
      <c r="A48" s="14" t="s">
        <v>4012</v>
      </c>
      <c r="B48" t="s">
        <v>4013</v>
      </c>
      <c r="C48" t="s">
        <v>278</v>
      </c>
      <c r="D48" s="15" t="s">
        <v>273</v>
      </c>
      <c r="E48" t="s">
        <v>274</v>
      </c>
      <c r="F48" t="s">
        <v>4014</v>
      </c>
    </row>
    <row r="49" spans="1:9">
      <c r="A49" s="14" t="s">
        <v>403</v>
      </c>
      <c r="B49" t="s">
        <v>404</v>
      </c>
      <c r="C49" t="s">
        <v>239</v>
      </c>
      <c r="D49" s="15" t="s">
        <v>273</v>
      </c>
      <c r="E49" t="s">
        <v>274</v>
      </c>
      <c r="F49" t="s">
        <v>405</v>
      </c>
    </row>
    <row r="50" spans="1:9">
      <c r="A50" s="14" t="s">
        <v>406</v>
      </c>
      <c r="B50" t="s">
        <v>407</v>
      </c>
      <c r="C50" t="s">
        <v>273</v>
      </c>
      <c r="D50" s="15" t="s">
        <v>273</v>
      </c>
      <c r="E50" t="s">
        <v>274</v>
      </c>
      <c r="F50" t="s">
        <v>408</v>
      </c>
    </row>
    <row r="51" spans="1:9">
      <c r="A51" s="14" t="s">
        <v>409</v>
      </c>
      <c r="B51" t="s">
        <v>410</v>
      </c>
      <c r="C51" t="s">
        <v>278</v>
      </c>
      <c r="D51" s="15" t="s">
        <v>273</v>
      </c>
      <c r="E51" t="s">
        <v>274</v>
      </c>
      <c r="F51" t="s">
        <v>38</v>
      </c>
    </row>
    <row r="52" spans="1:9">
      <c r="A52" s="14" t="s">
        <v>411</v>
      </c>
      <c r="B52" t="s">
        <v>412</v>
      </c>
      <c r="C52" t="s">
        <v>413</v>
      </c>
      <c r="D52" s="15" t="s">
        <v>273</v>
      </c>
      <c r="E52" t="s">
        <v>327</v>
      </c>
      <c r="F52" t="s">
        <v>414</v>
      </c>
    </row>
    <row r="53" spans="1:9">
      <c r="A53" s="14" t="s">
        <v>415</v>
      </c>
      <c r="B53" t="s">
        <v>416</v>
      </c>
      <c r="C53" t="s">
        <v>417</v>
      </c>
      <c r="D53" s="15" t="s">
        <v>418</v>
      </c>
      <c r="E53" t="s">
        <v>274</v>
      </c>
      <c r="F53" t="s">
        <v>39</v>
      </c>
    </row>
    <row r="54" spans="1:9">
      <c r="A54" s="14" t="s">
        <v>4162</v>
      </c>
      <c r="B54" s="14" t="s">
        <v>4163</v>
      </c>
      <c r="C54" s="14" t="s">
        <v>278</v>
      </c>
      <c r="D54" s="15" t="s">
        <v>3736</v>
      </c>
      <c r="E54" s="14" t="s">
        <v>327</v>
      </c>
      <c r="F54" s="14" t="s">
        <v>4164</v>
      </c>
    </row>
    <row r="55" spans="1:9">
      <c r="A55" s="14" t="s">
        <v>419</v>
      </c>
      <c r="B55" t="s">
        <v>420</v>
      </c>
      <c r="C55" t="s">
        <v>235</v>
      </c>
      <c r="D55" s="15" t="s">
        <v>273</v>
      </c>
      <c r="E55" t="s">
        <v>274</v>
      </c>
      <c r="F55" t="s">
        <v>421</v>
      </c>
    </row>
    <row r="56" spans="1:9">
      <c r="A56" s="14" t="s">
        <v>422</v>
      </c>
      <c r="B56" t="s">
        <v>423</v>
      </c>
      <c r="C56" t="s">
        <v>285</v>
      </c>
      <c r="D56" s="15" t="s">
        <v>273</v>
      </c>
      <c r="E56" t="s">
        <v>274</v>
      </c>
      <c r="F56" t="s">
        <v>40</v>
      </c>
    </row>
    <row r="57" spans="1:9">
      <c r="A57" s="14" t="s">
        <v>424</v>
      </c>
      <c r="B57" t="s">
        <v>425</v>
      </c>
      <c r="C57" t="s">
        <v>426</v>
      </c>
      <c r="D57" s="15" t="s">
        <v>273</v>
      </c>
      <c r="E57" t="s">
        <v>274</v>
      </c>
      <c r="F57" t="s">
        <v>427</v>
      </c>
    </row>
    <row r="58" spans="1:9">
      <c r="A58" s="14" t="s">
        <v>428</v>
      </c>
      <c r="B58" t="s">
        <v>429</v>
      </c>
      <c r="C58" t="s">
        <v>278</v>
      </c>
      <c r="D58" s="15" t="s">
        <v>273</v>
      </c>
      <c r="E58" t="s">
        <v>274</v>
      </c>
      <c r="F58" t="s">
        <v>430</v>
      </c>
    </row>
    <row r="59" spans="1:9">
      <c r="A59" s="14" t="s">
        <v>431</v>
      </c>
      <c r="B59" t="s">
        <v>432</v>
      </c>
      <c r="C59" t="s">
        <v>433</v>
      </c>
      <c r="D59" s="15" t="s">
        <v>273</v>
      </c>
      <c r="E59" t="s">
        <v>274</v>
      </c>
      <c r="F59" t="s">
        <v>434</v>
      </c>
    </row>
    <row r="60" spans="1:9">
      <c r="A60" s="14" t="s">
        <v>435</v>
      </c>
      <c r="B60" t="s">
        <v>267</v>
      </c>
      <c r="C60" t="s">
        <v>436</v>
      </c>
      <c r="D60" s="15" t="s">
        <v>273</v>
      </c>
      <c r="E60" t="s">
        <v>274</v>
      </c>
      <c r="F60" t="s">
        <v>41</v>
      </c>
    </row>
    <row r="61" spans="1:9">
      <c r="A61" s="14" t="s">
        <v>437</v>
      </c>
      <c r="B61" t="s">
        <v>438</v>
      </c>
      <c r="C61" t="s">
        <v>288</v>
      </c>
      <c r="D61" s="15" t="s">
        <v>273</v>
      </c>
      <c r="E61" t="s">
        <v>274</v>
      </c>
      <c r="F61" t="s">
        <v>439</v>
      </c>
    </row>
    <row r="62" spans="1:9">
      <c r="A62" s="14" t="s">
        <v>440</v>
      </c>
      <c r="B62" t="s">
        <v>441</v>
      </c>
      <c r="C62" t="s">
        <v>442</v>
      </c>
      <c r="D62" s="15" t="s">
        <v>273</v>
      </c>
      <c r="E62" t="s">
        <v>274</v>
      </c>
      <c r="F62" t="s">
        <v>443</v>
      </c>
    </row>
    <row r="63" spans="1:9">
      <c r="A63" s="14" t="s">
        <v>444</v>
      </c>
      <c r="B63" t="s">
        <v>445</v>
      </c>
      <c r="C63" t="s">
        <v>288</v>
      </c>
      <c r="D63" s="15" t="s">
        <v>273</v>
      </c>
      <c r="E63" t="s">
        <v>274</v>
      </c>
      <c r="F63" t="s">
        <v>446</v>
      </c>
    </row>
    <row r="64" spans="1:9">
      <c r="A64" s="14" t="s">
        <v>447</v>
      </c>
      <c r="B64" t="s">
        <v>448</v>
      </c>
      <c r="C64" t="s">
        <v>278</v>
      </c>
      <c r="D64" s="15" t="s">
        <v>273</v>
      </c>
      <c r="E64" t="s">
        <v>327</v>
      </c>
      <c r="F64" t="s">
        <v>449</v>
      </c>
      <c r="G64" s="13" t="s">
        <v>34</v>
      </c>
      <c r="H64" s="13" t="s">
        <v>250</v>
      </c>
      <c r="I64" s="13" t="s">
        <v>34</v>
      </c>
    </row>
    <row r="65" spans="1:6">
      <c r="A65" s="14" t="s">
        <v>450</v>
      </c>
      <c r="B65" t="s">
        <v>451</v>
      </c>
      <c r="C65" t="s">
        <v>452</v>
      </c>
      <c r="D65" s="15" t="s">
        <v>295</v>
      </c>
      <c r="E65" t="s">
        <v>274</v>
      </c>
      <c r="F65" t="s">
        <v>453</v>
      </c>
    </row>
    <row r="66" spans="1:6">
      <c r="A66" s="14" t="s">
        <v>454</v>
      </c>
      <c r="B66" t="s">
        <v>455</v>
      </c>
      <c r="C66" t="s">
        <v>278</v>
      </c>
      <c r="D66" s="15" t="s">
        <v>273</v>
      </c>
      <c r="E66" t="s">
        <v>274</v>
      </c>
      <c r="F66" t="s">
        <v>456</v>
      </c>
    </row>
    <row r="67" spans="1:6">
      <c r="A67" s="14" t="s">
        <v>457</v>
      </c>
      <c r="B67" t="s">
        <v>458</v>
      </c>
      <c r="C67" t="s">
        <v>366</v>
      </c>
      <c r="D67" s="15" t="s">
        <v>273</v>
      </c>
      <c r="E67" t="s">
        <v>274</v>
      </c>
      <c r="F67" t="s">
        <v>459</v>
      </c>
    </row>
    <row r="68" spans="1:6">
      <c r="A68" s="14" t="s">
        <v>4032</v>
      </c>
      <c r="B68" t="s">
        <v>4029</v>
      </c>
      <c r="C68" t="s">
        <v>2757</v>
      </c>
      <c r="D68" s="15" t="s">
        <v>4030</v>
      </c>
      <c r="E68" t="s">
        <v>274</v>
      </c>
      <c r="F68" t="s">
        <v>4031</v>
      </c>
    </row>
    <row r="69" spans="1:6">
      <c r="A69" s="14" t="s">
        <v>460</v>
      </c>
      <c r="B69" t="s">
        <v>42</v>
      </c>
      <c r="C69" t="s">
        <v>288</v>
      </c>
      <c r="D69" s="15" t="s">
        <v>273</v>
      </c>
      <c r="E69" t="s">
        <v>274</v>
      </c>
      <c r="F69" t="s">
        <v>43</v>
      </c>
    </row>
    <row r="70" spans="1:6">
      <c r="A70" s="14" t="s">
        <v>461</v>
      </c>
      <c r="B70" t="s">
        <v>462</v>
      </c>
      <c r="C70" t="s">
        <v>288</v>
      </c>
      <c r="D70" s="15" t="s">
        <v>273</v>
      </c>
      <c r="E70" t="s">
        <v>274</v>
      </c>
      <c r="F70" t="s">
        <v>463</v>
      </c>
    </row>
    <row r="71" spans="1:6">
      <c r="A71" s="14" t="s">
        <v>464</v>
      </c>
      <c r="B71" t="s">
        <v>465</v>
      </c>
      <c r="C71" t="s">
        <v>278</v>
      </c>
      <c r="D71" s="15" t="s">
        <v>273</v>
      </c>
      <c r="E71" t="s">
        <v>274</v>
      </c>
      <c r="F71" t="s">
        <v>466</v>
      </c>
    </row>
    <row r="72" spans="1:6">
      <c r="A72" s="14" t="s">
        <v>467</v>
      </c>
      <c r="B72" t="s">
        <v>468</v>
      </c>
      <c r="C72" t="s">
        <v>278</v>
      </c>
      <c r="D72" s="15" t="s">
        <v>273</v>
      </c>
      <c r="E72" t="s">
        <v>274</v>
      </c>
      <c r="F72" t="s">
        <v>469</v>
      </c>
    </row>
    <row r="73" spans="1:6">
      <c r="A73" s="14" t="s">
        <v>470</v>
      </c>
      <c r="B73" t="s">
        <v>471</v>
      </c>
      <c r="C73" t="s">
        <v>472</v>
      </c>
      <c r="D73" s="15" t="s">
        <v>273</v>
      </c>
      <c r="E73" t="s">
        <v>274</v>
      </c>
      <c r="F73" t="s">
        <v>473</v>
      </c>
    </row>
    <row r="74" spans="1:6">
      <c r="A74" s="14" t="s">
        <v>474</v>
      </c>
      <c r="B74" t="s">
        <v>475</v>
      </c>
      <c r="C74" t="s">
        <v>436</v>
      </c>
      <c r="D74" s="15" t="s">
        <v>273</v>
      </c>
      <c r="E74" t="s">
        <v>274</v>
      </c>
      <c r="F74" t="s">
        <v>476</v>
      </c>
    </row>
    <row r="75" spans="1:6">
      <c r="A75" s="14" t="s">
        <v>477</v>
      </c>
      <c r="B75" t="s">
        <v>44</v>
      </c>
      <c r="C75" t="s">
        <v>278</v>
      </c>
      <c r="D75" s="15" t="s">
        <v>273</v>
      </c>
      <c r="E75" t="s">
        <v>274</v>
      </c>
      <c r="F75" t="s">
        <v>45</v>
      </c>
    </row>
    <row r="76" spans="1:6">
      <c r="A76" s="14" t="s">
        <v>478</v>
      </c>
      <c r="B76" t="s">
        <v>479</v>
      </c>
      <c r="C76" t="s">
        <v>480</v>
      </c>
      <c r="D76" s="15" t="s">
        <v>273</v>
      </c>
      <c r="E76" t="s">
        <v>274</v>
      </c>
      <c r="F76" t="s">
        <v>481</v>
      </c>
    </row>
    <row r="77" spans="1:6">
      <c r="A77" s="14" t="s">
        <v>482</v>
      </c>
      <c r="B77" t="s">
        <v>483</v>
      </c>
      <c r="C77" t="s">
        <v>240</v>
      </c>
      <c r="D77" s="15" t="s">
        <v>273</v>
      </c>
      <c r="E77" t="s">
        <v>274</v>
      </c>
      <c r="F77" t="s">
        <v>484</v>
      </c>
    </row>
    <row r="78" spans="1:6">
      <c r="A78" s="14" t="s">
        <v>485</v>
      </c>
      <c r="B78" t="s">
        <v>486</v>
      </c>
      <c r="C78" t="s">
        <v>487</v>
      </c>
      <c r="D78" s="15" t="s">
        <v>273</v>
      </c>
      <c r="E78" t="s">
        <v>274</v>
      </c>
      <c r="F78" t="s">
        <v>488</v>
      </c>
    </row>
    <row r="79" spans="1:6">
      <c r="A79" s="14" t="s">
        <v>489</v>
      </c>
      <c r="B79" t="s">
        <v>490</v>
      </c>
      <c r="C79" t="s">
        <v>491</v>
      </c>
      <c r="D79" s="15" t="s">
        <v>273</v>
      </c>
      <c r="E79" t="s">
        <v>274</v>
      </c>
      <c r="F79" t="s">
        <v>46</v>
      </c>
    </row>
    <row r="80" spans="1:6">
      <c r="A80" s="14" t="s">
        <v>492</v>
      </c>
      <c r="B80" t="s">
        <v>493</v>
      </c>
      <c r="C80" t="s">
        <v>494</v>
      </c>
      <c r="D80" s="15" t="s">
        <v>273</v>
      </c>
      <c r="E80" t="s">
        <v>274</v>
      </c>
      <c r="F80" t="s">
        <v>495</v>
      </c>
    </row>
    <row r="81" spans="1:6">
      <c r="A81" s="14" t="s">
        <v>496</v>
      </c>
      <c r="B81" t="s">
        <v>497</v>
      </c>
      <c r="C81" t="s">
        <v>285</v>
      </c>
      <c r="D81" s="15" t="s">
        <v>273</v>
      </c>
      <c r="E81" t="s">
        <v>274</v>
      </c>
      <c r="F81" t="s">
        <v>498</v>
      </c>
    </row>
    <row r="82" spans="1:6">
      <c r="A82" s="14" t="s">
        <v>499</v>
      </c>
      <c r="B82" t="s">
        <v>500</v>
      </c>
      <c r="C82" t="s">
        <v>237</v>
      </c>
      <c r="D82" s="15" t="s">
        <v>273</v>
      </c>
      <c r="E82" t="s">
        <v>274</v>
      </c>
      <c r="F82" t="s">
        <v>501</v>
      </c>
    </row>
    <row r="83" spans="1:6">
      <c r="A83" s="14" t="s">
        <v>502</v>
      </c>
      <c r="B83" t="s">
        <v>503</v>
      </c>
      <c r="C83" t="s">
        <v>278</v>
      </c>
      <c r="D83" s="15" t="s">
        <v>273</v>
      </c>
      <c r="E83" t="s">
        <v>274</v>
      </c>
      <c r="F83" t="s">
        <v>47</v>
      </c>
    </row>
    <row r="84" spans="1:6">
      <c r="A84" s="14" t="s">
        <v>504</v>
      </c>
      <c r="B84" t="s">
        <v>505</v>
      </c>
      <c r="C84" t="s">
        <v>506</v>
      </c>
      <c r="D84" s="15" t="s">
        <v>273</v>
      </c>
      <c r="E84" t="s">
        <v>274</v>
      </c>
      <c r="F84" t="s">
        <v>507</v>
      </c>
    </row>
    <row r="85" spans="1:6">
      <c r="A85" s="14" t="s">
        <v>508</v>
      </c>
      <c r="B85" t="s">
        <v>509</v>
      </c>
      <c r="C85" t="s">
        <v>278</v>
      </c>
      <c r="D85" s="15" t="s">
        <v>273</v>
      </c>
      <c r="E85" t="s">
        <v>327</v>
      </c>
      <c r="F85" t="s">
        <v>510</v>
      </c>
    </row>
    <row r="86" spans="1:6">
      <c r="A86" s="14" t="s">
        <v>511</v>
      </c>
      <c r="B86" t="s">
        <v>512</v>
      </c>
      <c r="C86" t="s">
        <v>288</v>
      </c>
      <c r="D86" s="15" t="s">
        <v>273</v>
      </c>
      <c r="E86" t="s">
        <v>274</v>
      </c>
      <c r="F86" t="s">
        <v>513</v>
      </c>
    </row>
    <row r="87" spans="1:6">
      <c r="A87" s="14" t="s">
        <v>514</v>
      </c>
      <c r="B87" t="s">
        <v>515</v>
      </c>
      <c r="C87" t="s">
        <v>278</v>
      </c>
      <c r="D87" s="15" t="s">
        <v>273</v>
      </c>
      <c r="E87" t="s">
        <v>274</v>
      </c>
      <c r="F87" t="s">
        <v>516</v>
      </c>
    </row>
    <row r="88" spans="1:6">
      <c r="A88" s="14" t="s">
        <v>517</v>
      </c>
      <c r="B88" t="s">
        <v>518</v>
      </c>
      <c r="C88" t="s">
        <v>278</v>
      </c>
      <c r="D88" s="15" t="s">
        <v>273</v>
      </c>
      <c r="E88" t="s">
        <v>274</v>
      </c>
      <c r="F88" t="s">
        <v>519</v>
      </c>
    </row>
    <row r="89" spans="1:6">
      <c r="A89" s="14" t="s">
        <v>520</v>
      </c>
      <c r="B89" t="s">
        <v>521</v>
      </c>
      <c r="C89" t="s">
        <v>288</v>
      </c>
      <c r="D89" s="15" t="s">
        <v>273</v>
      </c>
      <c r="E89" t="s">
        <v>274</v>
      </c>
      <c r="F89" t="s">
        <v>48</v>
      </c>
    </row>
    <row r="90" spans="1:6">
      <c r="A90" s="14" t="s">
        <v>522</v>
      </c>
      <c r="B90" t="s">
        <v>523</v>
      </c>
      <c r="C90" t="s">
        <v>285</v>
      </c>
      <c r="D90" s="15" t="s">
        <v>273</v>
      </c>
      <c r="E90" t="s">
        <v>274</v>
      </c>
      <c r="F90" t="s">
        <v>524</v>
      </c>
    </row>
    <row r="91" spans="1:6">
      <c r="A91" s="14" t="s">
        <v>525</v>
      </c>
      <c r="B91" t="s">
        <v>526</v>
      </c>
      <c r="C91" t="s">
        <v>285</v>
      </c>
      <c r="D91" s="15" t="s">
        <v>273</v>
      </c>
      <c r="E91" t="s">
        <v>274</v>
      </c>
      <c r="F91" t="s">
        <v>527</v>
      </c>
    </row>
    <row r="92" spans="1:6">
      <c r="A92" s="14" t="s">
        <v>528</v>
      </c>
      <c r="B92" t="s">
        <v>529</v>
      </c>
      <c r="C92" t="s">
        <v>530</v>
      </c>
      <c r="D92" s="15" t="s">
        <v>273</v>
      </c>
      <c r="E92" t="s">
        <v>274</v>
      </c>
      <c r="F92" t="s">
        <v>531</v>
      </c>
    </row>
    <row r="93" spans="1:6">
      <c r="A93" s="14" t="s">
        <v>532</v>
      </c>
      <c r="B93" t="s">
        <v>533</v>
      </c>
      <c r="C93" t="s">
        <v>278</v>
      </c>
      <c r="D93" s="15" t="s">
        <v>273</v>
      </c>
      <c r="E93" t="s">
        <v>327</v>
      </c>
      <c r="F93" t="s">
        <v>534</v>
      </c>
    </row>
    <row r="94" spans="1:6">
      <c r="A94" s="14" t="s">
        <v>535</v>
      </c>
      <c r="B94" t="s">
        <v>536</v>
      </c>
      <c r="C94" t="s">
        <v>537</v>
      </c>
      <c r="D94" s="15" t="s">
        <v>273</v>
      </c>
      <c r="E94" t="s">
        <v>274</v>
      </c>
      <c r="F94" t="s">
        <v>538</v>
      </c>
    </row>
    <row r="95" spans="1:6">
      <c r="A95" s="14" t="s">
        <v>539</v>
      </c>
      <c r="B95" t="s">
        <v>540</v>
      </c>
      <c r="C95" t="s">
        <v>237</v>
      </c>
      <c r="D95" s="15" t="s">
        <v>273</v>
      </c>
      <c r="E95" t="s">
        <v>274</v>
      </c>
      <c r="F95" t="s">
        <v>541</v>
      </c>
    </row>
    <row r="96" spans="1:6">
      <c r="A96" s="14" t="s">
        <v>542</v>
      </c>
      <c r="B96" t="s">
        <v>543</v>
      </c>
      <c r="C96" t="s">
        <v>237</v>
      </c>
      <c r="D96" s="15" t="s">
        <v>273</v>
      </c>
      <c r="E96" t="s">
        <v>274</v>
      </c>
      <c r="F96" t="s">
        <v>544</v>
      </c>
    </row>
    <row r="97" spans="1:6">
      <c r="A97" s="14" t="s">
        <v>545</v>
      </c>
      <c r="B97" t="s">
        <v>546</v>
      </c>
      <c r="C97" t="s">
        <v>288</v>
      </c>
      <c r="D97" s="15" t="s">
        <v>273</v>
      </c>
      <c r="E97" t="s">
        <v>274</v>
      </c>
      <c r="F97" t="s">
        <v>547</v>
      </c>
    </row>
    <row r="98" spans="1:6">
      <c r="A98" s="14" t="s">
        <v>548</v>
      </c>
      <c r="B98" t="s">
        <v>266</v>
      </c>
      <c r="C98" t="s">
        <v>241</v>
      </c>
      <c r="D98" s="15" t="s">
        <v>273</v>
      </c>
      <c r="E98" t="s">
        <v>274</v>
      </c>
      <c r="F98" t="s">
        <v>49</v>
      </c>
    </row>
    <row r="99" spans="1:6">
      <c r="A99" s="14" t="s">
        <v>549</v>
      </c>
      <c r="B99" t="s">
        <v>550</v>
      </c>
      <c r="C99" t="s">
        <v>278</v>
      </c>
      <c r="D99" s="15" t="s">
        <v>273</v>
      </c>
      <c r="E99" t="s">
        <v>274</v>
      </c>
      <c r="F99" t="s">
        <v>551</v>
      </c>
    </row>
    <row r="100" spans="1:6">
      <c r="A100" s="14" t="s">
        <v>552</v>
      </c>
      <c r="B100" t="s">
        <v>553</v>
      </c>
      <c r="C100" t="s">
        <v>278</v>
      </c>
      <c r="D100" s="15" t="s">
        <v>273</v>
      </c>
      <c r="E100" t="s">
        <v>274</v>
      </c>
      <c r="F100" t="s">
        <v>50</v>
      </c>
    </row>
    <row r="101" spans="1:6">
      <c r="A101" s="14" t="s">
        <v>554</v>
      </c>
      <c r="B101" t="s">
        <v>555</v>
      </c>
      <c r="C101" t="s">
        <v>556</v>
      </c>
      <c r="D101" s="15" t="s">
        <v>273</v>
      </c>
      <c r="E101" t="s">
        <v>274</v>
      </c>
      <c r="F101" t="s">
        <v>557</v>
      </c>
    </row>
    <row r="102" spans="1:6">
      <c r="A102" s="14" t="s">
        <v>558</v>
      </c>
      <c r="B102" t="s">
        <v>559</v>
      </c>
      <c r="C102" t="s">
        <v>278</v>
      </c>
      <c r="D102" s="15" t="s">
        <v>273</v>
      </c>
      <c r="E102" t="s">
        <v>274</v>
      </c>
      <c r="F102" t="s">
        <v>560</v>
      </c>
    </row>
    <row r="103" spans="1:6">
      <c r="A103" s="14" t="s">
        <v>561</v>
      </c>
      <c r="B103" t="s">
        <v>562</v>
      </c>
      <c r="C103" t="s">
        <v>563</v>
      </c>
      <c r="D103" s="15" t="s">
        <v>273</v>
      </c>
      <c r="E103" t="s">
        <v>274</v>
      </c>
      <c r="F103" t="s">
        <v>564</v>
      </c>
    </row>
    <row r="104" spans="1:6">
      <c r="A104" s="14" t="s">
        <v>565</v>
      </c>
      <c r="B104" t="s">
        <v>566</v>
      </c>
      <c r="C104" t="s">
        <v>567</v>
      </c>
      <c r="D104" s="15" t="s">
        <v>568</v>
      </c>
      <c r="E104" t="s">
        <v>274</v>
      </c>
      <c r="F104" t="s">
        <v>569</v>
      </c>
    </row>
    <row r="105" spans="1:6">
      <c r="A105" s="14" t="s">
        <v>570</v>
      </c>
      <c r="B105" t="s">
        <v>571</v>
      </c>
      <c r="C105" t="s">
        <v>288</v>
      </c>
      <c r="D105" s="15" t="s">
        <v>273</v>
      </c>
      <c r="E105" t="s">
        <v>274</v>
      </c>
      <c r="F105" t="s">
        <v>572</v>
      </c>
    </row>
    <row r="106" spans="1:6">
      <c r="A106" s="14" t="s">
        <v>573</v>
      </c>
      <c r="B106" t="s">
        <v>574</v>
      </c>
      <c r="C106" t="s">
        <v>273</v>
      </c>
      <c r="D106" s="15" t="s">
        <v>273</v>
      </c>
      <c r="E106" t="s">
        <v>327</v>
      </c>
      <c r="F106" t="s">
        <v>51</v>
      </c>
    </row>
    <row r="107" spans="1:6">
      <c r="A107" s="14" t="s">
        <v>575</v>
      </c>
      <c r="B107" t="s">
        <v>576</v>
      </c>
      <c r="C107" t="s">
        <v>269</v>
      </c>
      <c r="D107" s="15" t="s">
        <v>273</v>
      </c>
      <c r="E107" t="s">
        <v>274</v>
      </c>
      <c r="F107" t="s">
        <v>577</v>
      </c>
    </row>
    <row r="108" spans="1:6">
      <c r="A108" s="14" t="s">
        <v>578</v>
      </c>
      <c r="B108" t="s">
        <v>579</v>
      </c>
      <c r="C108" t="s">
        <v>580</v>
      </c>
      <c r="D108" s="15" t="s">
        <v>273</v>
      </c>
      <c r="E108" t="s">
        <v>274</v>
      </c>
      <c r="F108" t="s">
        <v>581</v>
      </c>
    </row>
    <row r="109" spans="1:6">
      <c r="A109" s="14" t="s">
        <v>3883</v>
      </c>
      <c r="B109" t="s">
        <v>2908</v>
      </c>
      <c r="C109" t="s">
        <v>278</v>
      </c>
      <c r="D109" s="15" t="s">
        <v>273</v>
      </c>
      <c r="E109" t="s">
        <v>274</v>
      </c>
      <c r="F109" t="s">
        <v>186</v>
      </c>
    </row>
    <row r="110" spans="1:6">
      <c r="A110" s="14" t="s">
        <v>582</v>
      </c>
      <c r="B110" t="s">
        <v>583</v>
      </c>
      <c r="C110" t="s">
        <v>584</v>
      </c>
      <c r="D110" s="15" t="s">
        <v>273</v>
      </c>
      <c r="E110" t="s">
        <v>274</v>
      </c>
      <c r="F110" t="s">
        <v>585</v>
      </c>
    </row>
    <row r="111" spans="1:6">
      <c r="A111" s="14" t="s">
        <v>586</v>
      </c>
      <c r="B111" t="s">
        <v>587</v>
      </c>
      <c r="C111" t="s">
        <v>278</v>
      </c>
      <c r="D111" s="15" t="s">
        <v>273</v>
      </c>
      <c r="E111" t="s">
        <v>274</v>
      </c>
      <c r="F111" t="s">
        <v>588</v>
      </c>
    </row>
    <row r="112" spans="1:6">
      <c r="A112" s="14" t="s">
        <v>589</v>
      </c>
      <c r="B112" t="s">
        <v>590</v>
      </c>
      <c r="C112" t="s">
        <v>433</v>
      </c>
      <c r="D112" s="15" t="s">
        <v>273</v>
      </c>
      <c r="E112" t="s">
        <v>274</v>
      </c>
      <c r="F112" t="s">
        <v>591</v>
      </c>
    </row>
    <row r="113" spans="1:6">
      <c r="A113" s="14" t="s">
        <v>592</v>
      </c>
      <c r="B113" t="s">
        <v>593</v>
      </c>
      <c r="C113" t="s">
        <v>594</v>
      </c>
      <c r="D113" s="15" t="s">
        <v>273</v>
      </c>
      <c r="E113" t="s">
        <v>274</v>
      </c>
      <c r="F113" t="s">
        <v>595</v>
      </c>
    </row>
    <row r="114" spans="1:6">
      <c r="A114" s="14" t="s">
        <v>596</v>
      </c>
      <c r="B114" t="s">
        <v>597</v>
      </c>
      <c r="C114" t="s">
        <v>278</v>
      </c>
      <c r="D114" s="15" t="s">
        <v>273</v>
      </c>
      <c r="E114" t="s">
        <v>274</v>
      </c>
      <c r="F114" t="s">
        <v>598</v>
      </c>
    </row>
    <row r="115" spans="1:6">
      <c r="A115" s="14" t="s">
        <v>599</v>
      </c>
      <c r="B115" t="s">
        <v>600</v>
      </c>
      <c r="C115" t="s">
        <v>601</v>
      </c>
      <c r="D115" s="15" t="s">
        <v>601</v>
      </c>
      <c r="E115" t="s">
        <v>274</v>
      </c>
      <c r="F115" t="s">
        <v>602</v>
      </c>
    </row>
    <row r="116" spans="1:6">
      <c r="A116" s="14" t="s">
        <v>3917</v>
      </c>
      <c r="B116" t="s">
        <v>1755</v>
      </c>
      <c r="C116" t="s">
        <v>366</v>
      </c>
      <c r="D116" s="15" t="s">
        <v>273</v>
      </c>
      <c r="E116" t="s">
        <v>274</v>
      </c>
      <c r="F116" t="s">
        <v>3918</v>
      </c>
    </row>
    <row r="117" spans="1:6">
      <c r="A117" s="14" t="s">
        <v>4065</v>
      </c>
      <c r="B117" t="s">
        <v>4066</v>
      </c>
      <c r="C117" t="s">
        <v>4067</v>
      </c>
      <c r="D117" s="15" t="s">
        <v>418</v>
      </c>
      <c r="E117" t="s">
        <v>274</v>
      </c>
      <c r="F117" t="s">
        <v>4068</v>
      </c>
    </row>
    <row r="118" spans="1:6">
      <c r="A118" s="14" t="s">
        <v>603</v>
      </c>
      <c r="B118" t="s">
        <v>604</v>
      </c>
      <c r="C118" t="s">
        <v>278</v>
      </c>
      <c r="D118" s="15" t="s">
        <v>273</v>
      </c>
      <c r="E118" t="s">
        <v>274</v>
      </c>
      <c r="F118" t="s">
        <v>605</v>
      </c>
    </row>
    <row r="119" spans="1:6">
      <c r="A119" s="14" t="s">
        <v>606</v>
      </c>
      <c r="B119" t="s">
        <v>607</v>
      </c>
      <c r="C119" t="s">
        <v>278</v>
      </c>
      <c r="D119" s="15" t="s">
        <v>273</v>
      </c>
      <c r="E119" t="s">
        <v>274</v>
      </c>
      <c r="F119" t="s">
        <v>52</v>
      </c>
    </row>
    <row r="120" spans="1:6">
      <c r="A120" s="14" t="s">
        <v>608</v>
      </c>
      <c r="B120" t="s">
        <v>609</v>
      </c>
      <c r="C120" t="s">
        <v>255</v>
      </c>
      <c r="D120" s="15" t="s">
        <v>273</v>
      </c>
      <c r="E120" t="s">
        <v>327</v>
      </c>
      <c r="F120" t="s">
        <v>610</v>
      </c>
    </row>
    <row r="121" spans="1:6">
      <c r="A121" s="14" t="s">
        <v>4037</v>
      </c>
      <c r="B121" t="s">
        <v>4038</v>
      </c>
      <c r="C121" t="s">
        <v>278</v>
      </c>
      <c r="D121" s="15" t="s">
        <v>3736</v>
      </c>
      <c r="E121" t="s">
        <v>274</v>
      </c>
      <c r="F121" t="s">
        <v>4039</v>
      </c>
    </row>
    <row r="122" spans="1:6">
      <c r="A122" s="14" t="s">
        <v>611</v>
      </c>
      <c r="B122" t="s">
        <v>612</v>
      </c>
      <c r="C122" t="s">
        <v>613</v>
      </c>
      <c r="D122" s="15" t="s">
        <v>273</v>
      </c>
      <c r="E122" t="s">
        <v>274</v>
      </c>
      <c r="F122" t="s">
        <v>614</v>
      </c>
    </row>
    <row r="123" spans="1:6">
      <c r="A123" s="14" t="s">
        <v>3680</v>
      </c>
      <c r="B123" t="s">
        <v>3681</v>
      </c>
      <c r="C123" t="s">
        <v>3682</v>
      </c>
      <c r="D123" s="15" t="s">
        <v>273</v>
      </c>
      <c r="E123" t="s">
        <v>274</v>
      </c>
    </row>
    <row r="124" spans="1:6">
      <c r="A124" s="14" t="s">
        <v>3819</v>
      </c>
      <c r="B124"/>
      <c r="C124"/>
      <c r="F124" t="s">
        <v>3820</v>
      </c>
    </row>
    <row r="125" spans="1:6">
      <c r="A125" s="14" t="s">
        <v>615</v>
      </c>
      <c r="B125" t="s">
        <v>616</v>
      </c>
      <c r="C125" t="s">
        <v>617</v>
      </c>
      <c r="D125" s="15" t="s">
        <v>273</v>
      </c>
      <c r="E125" t="s">
        <v>274</v>
      </c>
      <c r="F125" t="s">
        <v>618</v>
      </c>
    </row>
    <row r="126" spans="1:6">
      <c r="A126" s="14" t="s">
        <v>619</v>
      </c>
      <c r="B126" t="s">
        <v>620</v>
      </c>
      <c r="C126" t="s">
        <v>3641</v>
      </c>
      <c r="D126" s="15" t="s">
        <v>295</v>
      </c>
      <c r="E126" t="s">
        <v>274</v>
      </c>
      <c r="F126" t="s">
        <v>621</v>
      </c>
    </row>
    <row r="127" spans="1:6">
      <c r="A127" s="14" t="s">
        <v>622</v>
      </c>
      <c r="B127" t="s">
        <v>623</v>
      </c>
      <c r="C127" t="s">
        <v>3641</v>
      </c>
      <c r="D127" s="15" t="s">
        <v>295</v>
      </c>
      <c r="E127" t="s">
        <v>274</v>
      </c>
      <c r="F127" t="s">
        <v>624</v>
      </c>
    </row>
    <row r="128" spans="1:6">
      <c r="A128" s="14" t="s">
        <v>625</v>
      </c>
      <c r="B128" t="s">
        <v>3640</v>
      </c>
      <c r="C128" t="s">
        <v>288</v>
      </c>
      <c r="D128" s="15" t="s">
        <v>374</v>
      </c>
      <c r="E128" t="s">
        <v>274</v>
      </c>
      <c r="F128" t="s">
        <v>53</v>
      </c>
    </row>
    <row r="129" spans="1:6">
      <c r="A129" s="14" t="s">
        <v>626</v>
      </c>
      <c r="B129" t="s">
        <v>627</v>
      </c>
      <c r="C129" t="s">
        <v>628</v>
      </c>
      <c r="D129" s="15" t="s">
        <v>273</v>
      </c>
      <c r="E129" t="s">
        <v>274</v>
      </c>
      <c r="F129" t="s">
        <v>54</v>
      </c>
    </row>
    <row r="130" spans="1:6">
      <c r="A130" s="14" t="s">
        <v>629</v>
      </c>
      <c r="B130" t="s">
        <v>630</v>
      </c>
      <c r="C130" t="s">
        <v>3642</v>
      </c>
      <c r="D130" s="15" t="s">
        <v>273</v>
      </c>
      <c r="E130" t="s">
        <v>274</v>
      </c>
      <c r="F130" t="s">
        <v>631</v>
      </c>
    </row>
    <row r="131" spans="1:6">
      <c r="A131" s="14" t="s">
        <v>632</v>
      </c>
      <c r="B131" t="s">
        <v>633</v>
      </c>
      <c r="C131" t="s">
        <v>634</v>
      </c>
      <c r="D131" s="15" t="s">
        <v>273</v>
      </c>
      <c r="E131" t="s">
        <v>274</v>
      </c>
      <c r="F131" t="s">
        <v>635</v>
      </c>
    </row>
    <row r="132" spans="1:6">
      <c r="A132" s="14" t="s">
        <v>636</v>
      </c>
      <c r="B132" t="s">
        <v>637</v>
      </c>
      <c r="C132" t="s">
        <v>278</v>
      </c>
      <c r="D132" s="15" t="s">
        <v>273</v>
      </c>
      <c r="E132" t="s">
        <v>274</v>
      </c>
      <c r="F132" t="s">
        <v>638</v>
      </c>
    </row>
    <row r="133" spans="1:6">
      <c r="A133" s="14" t="s">
        <v>3841</v>
      </c>
      <c r="B133" t="s">
        <v>3842</v>
      </c>
      <c r="C133" t="s">
        <v>366</v>
      </c>
      <c r="D133" s="15" t="s">
        <v>273</v>
      </c>
      <c r="E133" t="s">
        <v>274</v>
      </c>
      <c r="F133" t="s">
        <v>3843</v>
      </c>
    </row>
    <row r="134" spans="1:6">
      <c r="A134" s="14" t="s">
        <v>639</v>
      </c>
      <c r="B134" t="s">
        <v>640</v>
      </c>
      <c r="C134" t="s">
        <v>278</v>
      </c>
      <c r="D134" s="15" t="s">
        <v>273</v>
      </c>
      <c r="E134" t="s">
        <v>274</v>
      </c>
      <c r="F134" t="s">
        <v>641</v>
      </c>
    </row>
    <row r="135" spans="1:6">
      <c r="A135" s="14" t="s">
        <v>642</v>
      </c>
      <c r="B135" t="s">
        <v>643</v>
      </c>
      <c r="C135" t="s">
        <v>278</v>
      </c>
      <c r="D135" s="15" t="s">
        <v>273</v>
      </c>
      <c r="E135" t="s">
        <v>274</v>
      </c>
      <c r="F135" t="s">
        <v>55</v>
      </c>
    </row>
    <row r="136" spans="1:6">
      <c r="A136" s="14" t="s">
        <v>3807</v>
      </c>
      <c r="B136" t="s">
        <v>3808</v>
      </c>
      <c r="C136" t="s">
        <v>3761</v>
      </c>
      <c r="D136" s="15" t="s">
        <v>273</v>
      </c>
      <c r="E136" t="s">
        <v>274</v>
      </c>
      <c r="F136" t="s">
        <v>3809</v>
      </c>
    </row>
    <row r="137" spans="1:6">
      <c r="A137" s="14" t="s">
        <v>644</v>
      </c>
      <c r="B137" t="s">
        <v>645</v>
      </c>
      <c r="C137" t="s">
        <v>3643</v>
      </c>
      <c r="D137" s="15" t="s">
        <v>374</v>
      </c>
      <c r="E137" t="s">
        <v>274</v>
      </c>
      <c r="F137" t="s">
        <v>646</v>
      </c>
    </row>
    <row r="138" spans="1:6">
      <c r="A138" s="14" t="s">
        <v>647</v>
      </c>
      <c r="B138" t="s">
        <v>648</v>
      </c>
      <c r="C138" t="s">
        <v>649</v>
      </c>
      <c r="D138" s="15" t="s">
        <v>273</v>
      </c>
      <c r="E138" t="s">
        <v>274</v>
      </c>
      <c r="F138" t="s">
        <v>650</v>
      </c>
    </row>
    <row r="139" spans="1:6">
      <c r="A139" s="14" t="s">
        <v>651</v>
      </c>
      <c r="B139" t="s">
        <v>652</v>
      </c>
      <c r="C139" t="s">
        <v>288</v>
      </c>
      <c r="D139" s="15" t="s">
        <v>374</v>
      </c>
      <c r="E139" t="s">
        <v>274</v>
      </c>
      <c r="F139" t="s">
        <v>56</v>
      </c>
    </row>
    <row r="140" spans="1:6">
      <c r="A140" s="14" t="s">
        <v>653</v>
      </c>
      <c r="B140" t="s">
        <v>57</v>
      </c>
      <c r="C140" t="s">
        <v>654</v>
      </c>
      <c r="D140" s="15" t="s">
        <v>273</v>
      </c>
      <c r="E140" t="s">
        <v>274</v>
      </c>
      <c r="F140" t="s">
        <v>58</v>
      </c>
    </row>
    <row r="141" spans="1:6">
      <c r="A141" s="14" t="s">
        <v>655</v>
      </c>
      <c r="B141" t="s">
        <v>656</v>
      </c>
      <c r="C141" t="s">
        <v>278</v>
      </c>
      <c r="D141" s="15" t="s">
        <v>273</v>
      </c>
      <c r="E141" t="s">
        <v>274</v>
      </c>
      <c r="F141" t="s">
        <v>657</v>
      </c>
    </row>
    <row r="142" spans="1:6">
      <c r="A142" s="14" t="s">
        <v>5038</v>
      </c>
      <c r="B142" s="14" t="s">
        <v>5039</v>
      </c>
      <c r="C142" s="14" t="s">
        <v>3650</v>
      </c>
      <c r="D142" s="15" t="s">
        <v>5029</v>
      </c>
      <c r="E142" s="14" t="s">
        <v>274</v>
      </c>
      <c r="F142" t="s">
        <v>5040</v>
      </c>
    </row>
    <row r="143" spans="1:6">
      <c r="A143" s="14" t="s">
        <v>658</v>
      </c>
      <c r="B143" t="s">
        <v>659</v>
      </c>
      <c r="C143" t="s">
        <v>278</v>
      </c>
      <c r="D143" s="15" t="s">
        <v>273</v>
      </c>
      <c r="E143" t="s">
        <v>274</v>
      </c>
      <c r="F143" t="s">
        <v>660</v>
      </c>
    </row>
    <row r="144" spans="1:6">
      <c r="A144" s="14" t="s">
        <v>661</v>
      </c>
      <c r="B144" t="s">
        <v>662</v>
      </c>
      <c r="C144" t="s">
        <v>374</v>
      </c>
      <c r="D144" s="15" t="s">
        <v>236</v>
      </c>
      <c r="E144" t="s">
        <v>274</v>
      </c>
      <c r="F144" t="s">
        <v>663</v>
      </c>
    </row>
    <row r="145" spans="1:7">
      <c r="A145" s="14" t="s">
        <v>4106</v>
      </c>
      <c r="B145" s="14" t="s">
        <v>4104</v>
      </c>
      <c r="C145" s="14" t="s">
        <v>288</v>
      </c>
      <c r="D145" s="15" t="s">
        <v>3736</v>
      </c>
      <c r="E145" s="14" t="s">
        <v>274</v>
      </c>
      <c r="F145" s="14" t="s">
        <v>4105</v>
      </c>
    </row>
    <row r="146" spans="1:7">
      <c r="A146" s="14" t="s">
        <v>664</v>
      </c>
      <c r="B146" t="s">
        <v>665</v>
      </c>
      <c r="C146" t="s">
        <v>254</v>
      </c>
      <c r="D146" s="15" t="s">
        <v>273</v>
      </c>
      <c r="E146" t="s">
        <v>279</v>
      </c>
      <c r="F146" t="s">
        <v>666</v>
      </c>
    </row>
    <row r="147" spans="1:7">
      <c r="A147" s="14" t="s">
        <v>667</v>
      </c>
      <c r="B147" t="s">
        <v>668</v>
      </c>
      <c r="C147" t="s">
        <v>278</v>
      </c>
      <c r="D147" s="15" t="s">
        <v>273</v>
      </c>
      <c r="E147" t="s">
        <v>274</v>
      </c>
      <c r="F147" t="s">
        <v>669</v>
      </c>
    </row>
    <row r="148" spans="1:7">
      <c r="A148" s="14" t="s">
        <v>3704</v>
      </c>
      <c r="B148" t="s">
        <v>3705</v>
      </c>
      <c r="C148" t="s">
        <v>260</v>
      </c>
      <c r="D148" s="15" t="s">
        <v>273</v>
      </c>
      <c r="E148" t="s">
        <v>3707</v>
      </c>
      <c r="F148" t="s">
        <v>3706</v>
      </c>
    </row>
    <row r="149" spans="1:7">
      <c r="A149" s="14" t="s">
        <v>670</v>
      </c>
      <c r="B149" t="s">
        <v>671</v>
      </c>
      <c r="C149" t="s">
        <v>278</v>
      </c>
      <c r="D149" s="15" t="s">
        <v>273</v>
      </c>
      <c r="E149" t="s">
        <v>274</v>
      </c>
      <c r="F149" t="s">
        <v>672</v>
      </c>
    </row>
    <row r="150" spans="1:7">
      <c r="A150" s="14" t="s">
        <v>673</v>
      </c>
      <c r="B150" t="s">
        <v>674</v>
      </c>
      <c r="C150" t="s">
        <v>278</v>
      </c>
      <c r="D150" s="15" t="s">
        <v>273</v>
      </c>
      <c r="E150" t="s">
        <v>274</v>
      </c>
      <c r="F150" t="s">
        <v>675</v>
      </c>
    </row>
    <row r="151" spans="1:7">
      <c r="A151" s="14" t="s">
        <v>676</v>
      </c>
      <c r="B151" t="s">
        <v>677</v>
      </c>
      <c r="C151" t="s">
        <v>288</v>
      </c>
      <c r="D151" s="15" t="s">
        <v>273</v>
      </c>
      <c r="E151" t="s">
        <v>274</v>
      </c>
      <c r="F151" t="s">
        <v>678</v>
      </c>
    </row>
    <row r="152" spans="1:7">
      <c r="A152" s="14" t="s">
        <v>679</v>
      </c>
      <c r="B152" t="s">
        <v>680</v>
      </c>
      <c r="C152" t="s">
        <v>273</v>
      </c>
      <c r="D152" s="15" t="s">
        <v>273</v>
      </c>
      <c r="E152" t="s">
        <v>327</v>
      </c>
      <c r="F152" t="s">
        <v>681</v>
      </c>
    </row>
    <row r="153" spans="1:7">
      <c r="A153" s="14" t="s">
        <v>682</v>
      </c>
      <c r="B153" t="s">
        <v>683</v>
      </c>
      <c r="C153" t="s">
        <v>684</v>
      </c>
      <c r="D153" s="15" t="s">
        <v>273</v>
      </c>
      <c r="E153" t="s">
        <v>274</v>
      </c>
      <c r="F153" t="s">
        <v>685</v>
      </c>
    </row>
    <row r="154" spans="1:7">
      <c r="A154" s="14" t="s">
        <v>686</v>
      </c>
      <c r="B154" t="s">
        <v>687</v>
      </c>
      <c r="C154" t="s">
        <v>688</v>
      </c>
      <c r="D154" s="15" t="s">
        <v>273</v>
      </c>
      <c r="E154" t="s">
        <v>274</v>
      </c>
      <c r="F154" t="s">
        <v>689</v>
      </c>
    </row>
    <row r="155" spans="1:7">
      <c r="A155" s="14" t="s">
        <v>690</v>
      </c>
      <c r="B155" t="s">
        <v>691</v>
      </c>
      <c r="C155" t="s">
        <v>692</v>
      </c>
      <c r="D155" s="15" t="s">
        <v>273</v>
      </c>
      <c r="E155" t="s">
        <v>274</v>
      </c>
      <c r="F155" t="s">
        <v>693</v>
      </c>
      <c r="G155" s="15"/>
    </row>
    <row r="156" spans="1:7">
      <c r="A156" s="14" t="s">
        <v>694</v>
      </c>
      <c r="B156" t="s">
        <v>695</v>
      </c>
      <c r="C156" t="s">
        <v>285</v>
      </c>
      <c r="D156" s="15" t="s">
        <v>374</v>
      </c>
      <c r="E156" t="s">
        <v>274</v>
      </c>
      <c r="F156" t="s">
        <v>696</v>
      </c>
    </row>
    <row r="157" spans="1:7">
      <c r="A157" s="14" t="s">
        <v>697</v>
      </c>
      <c r="B157" t="s">
        <v>698</v>
      </c>
      <c r="C157" t="s">
        <v>278</v>
      </c>
      <c r="D157" s="15" t="s">
        <v>273</v>
      </c>
      <c r="E157" t="s">
        <v>274</v>
      </c>
      <c r="F157" t="s">
        <v>699</v>
      </c>
    </row>
    <row r="158" spans="1:7">
      <c r="A158" s="14" t="s">
        <v>700</v>
      </c>
      <c r="B158" t="s">
        <v>701</v>
      </c>
      <c r="C158" t="s">
        <v>278</v>
      </c>
      <c r="D158" s="15" t="s">
        <v>273</v>
      </c>
      <c r="E158" t="s">
        <v>274</v>
      </c>
      <c r="F158" t="s">
        <v>702</v>
      </c>
      <c r="G158" s="15"/>
    </row>
    <row r="159" spans="1:7">
      <c r="A159" s="14" t="s">
        <v>4979</v>
      </c>
      <c r="B159" t="s">
        <v>4980</v>
      </c>
      <c r="C159" t="s">
        <v>278</v>
      </c>
      <c r="D159" s="15" t="s">
        <v>273</v>
      </c>
      <c r="E159" t="s">
        <v>274</v>
      </c>
      <c r="F159" t="s">
        <v>4981</v>
      </c>
    </row>
    <row r="160" spans="1:7">
      <c r="A160" s="14" t="s">
        <v>703</v>
      </c>
      <c r="B160" t="s">
        <v>704</v>
      </c>
      <c r="C160" t="s">
        <v>278</v>
      </c>
      <c r="D160" s="15" t="s">
        <v>273</v>
      </c>
      <c r="E160" t="s">
        <v>327</v>
      </c>
      <c r="F160" t="s">
        <v>705</v>
      </c>
    </row>
    <row r="161" spans="1:6">
      <c r="A161" s="14" t="s">
        <v>706</v>
      </c>
      <c r="B161" t="s">
        <v>707</v>
      </c>
      <c r="C161" t="s">
        <v>285</v>
      </c>
      <c r="D161" s="15" t="s">
        <v>273</v>
      </c>
      <c r="E161" t="s">
        <v>327</v>
      </c>
      <c r="F161" t="s">
        <v>708</v>
      </c>
    </row>
    <row r="162" spans="1:6">
      <c r="A162" s="14" t="s">
        <v>709</v>
      </c>
      <c r="B162" t="s">
        <v>710</v>
      </c>
      <c r="C162" t="s">
        <v>436</v>
      </c>
      <c r="D162" s="15" t="s">
        <v>273</v>
      </c>
      <c r="E162" t="s">
        <v>274</v>
      </c>
      <c r="F162" t="s">
        <v>711</v>
      </c>
    </row>
    <row r="163" spans="1:6">
      <c r="A163" s="14" t="s">
        <v>712</v>
      </c>
      <c r="B163" t="s">
        <v>713</v>
      </c>
      <c r="C163" t="s">
        <v>436</v>
      </c>
      <c r="D163" s="15" t="s">
        <v>273</v>
      </c>
      <c r="E163" t="s">
        <v>274</v>
      </c>
      <c r="F163" t="s">
        <v>714</v>
      </c>
    </row>
    <row r="164" spans="1:6">
      <c r="A164" s="14" t="s">
        <v>715</v>
      </c>
      <c r="B164" t="s">
        <v>716</v>
      </c>
      <c r="C164" t="s">
        <v>436</v>
      </c>
      <c r="D164" s="15" t="s">
        <v>273</v>
      </c>
      <c r="E164" t="s">
        <v>327</v>
      </c>
      <c r="F164" t="s">
        <v>717</v>
      </c>
    </row>
    <row r="165" spans="1:6">
      <c r="A165" s="14" t="s">
        <v>3658</v>
      </c>
      <c r="B165" t="s">
        <v>719</v>
      </c>
      <c r="C165" t="s">
        <v>278</v>
      </c>
      <c r="D165" s="15" t="s">
        <v>273</v>
      </c>
      <c r="E165" t="s">
        <v>274</v>
      </c>
      <c r="F165" t="s">
        <v>59</v>
      </c>
    </row>
    <row r="166" spans="1:6">
      <c r="A166" s="14" t="s">
        <v>720</v>
      </c>
      <c r="B166" t="s">
        <v>721</v>
      </c>
      <c r="C166" t="s">
        <v>395</v>
      </c>
      <c r="D166" s="15" t="s">
        <v>273</v>
      </c>
      <c r="E166" t="s">
        <v>274</v>
      </c>
      <c r="F166" t="s">
        <v>722</v>
      </c>
    </row>
    <row r="167" spans="1:6">
      <c r="A167" s="14" t="s">
        <v>723</v>
      </c>
      <c r="B167" t="s">
        <v>724</v>
      </c>
      <c r="C167" t="s">
        <v>563</v>
      </c>
      <c r="D167" s="15" t="s">
        <v>273</v>
      </c>
      <c r="E167" t="s">
        <v>274</v>
      </c>
      <c r="F167" t="s">
        <v>725</v>
      </c>
    </row>
    <row r="168" spans="1:6">
      <c r="A168" s="14" t="s">
        <v>3659</v>
      </c>
      <c r="B168" t="s">
        <v>70</v>
      </c>
      <c r="C168" t="s">
        <v>260</v>
      </c>
      <c r="D168" s="15" t="s">
        <v>273</v>
      </c>
      <c r="E168" t="s">
        <v>274</v>
      </c>
      <c r="F168" t="s">
        <v>71</v>
      </c>
    </row>
    <row r="169" spans="1:6">
      <c r="A169" s="14" t="s">
        <v>726</v>
      </c>
      <c r="B169" t="s">
        <v>727</v>
      </c>
      <c r="C169" t="s">
        <v>259</v>
      </c>
      <c r="D169" s="15" t="s">
        <v>273</v>
      </c>
      <c r="E169" t="s">
        <v>274</v>
      </c>
      <c r="F169" t="s">
        <v>72</v>
      </c>
    </row>
    <row r="170" spans="1:6">
      <c r="A170" s="14" t="s">
        <v>4158</v>
      </c>
      <c r="B170" s="14" t="s">
        <v>4159</v>
      </c>
      <c r="C170" s="14" t="s">
        <v>4160</v>
      </c>
      <c r="D170" s="15" t="s">
        <v>3736</v>
      </c>
      <c r="E170" s="14" t="s">
        <v>274</v>
      </c>
      <c r="F170" s="14" t="s">
        <v>4161</v>
      </c>
    </row>
    <row r="171" spans="1:6">
      <c r="A171" s="14" t="s">
        <v>728</v>
      </c>
      <c r="B171" t="s">
        <v>729</v>
      </c>
      <c r="C171" t="s">
        <v>278</v>
      </c>
      <c r="D171" s="15" t="s">
        <v>273</v>
      </c>
      <c r="E171" t="s">
        <v>274</v>
      </c>
      <c r="F171" t="s">
        <v>730</v>
      </c>
    </row>
    <row r="172" spans="1:6">
      <c r="A172" s="14" t="s">
        <v>731</v>
      </c>
      <c r="B172" t="s">
        <v>732</v>
      </c>
      <c r="C172" t="s">
        <v>278</v>
      </c>
      <c r="D172" s="15" t="s">
        <v>273</v>
      </c>
      <c r="E172" t="s">
        <v>274</v>
      </c>
      <c r="F172" t="s">
        <v>733</v>
      </c>
    </row>
    <row r="173" spans="1:6">
      <c r="A173" s="14" t="s">
        <v>734</v>
      </c>
      <c r="B173" t="s">
        <v>735</v>
      </c>
      <c r="C173" t="s">
        <v>2757</v>
      </c>
      <c r="D173" s="15" t="s">
        <v>273</v>
      </c>
      <c r="E173" t="s">
        <v>274</v>
      </c>
      <c r="F173" t="s">
        <v>736</v>
      </c>
    </row>
    <row r="174" spans="1:6">
      <c r="A174" s="14" t="s">
        <v>737</v>
      </c>
      <c r="B174" t="s">
        <v>738</v>
      </c>
      <c r="C174" t="s">
        <v>273</v>
      </c>
      <c r="D174" s="15" t="s">
        <v>273</v>
      </c>
      <c r="E174" t="s">
        <v>274</v>
      </c>
      <c r="F174" t="s">
        <v>739</v>
      </c>
    </row>
    <row r="175" spans="1:6">
      <c r="A175" s="14" t="s">
        <v>740</v>
      </c>
      <c r="B175" t="s">
        <v>741</v>
      </c>
      <c r="C175" t="s">
        <v>273</v>
      </c>
      <c r="D175" s="15" t="s">
        <v>273</v>
      </c>
      <c r="E175" t="s">
        <v>274</v>
      </c>
      <c r="F175" t="s">
        <v>742</v>
      </c>
    </row>
    <row r="176" spans="1:6">
      <c r="A176" s="14" t="s">
        <v>743</v>
      </c>
      <c r="B176" t="s">
        <v>744</v>
      </c>
      <c r="C176" t="s">
        <v>745</v>
      </c>
      <c r="D176" s="15" t="s">
        <v>273</v>
      </c>
      <c r="E176" t="s">
        <v>274</v>
      </c>
      <c r="F176" t="s">
        <v>746</v>
      </c>
    </row>
    <row r="177" spans="1:10">
      <c r="A177" s="14" t="s">
        <v>747</v>
      </c>
      <c r="B177" t="s">
        <v>748</v>
      </c>
      <c r="C177" t="s">
        <v>278</v>
      </c>
      <c r="D177" s="15" t="s">
        <v>273</v>
      </c>
      <c r="E177" t="s">
        <v>327</v>
      </c>
      <c r="F177" t="s">
        <v>749</v>
      </c>
    </row>
    <row r="178" spans="1:10">
      <c r="A178" s="14" t="s">
        <v>750</v>
      </c>
      <c r="B178" t="s">
        <v>751</v>
      </c>
      <c r="C178" t="s">
        <v>273</v>
      </c>
      <c r="D178" s="15" t="s">
        <v>273</v>
      </c>
      <c r="E178" t="s">
        <v>274</v>
      </c>
      <c r="F178" t="s">
        <v>752</v>
      </c>
      <c r="G178" s="47" t="s">
        <v>3999</v>
      </c>
      <c r="J178" s="48" t="s">
        <v>4000</v>
      </c>
    </row>
    <row r="179" spans="1:10">
      <c r="A179" s="14" t="s">
        <v>753</v>
      </c>
      <c r="B179" t="s">
        <v>754</v>
      </c>
      <c r="C179" t="s">
        <v>278</v>
      </c>
      <c r="D179" s="15" t="s">
        <v>273</v>
      </c>
      <c r="E179" t="s">
        <v>274</v>
      </c>
      <c r="F179" t="s">
        <v>755</v>
      </c>
    </row>
    <row r="180" spans="1:10">
      <c r="A180" s="14" t="s">
        <v>756</v>
      </c>
      <c r="B180" t="s">
        <v>757</v>
      </c>
      <c r="C180" t="s">
        <v>278</v>
      </c>
      <c r="D180" s="15" t="s">
        <v>273</v>
      </c>
      <c r="E180" t="s">
        <v>274</v>
      </c>
      <c r="F180" t="s">
        <v>758</v>
      </c>
    </row>
    <row r="181" spans="1:10">
      <c r="A181" s="14" t="s">
        <v>60</v>
      </c>
      <c r="B181" t="s">
        <v>759</v>
      </c>
      <c r="C181" t="s">
        <v>273</v>
      </c>
      <c r="D181" s="15" t="s">
        <v>273</v>
      </c>
      <c r="E181" t="s">
        <v>274</v>
      </c>
      <c r="F181" t="s">
        <v>61</v>
      </c>
    </row>
    <row r="182" spans="1:10">
      <c r="A182" s="14" t="s">
        <v>760</v>
      </c>
      <c r="B182" t="s">
        <v>761</v>
      </c>
      <c r="C182" t="s">
        <v>278</v>
      </c>
      <c r="D182" s="15" t="s">
        <v>273</v>
      </c>
      <c r="E182" t="s">
        <v>274</v>
      </c>
      <c r="F182" t="s">
        <v>762</v>
      </c>
    </row>
    <row r="183" spans="1:10">
      <c r="A183" s="14" t="s">
        <v>763</v>
      </c>
      <c r="B183" t="s">
        <v>764</v>
      </c>
      <c r="C183" t="s">
        <v>278</v>
      </c>
      <c r="D183" s="15" t="s">
        <v>273</v>
      </c>
      <c r="E183" t="s">
        <v>327</v>
      </c>
      <c r="F183" t="s">
        <v>765</v>
      </c>
    </row>
    <row r="184" spans="1:10">
      <c r="A184" s="14" t="s">
        <v>766</v>
      </c>
      <c r="B184" t="s">
        <v>767</v>
      </c>
      <c r="C184" t="s">
        <v>278</v>
      </c>
      <c r="D184" s="15" t="s">
        <v>273</v>
      </c>
      <c r="E184" t="s">
        <v>274</v>
      </c>
      <c r="F184" t="s">
        <v>768</v>
      </c>
    </row>
    <row r="185" spans="1:10">
      <c r="A185" s="14" t="s">
        <v>769</v>
      </c>
      <c r="B185" t="s">
        <v>770</v>
      </c>
      <c r="C185" t="s">
        <v>374</v>
      </c>
      <c r="D185" s="15" t="s">
        <v>236</v>
      </c>
      <c r="E185" t="s">
        <v>327</v>
      </c>
      <c r="F185" t="s">
        <v>771</v>
      </c>
    </row>
    <row r="186" spans="1:10">
      <c r="A186" s="14" t="s">
        <v>772</v>
      </c>
      <c r="B186" t="s">
        <v>773</v>
      </c>
      <c r="C186" t="s">
        <v>278</v>
      </c>
      <c r="D186" s="15" t="s">
        <v>273</v>
      </c>
      <c r="E186" t="s">
        <v>274</v>
      </c>
      <c r="F186" t="s">
        <v>774</v>
      </c>
      <c r="H186" s="19"/>
    </row>
    <row r="187" spans="1:10">
      <c r="A187" s="14" t="s">
        <v>775</v>
      </c>
      <c r="B187" t="s">
        <v>776</v>
      </c>
      <c r="C187" t="s">
        <v>273</v>
      </c>
      <c r="D187" s="15" t="s">
        <v>273</v>
      </c>
      <c r="E187" t="s">
        <v>274</v>
      </c>
      <c r="F187" t="s">
        <v>777</v>
      </c>
    </row>
    <row r="188" spans="1:10">
      <c r="A188" s="14" t="s">
        <v>3951</v>
      </c>
      <c r="B188" t="s">
        <v>1188</v>
      </c>
      <c r="C188" t="s">
        <v>278</v>
      </c>
      <c r="D188" s="15" t="s">
        <v>273</v>
      </c>
      <c r="E188" t="s">
        <v>274</v>
      </c>
      <c r="F188" t="s">
        <v>3952</v>
      </c>
    </row>
    <row r="189" spans="1:10">
      <c r="A189" s="14" t="s">
        <v>778</v>
      </c>
      <c r="B189" t="s">
        <v>779</v>
      </c>
      <c r="C189" t="s">
        <v>278</v>
      </c>
      <c r="D189" s="15" t="s">
        <v>273</v>
      </c>
      <c r="E189" t="s">
        <v>274</v>
      </c>
      <c r="F189" t="s">
        <v>780</v>
      </c>
    </row>
    <row r="190" spans="1:10">
      <c r="A190" s="14" t="s">
        <v>781</v>
      </c>
      <c r="B190" t="s">
        <v>782</v>
      </c>
      <c r="C190" t="s">
        <v>278</v>
      </c>
      <c r="D190" s="15" t="s">
        <v>273</v>
      </c>
      <c r="E190" t="s">
        <v>327</v>
      </c>
      <c r="F190" t="s">
        <v>783</v>
      </c>
    </row>
    <row r="191" spans="1:10">
      <c r="A191" s="14" t="s">
        <v>784</v>
      </c>
      <c r="B191" t="s">
        <v>265</v>
      </c>
      <c r="C191" t="s">
        <v>278</v>
      </c>
      <c r="D191" s="15" t="s">
        <v>273</v>
      </c>
      <c r="E191" t="s">
        <v>274</v>
      </c>
      <c r="F191" t="s">
        <v>62</v>
      </c>
    </row>
    <row r="192" spans="1:10">
      <c r="A192" s="14" t="s">
        <v>785</v>
      </c>
      <c r="B192" t="s">
        <v>786</v>
      </c>
      <c r="C192" t="s">
        <v>787</v>
      </c>
      <c r="D192" s="15" t="s">
        <v>273</v>
      </c>
      <c r="E192" t="s">
        <v>274</v>
      </c>
      <c r="F192" t="s">
        <v>788</v>
      </c>
    </row>
    <row r="193" spans="1:6">
      <c r="A193" s="14" t="s">
        <v>789</v>
      </c>
      <c r="B193" t="s">
        <v>790</v>
      </c>
      <c r="C193" t="s">
        <v>278</v>
      </c>
      <c r="D193" s="15" t="s">
        <v>273</v>
      </c>
      <c r="E193" t="s">
        <v>274</v>
      </c>
      <c r="F193" t="s">
        <v>791</v>
      </c>
    </row>
    <row r="194" spans="1:6">
      <c r="A194" s="14" t="s">
        <v>792</v>
      </c>
      <c r="B194" t="s">
        <v>793</v>
      </c>
      <c r="C194" t="s">
        <v>278</v>
      </c>
      <c r="D194" s="15" t="s">
        <v>273</v>
      </c>
      <c r="E194" t="s">
        <v>327</v>
      </c>
      <c r="F194" t="s">
        <v>794</v>
      </c>
    </row>
    <row r="195" spans="1:6">
      <c r="A195" s="14" t="s">
        <v>4887</v>
      </c>
      <c r="B195" s="14" t="s">
        <v>4886</v>
      </c>
      <c r="C195" s="14" t="s">
        <v>3930</v>
      </c>
      <c r="D195" s="15" t="s">
        <v>295</v>
      </c>
      <c r="E195" t="s">
        <v>274</v>
      </c>
      <c r="F195" s="15" t="s">
        <v>4885</v>
      </c>
    </row>
    <row r="196" spans="1:6">
      <c r="A196" s="14" t="s">
        <v>795</v>
      </c>
      <c r="B196" t="s">
        <v>796</v>
      </c>
      <c r="C196" t="s">
        <v>237</v>
      </c>
      <c r="D196" s="15" t="s">
        <v>273</v>
      </c>
      <c r="E196" t="s">
        <v>274</v>
      </c>
      <c r="F196" t="s">
        <v>797</v>
      </c>
    </row>
    <row r="197" spans="1:6">
      <c r="A197" s="14" t="s">
        <v>798</v>
      </c>
      <c r="B197" t="s">
        <v>799</v>
      </c>
      <c r="C197" t="s">
        <v>278</v>
      </c>
      <c r="D197" s="15" t="s">
        <v>273</v>
      </c>
      <c r="E197" t="s">
        <v>274</v>
      </c>
      <c r="F197" t="s">
        <v>63</v>
      </c>
    </row>
    <row r="198" spans="1:6">
      <c r="A198" s="14" t="s">
        <v>64</v>
      </c>
      <c r="B198" t="s">
        <v>65</v>
      </c>
      <c r="C198" t="s">
        <v>278</v>
      </c>
      <c r="D198" s="15" t="s">
        <v>273</v>
      </c>
      <c r="E198" t="s">
        <v>274</v>
      </c>
      <c r="F198" t="s">
        <v>66</v>
      </c>
    </row>
    <row r="199" spans="1:6">
      <c r="A199" s="14" t="s">
        <v>3675</v>
      </c>
      <c r="B199" t="s">
        <v>800</v>
      </c>
      <c r="C199" t="s">
        <v>278</v>
      </c>
      <c r="D199" s="15" t="s">
        <v>273</v>
      </c>
      <c r="E199" t="s">
        <v>274</v>
      </c>
      <c r="F199" t="s">
        <v>67</v>
      </c>
    </row>
    <row r="200" spans="1:6">
      <c r="A200" s="14" t="s">
        <v>802</v>
      </c>
      <c r="B200" t="s">
        <v>68</v>
      </c>
      <c r="C200" t="s">
        <v>242</v>
      </c>
      <c r="D200" s="15" t="s">
        <v>273</v>
      </c>
      <c r="E200" t="s">
        <v>274</v>
      </c>
      <c r="F200" t="s">
        <v>69</v>
      </c>
    </row>
    <row r="201" spans="1:6">
      <c r="A201" s="14" t="s">
        <v>803</v>
      </c>
      <c r="B201" t="s">
        <v>804</v>
      </c>
      <c r="C201" t="s">
        <v>278</v>
      </c>
      <c r="D201" s="15" t="s">
        <v>273</v>
      </c>
      <c r="E201" t="s">
        <v>274</v>
      </c>
      <c r="F201" t="s">
        <v>805</v>
      </c>
    </row>
    <row r="202" spans="1:6">
      <c r="A202" s="14" t="s">
        <v>806</v>
      </c>
      <c r="B202" t="s">
        <v>807</v>
      </c>
      <c r="C202" t="s">
        <v>278</v>
      </c>
      <c r="D202" s="15" t="s">
        <v>273</v>
      </c>
      <c r="E202" t="s">
        <v>274</v>
      </c>
      <c r="F202" t="s">
        <v>808</v>
      </c>
    </row>
    <row r="203" spans="1:6">
      <c r="A203" s="14" t="s">
        <v>809</v>
      </c>
      <c r="B203" t="s">
        <v>810</v>
      </c>
      <c r="C203" t="s">
        <v>811</v>
      </c>
      <c r="D203" s="15" t="s">
        <v>273</v>
      </c>
      <c r="E203" t="s">
        <v>274</v>
      </c>
      <c r="F203" t="s">
        <v>812</v>
      </c>
    </row>
    <row r="204" spans="1:6">
      <c r="A204" s="14" t="s">
        <v>813</v>
      </c>
      <c r="B204" t="s">
        <v>814</v>
      </c>
      <c r="C204" t="s">
        <v>278</v>
      </c>
      <c r="D204" s="15" t="s">
        <v>273</v>
      </c>
      <c r="E204" t="s">
        <v>274</v>
      </c>
      <c r="F204" t="s">
        <v>815</v>
      </c>
    </row>
    <row r="205" spans="1:6">
      <c r="A205" s="14" t="s">
        <v>816</v>
      </c>
      <c r="B205" t="s">
        <v>817</v>
      </c>
      <c r="C205" t="s">
        <v>818</v>
      </c>
      <c r="D205" s="15" t="s">
        <v>273</v>
      </c>
      <c r="E205" t="s">
        <v>274</v>
      </c>
      <c r="F205" t="s">
        <v>819</v>
      </c>
    </row>
    <row r="206" spans="1:6">
      <c r="A206" s="14" t="s">
        <v>820</v>
      </c>
      <c r="B206" t="s">
        <v>821</v>
      </c>
      <c r="C206" t="s">
        <v>822</v>
      </c>
      <c r="D206" s="15" t="s">
        <v>823</v>
      </c>
      <c r="E206" t="s">
        <v>274</v>
      </c>
      <c r="F206" t="s">
        <v>824</v>
      </c>
    </row>
    <row r="207" spans="1:6">
      <c r="A207" s="14" t="s">
        <v>4001</v>
      </c>
      <c r="B207" t="s">
        <v>4002</v>
      </c>
      <c r="C207" t="s">
        <v>4003</v>
      </c>
      <c r="D207" s="15" t="s">
        <v>3736</v>
      </c>
      <c r="E207" t="s">
        <v>274</v>
      </c>
      <c r="F207" t="s">
        <v>4004</v>
      </c>
    </row>
    <row r="208" spans="1:6">
      <c r="A208" s="14" t="s">
        <v>825</v>
      </c>
      <c r="B208" t="s">
        <v>826</v>
      </c>
      <c r="C208" t="s">
        <v>285</v>
      </c>
      <c r="D208" s="15" t="s">
        <v>273</v>
      </c>
      <c r="E208" t="s">
        <v>274</v>
      </c>
      <c r="F208" t="s">
        <v>73</v>
      </c>
    </row>
    <row r="209" spans="1:6">
      <c r="A209" s="14" t="s">
        <v>3714</v>
      </c>
      <c r="B209" t="s">
        <v>3715</v>
      </c>
      <c r="C209" t="s">
        <v>3716</v>
      </c>
      <c r="D209" s="15" t="s">
        <v>273</v>
      </c>
      <c r="E209" t="s">
        <v>274</v>
      </c>
      <c r="F209" t="s">
        <v>3717</v>
      </c>
    </row>
    <row r="210" spans="1:6">
      <c r="A210" s="14" t="s">
        <v>827</v>
      </c>
      <c r="B210" t="s">
        <v>828</v>
      </c>
      <c r="C210" t="s">
        <v>829</v>
      </c>
      <c r="D210" s="15" t="s">
        <v>273</v>
      </c>
      <c r="E210" t="s">
        <v>274</v>
      </c>
      <c r="F210" t="s">
        <v>74</v>
      </c>
    </row>
    <row r="211" spans="1:6">
      <c r="A211" s="14" t="s">
        <v>830</v>
      </c>
      <c r="B211" t="s">
        <v>831</v>
      </c>
      <c r="C211" t="s">
        <v>832</v>
      </c>
      <c r="D211" s="15" t="s">
        <v>273</v>
      </c>
      <c r="E211" t="s">
        <v>274</v>
      </c>
      <c r="F211" t="s">
        <v>833</v>
      </c>
    </row>
    <row r="212" spans="1:6">
      <c r="A212" s="14" t="s">
        <v>834</v>
      </c>
      <c r="B212" t="s">
        <v>835</v>
      </c>
      <c r="C212" t="s">
        <v>374</v>
      </c>
      <c r="D212" s="15" t="s">
        <v>236</v>
      </c>
      <c r="E212" t="s">
        <v>274</v>
      </c>
      <c r="F212" t="s">
        <v>836</v>
      </c>
    </row>
    <row r="213" spans="1:6">
      <c r="A213" s="14" t="s">
        <v>837</v>
      </c>
      <c r="B213" t="s">
        <v>838</v>
      </c>
      <c r="C213" t="s">
        <v>278</v>
      </c>
      <c r="D213" s="15" t="s">
        <v>273</v>
      </c>
      <c r="E213" t="s">
        <v>274</v>
      </c>
      <c r="F213" t="s">
        <v>839</v>
      </c>
    </row>
    <row r="214" spans="1:6">
      <c r="A214" s="14" t="s">
        <v>840</v>
      </c>
      <c r="B214" t="s">
        <v>841</v>
      </c>
      <c r="C214" t="s">
        <v>273</v>
      </c>
      <c r="D214" s="15" t="s">
        <v>273</v>
      </c>
      <c r="E214" t="s">
        <v>279</v>
      </c>
      <c r="F214" t="s">
        <v>842</v>
      </c>
    </row>
    <row r="215" spans="1:6">
      <c r="A215" s="14" t="s">
        <v>843</v>
      </c>
      <c r="B215" t="s">
        <v>844</v>
      </c>
      <c r="C215" t="s">
        <v>278</v>
      </c>
      <c r="D215" s="15" t="s">
        <v>273</v>
      </c>
      <c r="E215" t="s">
        <v>274</v>
      </c>
      <c r="F215" t="s">
        <v>845</v>
      </c>
    </row>
    <row r="216" spans="1:6">
      <c r="A216" s="14" t="s">
        <v>846</v>
      </c>
      <c r="B216" t="s">
        <v>847</v>
      </c>
      <c r="C216" t="s">
        <v>848</v>
      </c>
      <c r="D216" s="15" t="s">
        <v>3684</v>
      </c>
      <c r="E216" t="s">
        <v>274</v>
      </c>
      <c r="F216" t="s">
        <v>849</v>
      </c>
    </row>
    <row r="217" spans="1:6">
      <c r="A217" s="14" t="s">
        <v>3862</v>
      </c>
      <c r="B217" t="s">
        <v>3864</v>
      </c>
      <c r="C217" t="s">
        <v>288</v>
      </c>
      <c r="D217" s="15" t="s">
        <v>3683</v>
      </c>
      <c r="E217" t="s">
        <v>274</v>
      </c>
      <c r="F217" t="s">
        <v>3863</v>
      </c>
    </row>
    <row r="218" spans="1:6">
      <c r="A218" s="14" t="s">
        <v>850</v>
      </c>
      <c r="B218" t="s">
        <v>851</v>
      </c>
      <c r="C218" t="s">
        <v>852</v>
      </c>
      <c r="D218" s="15" t="s">
        <v>273</v>
      </c>
      <c r="E218" t="s">
        <v>274</v>
      </c>
      <c r="F218" t="s">
        <v>853</v>
      </c>
    </row>
    <row r="219" spans="1:6">
      <c r="A219" s="14" t="s">
        <v>854</v>
      </c>
      <c r="B219" t="s">
        <v>855</v>
      </c>
      <c r="C219" t="s">
        <v>278</v>
      </c>
      <c r="D219" s="15" t="s">
        <v>273</v>
      </c>
      <c r="E219" t="s">
        <v>274</v>
      </c>
      <c r="F219" t="s">
        <v>856</v>
      </c>
    </row>
    <row r="220" spans="1:6">
      <c r="A220" s="14" t="s">
        <v>857</v>
      </c>
      <c r="B220" t="s">
        <v>858</v>
      </c>
      <c r="C220" t="s">
        <v>278</v>
      </c>
      <c r="D220" s="15" t="s">
        <v>273</v>
      </c>
      <c r="E220" t="s">
        <v>274</v>
      </c>
      <c r="F220" t="s">
        <v>859</v>
      </c>
    </row>
    <row r="221" spans="1:6">
      <c r="A221" s="14" t="s">
        <v>860</v>
      </c>
      <c r="B221" t="s">
        <v>861</v>
      </c>
      <c r="C221" t="s">
        <v>288</v>
      </c>
      <c r="D221" s="15" t="s">
        <v>273</v>
      </c>
      <c r="E221" t="s">
        <v>327</v>
      </c>
      <c r="F221" t="s">
        <v>862</v>
      </c>
    </row>
    <row r="222" spans="1:6">
      <c r="A222" s="14" t="s">
        <v>863</v>
      </c>
      <c r="B222" t="s">
        <v>864</v>
      </c>
      <c r="C222" t="s">
        <v>278</v>
      </c>
      <c r="D222" s="15" t="s">
        <v>273</v>
      </c>
      <c r="E222" t="s">
        <v>327</v>
      </c>
      <c r="F222" t="s">
        <v>865</v>
      </c>
    </row>
    <row r="223" spans="1:6">
      <c r="A223" s="14" t="s">
        <v>75</v>
      </c>
      <c r="B223" t="s">
        <v>866</v>
      </c>
      <c r="C223" t="s">
        <v>273</v>
      </c>
      <c r="D223" s="15" t="s">
        <v>273</v>
      </c>
      <c r="E223" t="s">
        <v>274</v>
      </c>
      <c r="F223" t="s">
        <v>76</v>
      </c>
    </row>
    <row r="224" spans="1:6">
      <c r="A224" s="14" t="s">
        <v>5586</v>
      </c>
      <c r="B224" t="s">
        <v>5587</v>
      </c>
      <c r="C224" t="s">
        <v>288</v>
      </c>
      <c r="D224" s="15" t="s">
        <v>273</v>
      </c>
      <c r="E224" t="s">
        <v>274</v>
      </c>
      <c r="F224" t="s">
        <v>5588</v>
      </c>
    </row>
    <row r="225" spans="1:6">
      <c r="A225" s="14" t="s">
        <v>867</v>
      </c>
      <c r="B225" t="s">
        <v>868</v>
      </c>
      <c r="C225" t="s">
        <v>288</v>
      </c>
      <c r="D225" s="15" t="s">
        <v>273</v>
      </c>
      <c r="E225" t="s">
        <v>327</v>
      </c>
      <c r="F225" t="s">
        <v>869</v>
      </c>
    </row>
    <row r="226" spans="1:6">
      <c r="A226" s="14" t="s">
        <v>870</v>
      </c>
      <c r="B226" t="s">
        <v>871</v>
      </c>
      <c r="C226" t="s">
        <v>273</v>
      </c>
      <c r="D226" s="15" t="s">
        <v>273</v>
      </c>
      <c r="E226" t="s">
        <v>274</v>
      </c>
      <c r="F226" t="s">
        <v>872</v>
      </c>
    </row>
    <row r="227" spans="1:6">
      <c r="A227" s="14" t="s">
        <v>873</v>
      </c>
      <c r="B227" t="s">
        <v>874</v>
      </c>
      <c r="C227" t="s">
        <v>278</v>
      </c>
      <c r="D227" s="15" t="s">
        <v>273</v>
      </c>
      <c r="E227" t="s">
        <v>274</v>
      </c>
      <c r="F227" t="s">
        <v>875</v>
      </c>
    </row>
    <row r="228" spans="1:6">
      <c r="A228" s="14" t="s">
        <v>876</v>
      </c>
      <c r="B228" t="s">
        <v>877</v>
      </c>
      <c r="C228" t="s">
        <v>878</v>
      </c>
      <c r="D228" s="15" t="s">
        <v>273</v>
      </c>
      <c r="E228" t="s">
        <v>274</v>
      </c>
      <c r="F228" t="s">
        <v>879</v>
      </c>
    </row>
    <row r="229" spans="1:6">
      <c r="A229" s="14" t="s">
        <v>880</v>
      </c>
      <c r="B229" t="s">
        <v>881</v>
      </c>
      <c r="C229" t="s">
        <v>882</v>
      </c>
      <c r="D229" s="15" t="s">
        <v>273</v>
      </c>
      <c r="E229" t="s">
        <v>327</v>
      </c>
      <c r="F229" t="s">
        <v>883</v>
      </c>
    </row>
    <row r="230" spans="1:6">
      <c r="A230" s="14" t="s">
        <v>884</v>
      </c>
      <c r="B230" t="s">
        <v>885</v>
      </c>
      <c r="C230" t="s">
        <v>886</v>
      </c>
      <c r="D230" s="15" t="s">
        <v>887</v>
      </c>
      <c r="E230" t="s">
        <v>274</v>
      </c>
      <c r="F230" t="s">
        <v>888</v>
      </c>
    </row>
    <row r="231" spans="1:6">
      <c r="A231" s="14" t="s">
        <v>889</v>
      </c>
      <c r="B231" t="s">
        <v>890</v>
      </c>
      <c r="C231" t="s">
        <v>243</v>
      </c>
      <c r="D231" s="15" t="s">
        <v>273</v>
      </c>
      <c r="E231" t="s">
        <v>274</v>
      </c>
      <c r="F231" t="s">
        <v>891</v>
      </c>
    </row>
    <row r="232" spans="1:6">
      <c r="A232" s="14" t="s">
        <v>892</v>
      </c>
      <c r="B232" t="s">
        <v>893</v>
      </c>
      <c r="C232" t="s">
        <v>684</v>
      </c>
      <c r="D232" s="15" t="s">
        <v>295</v>
      </c>
      <c r="E232" t="s">
        <v>274</v>
      </c>
      <c r="F232" t="s">
        <v>894</v>
      </c>
    </row>
    <row r="233" spans="1:6">
      <c r="A233" s="14" t="s">
        <v>895</v>
      </c>
      <c r="B233" t="s">
        <v>896</v>
      </c>
      <c r="C233" t="s">
        <v>273</v>
      </c>
      <c r="D233" s="15" t="s">
        <v>273</v>
      </c>
      <c r="E233" t="s">
        <v>327</v>
      </c>
      <c r="F233" t="s">
        <v>897</v>
      </c>
    </row>
    <row r="234" spans="1:6">
      <c r="A234" s="14" t="s">
        <v>898</v>
      </c>
      <c r="B234" t="s">
        <v>899</v>
      </c>
      <c r="C234" t="s">
        <v>900</v>
      </c>
      <c r="D234" s="15" t="s">
        <v>273</v>
      </c>
      <c r="E234" t="s">
        <v>274</v>
      </c>
      <c r="F234" t="s">
        <v>901</v>
      </c>
    </row>
    <row r="235" spans="1:6">
      <c r="A235" s="14" t="s">
        <v>902</v>
      </c>
      <c r="B235" t="s">
        <v>903</v>
      </c>
      <c r="C235" t="s">
        <v>278</v>
      </c>
      <c r="D235" s="15" t="s">
        <v>273</v>
      </c>
      <c r="E235" t="s">
        <v>274</v>
      </c>
      <c r="F235" t="s">
        <v>904</v>
      </c>
    </row>
    <row r="236" spans="1:6">
      <c r="A236" s="14" t="s">
        <v>905</v>
      </c>
      <c r="B236" t="s">
        <v>906</v>
      </c>
      <c r="C236" t="s">
        <v>907</v>
      </c>
      <c r="D236" s="15" t="s">
        <v>236</v>
      </c>
      <c r="E236" t="s">
        <v>274</v>
      </c>
      <c r="F236" t="s">
        <v>908</v>
      </c>
    </row>
    <row r="237" spans="1:6">
      <c r="A237" s="14" t="s">
        <v>909</v>
      </c>
      <c r="B237" t="s">
        <v>910</v>
      </c>
      <c r="C237" t="s">
        <v>278</v>
      </c>
      <c r="D237" s="15" t="s">
        <v>273</v>
      </c>
      <c r="E237" t="s">
        <v>274</v>
      </c>
      <c r="F237" t="s">
        <v>912</v>
      </c>
    </row>
    <row r="238" spans="1:6">
      <c r="A238" s="14" t="s">
        <v>913</v>
      </c>
      <c r="B238" t="s">
        <v>914</v>
      </c>
      <c r="C238" t="s">
        <v>278</v>
      </c>
      <c r="D238" s="15" t="s">
        <v>273</v>
      </c>
      <c r="E238" t="s">
        <v>327</v>
      </c>
      <c r="F238" t="s">
        <v>915</v>
      </c>
    </row>
    <row r="239" spans="1:6">
      <c r="A239" s="14" t="s">
        <v>916</v>
      </c>
      <c r="B239" t="s">
        <v>917</v>
      </c>
      <c r="C239" t="s">
        <v>278</v>
      </c>
      <c r="D239" s="15" t="s">
        <v>273</v>
      </c>
      <c r="E239" t="s">
        <v>327</v>
      </c>
      <c r="F239" t="s">
        <v>918</v>
      </c>
    </row>
    <row r="240" spans="1:6">
      <c r="A240" s="14" t="s">
        <v>919</v>
      </c>
      <c r="B240" t="s">
        <v>920</v>
      </c>
      <c r="C240" t="s">
        <v>278</v>
      </c>
      <c r="D240" s="15" t="s">
        <v>273</v>
      </c>
      <c r="E240" t="s">
        <v>274</v>
      </c>
      <c r="F240" t="s">
        <v>921</v>
      </c>
    </row>
    <row r="241" spans="1:6">
      <c r="A241" s="14" t="s">
        <v>922</v>
      </c>
      <c r="B241" t="s">
        <v>923</v>
      </c>
      <c r="C241" t="s">
        <v>924</v>
      </c>
      <c r="D241" s="15" t="s">
        <v>273</v>
      </c>
      <c r="E241" t="s">
        <v>274</v>
      </c>
      <c r="F241" t="s">
        <v>77</v>
      </c>
    </row>
    <row r="242" spans="1:6">
      <c r="A242" s="14" t="s">
        <v>925</v>
      </c>
      <c r="B242" t="s">
        <v>926</v>
      </c>
      <c r="C242" t="s">
        <v>295</v>
      </c>
      <c r="D242" s="15" t="s">
        <v>295</v>
      </c>
      <c r="E242" t="s">
        <v>274</v>
      </c>
      <c r="F242" t="s">
        <v>927</v>
      </c>
    </row>
    <row r="243" spans="1:6">
      <c r="A243" s="14" t="s">
        <v>928</v>
      </c>
      <c r="B243" t="s">
        <v>929</v>
      </c>
      <c r="C243" t="s">
        <v>472</v>
      </c>
      <c r="D243" s="15" t="s">
        <v>273</v>
      </c>
      <c r="E243" t="s">
        <v>274</v>
      </c>
      <c r="F243" t="s">
        <v>930</v>
      </c>
    </row>
    <row r="244" spans="1:6">
      <c r="A244" s="14" t="s">
        <v>931</v>
      </c>
      <c r="B244" t="s">
        <v>932</v>
      </c>
      <c r="C244" t="s">
        <v>924</v>
      </c>
      <c r="D244" s="15" t="s">
        <v>273</v>
      </c>
      <c r="E244" t="s">
        <v>274</v>
      </c>
      <c r="F244" t="s">
        <v>933</v>
      </c>
    </row>
    <row r="245" spans="1:6">
      <c r="A245" s="14" t="s">
        <v>934</v>
      </c>
      <c r="B245" t="s">
        <v>935</v>
      </c>
      <c r="C245" t="s">
        <v>936</v>
      </c>
      <c r="D245" s="15" t="s">
        <v>273</v>
      </c>
      <c r="E245" t="s">
        <v>274</v>
      </c>
      <c r="F245" t="s">
        <v>937</v>
      </c>
    </row>
    <row r="246" spans="1:6">
      <c r="A246" s="14" t="s">
        <v>938</v>
      </c>
      <c r="B246" t="s">
        <v>939</v>
      </c>
      <c r="C246" t="s">
        <v>278</v>
      </c>
      <c r="D246" s="15" t="s">
        <v>273</v>
      </c>
      <c r="E246" t="s">
        <v>274</v>
      </c>
      <c r="F246" t="s">
        <v>940</v>
      </c>
    </row>
    <row r="247" spans="1:6">
      <c r="A247" s="14" t="s">
        <v>941</v>
      </c>
      <c r="B247" t="s">
        <v>78</v>
      </c>
      <c r="C247" t="s">
        <v>278</v>
      </c>
      <c r="D247" s="15" t="s">
        <v>273</v>
      </c>
      <c r="E247" t="s">
        <v>274</v>
      </c>
      <c r="F247" t="s">
        <v>79</v>
      </c>
    </row>
    <row r="248" spans="1:6">
      <c r="A248" s="14" t="s">
        <v>942</v>
      </c>
      <c r="B248" t="s">
        <v>943</v>
      </c>
      <c r="C248" t="s">
        <v>288</v>
      </c>
      <c r="D248" s="15" t="s">
        <v>273</v>
      </c>
      <c r="E248" t="s">
        <v>274</v>
      </c>
      <c r="F248" t="s">
        <v>944</v>
      </c>
    </row>
    <row r="249" spans="1:6">
      <c r="A249" s="14" t="s">
        <v>3693</v>
      </c>
      <c r="B249" t="s">
        <v>3694</v>
      </c>
      <c r="C249" t="s">
        <v>2712</v>
      </c>
      <c r="D249" s="15" t="s">
        <v>273</v>
      </c>
      <c r="E249" t="s">
        <v>274</v>
      </c>
      <c r="F249" t="s">
        <v>3695</v>
      </c>
    </row>
    <row r="250" spans="1:6">
      <c r="A250" s="14" t="s">
        <v>945</v>
      </c>
      <c r="B250" t="s">
        <v>946</v>
      </c>
      <c r="C250" t="s">
        <v>947</v>
      </c>
      <c r="D250" s="15" t="s">
        <v>948</v>
      </c>
      <c r="E250" t="s">
        <v>274</v>
      </c>
      <c r="F250" t="s">
        <v>949</v>
      </c>
    </row>
    <row r="251" spans="1:6">
      <c r="A251" s="14" t="s">
        <v>950</v>
      </c>
      <c r="B251" t="s">
        <v>951</v>
      </c>
      <c r="C251" t="s">
        <v>278</v>
      </c>
      <c r="D251" s="15" t="s">
        <v>273</v>
      </c>
      <c r="E251" t="s">
        <v>274</v>
      </c>
      <c r="F251" t="s">
        <v>952</v>
      </c>
    </row>
    <row r="252" spans="1:6">
      <c r="A252" s="14" t="s">
        <v>953</v>
      </c>
      <c r="B252" t="s">
        <v>954</v>
      </c>
      <c r="C252" t="s">
        <v>955</v>
      </c>
      <c r="D252" s="15" t="s">
        <v>273</v>
      </c>
      <c r="E252" t="s">
        <v>274</v>
      </c>
      <c r="F252" t="s">
        <v>956</v>
      </c>
    </row>
    <row r="253" spans="1:6">
      <c r="A253" s="14" t="s">
        <v>957</v>
      </c>
      <c r="B253" t="s">
        <v>958</v>
      </c>
      <c r="C253" t="s">
        <v>237</v>
      </c>
      <c r="D253" s="15" t="s">
        <v>273</v>
      </c>
      <c r="E253" t="s">
        <v>274</v>
      </c>
      <c r="F253" t="s">
        <v>959</v>
      </c>
    </row>
    <row r="254" spans="1:6">
      <c r="A254" s="14" t="s">
        <v>960</v>
      </c>
      <c r="B254" t="s">
        <v>961</v>
      </c>
      <c r="C254" t="s">
        <v>962</v>
      </c>
      <c r="D254" s="15" t="s">
        <v>273</v>
      </c>
      <c r="E254" t="s">
        <v>274</v>
      </c>
      <c r="F254" t="s">
        <v>963</v>
      </c>
    </row>
    <row r="255" spans="1:6">
      <c r="A255" s="14" t="s">
        <v>3837</v>
      </c>
      <c r="B255" t="s">
        <v>3838</v>
      </c>
      <c r="C255" t="s">
        <v>288</v>
      </c>
      <c r="D255" s="15" t="s">
        <v>3839</v>
      </c>
      <c r="E255" t="s">
        <v>274</v>
      </c>
      <c r="F255" t="s">
        <v>3840</v>
      </c>
    </row>
    <row r="256" spans="1:6">
      <c r="A256" s="14" t="s">
        <v>3798</v>
      </c>
      <c r="B256" t="s">
        <v>3799</v>
      </c>
      <c r="C256" t="s">
        <v>254</v>
      </c>
      <c r="D256" s="15" t="s">
        <v>273</v>
      </c>
      <c r="E256" t="s">
        <v>274</v>
      </c>
      <c r="F256" t="s">
        <v>3800</v>
      </c>
    </row>
    <row r="257" spans="1:6">
      <c r="A257" s="14" t="s">
        <v>964</v>
      </c>
      <c r="B257" t="s">
        <v>965</v>
      </c>
      <c r="C257" t="s">
        <v>366</v>
      </c>
      <c r="D257" s="15" t="s">
        <v>273</v>
      </c>
      <c r="E257" t="s">
        <v>274</v>
      </c>
      <c r="F257" t="s">
        <v>966</v>
      </c>
    </row>
    <row r="258" spans="1:6">
      <c r="A258" s="14" t="s">
        <v>967</v>
      </c>
      <c r="B258" t="s">
        <v>968</v>
      </c>
      <c r="C258" t="s">
        <v>273</v>
      </c>
      <c r="D258" s="15" t="s">
        <v>273</v>
      </c>
      <c r="E258" t="s">
        <v>279</v>
      </c>
      <c r="F258" t="s">
        <v>969</v>
      </c>
    </row>
    <row r="259" spans="1:6">
      <c r="A259" s="14" t="s">
        <v>970</v>
      </c>
      <c r="B259" t="s">
        <v>971</v>
      </c>
      <c r="C259" t="s">
        <v>278</v>
      </c>
      <c r="D259" s="15" t="s">
        <v>273</v>
      </c>
      <c r="E259" t="s">
        <v>274</v>
      </c>
      <c r="F259" t="s">
        <v>972</v>
      </c>
    </row>
    <row r="260" spans="1:6">
      <c r="A260" s="14" t="s">
        <v>973</v>
      </c>
      <c r="B260" t="s">
        <v>974</v>
      </c>
      <c r="C260" t="s">
        <v>278</v>
      </c>
      <c r="D260" s="15" t="s">
        <v>273</v>
      </c>
      <c r="E260" t="s">
        <v>327</v>
      </c>
      <c r="F260" t="s">
        <v>975</v>
      </c>
    </row>
    <row r="261" spans="1:6">
      <c r="A261" s="14" t="s">
        <v>976</v>
      </c>
      <c r="B261" t="s">
        <v>977</v>
      </c>
      <c r="C261" t="s">
        <v>288</v>
      </c>
      <c r="D261" s="15" t="s">
        <v>3683</v>
      </c>
      <c r="E261" t="s">
        <v>274</v>
      </c>
      <c r="F261" t="s">
        <v>979</v>
      </c>
    </row>
    <row r="262" spans="1:6">
      <c r="A262" s="14" t="s">
        <v>980</v>
      </c>
      <c r="B262" t="s">
        <v>981</v>
      </c>
      <c r="C262" t="s">
        <v>273</v>
      </c>
      <c r="D262" s="15" t="s">
        <v>273</v>
      </c>
      <c r="E262" t="s">
        <v>274</v>
      </c>
      <c r="F262" t="s">
        <v>982</v>
      </c>
    </row>
    <row r="263" spans="1:6">
      <c r="A263" s="14" t="s">
        <v>983</v>
      </c>
      <c r="B263" t="s">
        <v>984</v>
      </c>
      <c r="C263" t="s">
        <v>278</v>
      </c>
      <c r="D263" s="15" t="s">
        <v>273</v>
      </c>
      <c r="E263" t="s">
        <v>274</v>
      </c>
      <c r="F263" t="s">
        <v>985</v>
      </c>
    </row>
    <row r="264" spans="1:6">
      <c r="A264" s="14" t="s">
        <v>3639</v>
      </c>
      <c r="B264" t="s">
        <v>986</v>
      </c>
      <c r="C264" t="s">
        <v>288</v>
      </c>
      <c r="D264" s="15" t="s">
        <v>273</v>
      </c>
      <c r="E264" t="s">
        <v>274</v>
      </c>
      <c r="F264" t="s">
        <v>987</v>
      </c>
    </row>
    <row r="265" spans="1:6">
      <c r="A265" s="14" t="s">
        <v>988</v>
      </c>
      <c r="B265" t="s">
        <v>989</v>
      </c>
      <c r="C265" t="s">
        <v>990</v>
      </c>
      <c r="D265" s="15" t="s">
        <v>418</v>
      </c>
      <c r="E265" t="s">
        <v>274</v>
      </c>
      <c r="F265" t="s">
        <v>80</v>
      </c>
    </row>
    <row r="266" spans="1:6">
      <c r="A266" s="14" t="s">
        <v>991</v>
      </c>
      <c r="B266" t="s">
        <v>992</v>
      </c>
      <c r="C266" t="s">
        <v>278</v>
      </c>
      <c r="D266" s="15" t="s">
        <v>273</v>
      </c>
      <c r="E266" t="s">
        <v>274</v>
      </c>
      <c r="F266" t="s">
        <v>993</v>
      </c>
    </row>
    <row r="267" spans="1:6">
      <c r="A267" s="14" t="s">
        <v>994</v>
      </c>
      <c r="B267" t="s">
        <v>995</v>
      </c>
      <c r="C267" t="s">
        <v>996</v>
      </c>
      <c r="D267" s="15" t="s">
        <v>3683</v>
      </c>
      <c r="E267" t="s">
        <v>274</v>
      </c>
      <c r="F267" t="s">
        <v>81</v>
      </c>
    </row>
    <row r="268" spans="1:6">
      <c r="A268" s="14" t="s">
        <v>997</v>
      </c>
      <c r="B268" t="s">
        <v>998</v>
      </c>
      <c r="C268" t="s">
        <v>278</v>
      </c>
      <c r="D268" s="15" t="s">
        <v>273</v>
      </c>
      <c r="E268" t="s">
        <v>274</v>
      </c>
      <c r="F268" t="s">
        <v>999</v>
      </c>
    </row>
    <row r="269" spans="1:6">
      <c r="A269" s="14" t="s">
        <v>1000</v>
      </c>
      <c r="B269" t="s">
        <v>1001</v>
      </c>
      <c r="C269" t="s">
        <v>278</v>
      </c>
      <c r="D269" s="15" t="s">
        <v>273</v>
      </c>
      <c r="E269" t="s">
        <v>274</v>
      </c>
      <c r="F269" t="s">
        <v>1002</v>
      </c>
    </row>
    <row r="270" spans="1:6">
      <c r="A270" s="14" t="s">
        <v>1003</v>
      </c>
      <c r="B270" t="s">
        <v>1004</v>
      </c>
      <c r="C270" t="s">
        <v>1005</v>
      </c>
      <c r="D270" s="15" t="s">
        <v>34</v>
      </c>
      <c r="E270" t="s">
        <v>274</v>
      </c>
      <c r="F270" t="s">
        <v>1006</v>
      </c>
    </row>
    <row r="271" spans="1:6">
      <c r="A271" s="14" t="s">
        <v>1007</v>
      </c>
      <c r="B271" t="s">
        <v>1008</v>
      </c>
      <c r="C271" t="s">
        <v>278</v>
      </c>
      <c r="D271" s="15" t="s">
        <v>273</v>
      </c>
      <c r="E271" t="s">
        <v>274</v>
      </c>
      <c r="F271" t="s">
        <v>1009</v>
      </c>
    </row>
    <row r="272" spans="1:6">
      <c r="A272" s="14" t="s">
        <v>3677</v>
      </c>
      <c r="B272" t="s">
        <v>3679</v>
      </c>
      <c r="C272" t="s">
        <v>257</v>
      </c>
      <c r="D272" s="15" t="s">
        <v>273</v>
      </c>
      <c r="E272" t="s">
        <v>274</v>
      </c>
      <c r="F272" t="s">
        <v>3678</v>
      </c>
    </row>
    <row r="273" spans="1:6">
      <c r="A273" s="14" t="s">
        <v>3671</v>
      </c>
      <c r="B273" t="s">
        <v>3672</v>
      </c>
      <c r="C273" t="s">
        <v>3673</v>
      </c>
      <c r="D273" s="15" t="s">
        <v>273</v>
      </c>
      <c r="E273" t="s">
        <v>274</v>
      </c>
      <c r="F273" t="s">
        <v>3674</v>
      </c>
    </row>
    <row r="274" spans="1:6">
      <c r="A274" s="14" t="s">
        <v>1010</v>
      </c>
      <c r="B274" t="s">
        <v>1011</v>
      </c>
      <c r="C274" t="s">
        <v>366</v>
      </c>
      <c r="D274" s="15" t="s">
        <v>273</v>
      </c>
      <c r="E274" t="s">
        <v>274</v>
      </c>
      <c r="F274" t="s">
        <v>1012</v>
      </c>
    </row>
    <row r="275" spans="1:6">
      <c r="A275" s="14" t="s">
        <v>1013</v>
      </c>
      <c r="B275" t="s">
        <v>1014</v>
      </c>
      <c r="C275" t="s">
        <v>278</v>
      </c>
      <c r="D275" s="15" t="s">
        <v>273</v>
      </c>
      <c r="E275" t="s">
        <v>274</v>
      </c>
      <c r="F275" t="s">
        <v>1015</v>
      </c>
    </row>
    <row r="276" spans="1:6">
      <c r="A276" s="14" t="s">
        <v>4036</v>
      </c>
      <c r="B276" t="s">
        <v>1016</v>
      </c>
      <c r="C276" t="s">
        <v>288</v>
      </c>
      <c r="D276" s="15" t="s">
        <v>273</v>
      </c>
      <c r="E276" t="s">
        <v>274</v>
      </c>
      <c r="F276" t="s">
        <v>1017</v>
      </c>
    </row>
    <row r="277" spans="1:6">
      <c r="A277" s="14" t="s">
        <v>1018</v>
      </c>
      <c r="B277" t="s">
        <v>1019</v>
      </c>
      <c r="C277" t="s">
        <v>1020</v>
      </c>
      <c r="D277" s="15" t="s">
        <v>273</v>
      </c>
      <c r="E277" t="s">
        <v>274</v>
      </c>
      <c r="F277" t="s">
        <v>1021</v>
      </c>
    </row>
    <row r="278" spans="1:6">
      <c r="A278" s="14" t="s">
        <v>1022</v>
      </c>
      <c r="B278" t="s">
        <v>1023</v>
      </c>
      <c r="C278" t="s">
        <v>1024</v>
      </c>
      <c r="D278" s="15" t="s">
        <v>273</v>
      </c>
      <c r="E278" t="s">
        <v>274</v>
      </c>
      <c r="F278" t="s">
        <v>1025</v>
      </c>
    </row>
    <row r="279" spans="1:6">
      <c r="A279" s="14" t="s">
        <v>1026</v>
      </c>
      <c r="B279" t="s">
        <v>1027</v>
      </c>
      <c r="C279" t="s">
        <v>273</v>
      </c>
      <c r="D279" s="15" t="s">
        <v>273</v>
      </c>
      <c r="E279" t="s">
        <v>274</v>
      </c>
      <c r="F279" t="s">
        <v>1028</v>
      </c>
    </row>
    <row r="280" spans="1:6">
      <c r="A280" s="14" t="s">
        <v>4127</v>
      </c>
      <c r="B280" s="14" t="s">
        <v>4128</v>
      </c>
      <c r="C280" s="14" t="s">
        <v>2780</v>
      </c>
      <c r="D280" s="15" t="s">
        <v>3736</v>
      </c>
      <c r="E280" t="s">
        <v>274</v>
      </c>
      <c r="F280" s="14" t="s">
        <v>4129</v>
      </c>
    </row>
    <row r="281" spans="1:6">
      <c r="A281" s="14" t="s">
        <v>1029</v>
      </c>
      <c r="B281" t="s">
        <v>1030</v>
      </c>
      <c r="C281" t="s">
        <v>278</v>
      </c>
      <c r="D281" s="15" t="s">
        <v>273</v>
      </c>
      <c r="E281" t="s">
        <v>327</v>
      </c>
      <c r="F281" t="s">
        <v>1031</v>
      </c>
    </row>
    <row r="282" spans="1:6">
      <c r="A282" s="14" t="s">
        <v>1032</v>
      </c>
      <c r="B282" t="s">
        <v>1033</v>
      </c>
      <c r="C282" t="s">
        <v>1034</v>
      </c>
      <c r="D282" s="15" t="s">
        <v>273</v>
      </c>
      <c r="E282" t="s">
        <v>274</v>
      </c>
      <c r="F282" t="s">
        <v>1035</v>
      </c>
    </row>
    <row r="283" spans="1:6">
      <c r="A283" s="14" t="s">
        <v>3974</v>
      </c>
      <c r="B283" t="s">
        <v>3975</v>
      </c>
      <c r="C283" t="s">
        <v>278</v>
      </c>
      <c r="D283" s="15" t="s">
        <v>273</v>
      </c>
      <c r="E283" t="s">
        <v>274</v>
      </c>
      <c r="F283" t="s">
        <v>3976</v>
      </c>
    </row>
    <row r="284" spans="1:6">
      <c r="A284" s="14" t="s">
        <v>1036</v>
      </c>
      <c r="B284" t="s">
        <v>1037</v>
      </c>
      <c r="C284" t="s">
        <v>288</v>
      </c>
      <c r="D284" s="15" t="s">
        <v>273</v>
      </c>
      <c r="E284" t="s">
        <v>274</v>
      </c>
      <c r="F284" t="s">
        <v>1038</v>
      </c>
    </row>
    <row r="285" spans="1:6">
      <c r="A285" s="14" t="s">
        <v>1039</v>
      </c>
      <c r="B285" t="s">
        <v>1040</v>
      </c>
      <c r="C285" t="s">
        <v>1041</v>
      </c>
      <c r="D285" s="15" t="s">
        <v>273</v>
      </c>
      <c r="E285" t="s">
        <v>327</v>
      </c>
      <c r="F285" t="s">
        <v>1042</v>
      </c>
    </row>
    <row r="286" spans="1:6">
      <c r="A286" s="14" t="s">
        <v>4142</v>
      </c>
      <c r="B286" s="14" t="s">
        <v>4144</v>
      </c>
      <c r="C286" s="14" t="s">
        <v>278</v>
      </c>
      <c r="D286" s="15" t="s">
        <v>3736</v>
      </c>
      <c r="E286" s="14" t="s">
        <v>327</v>
      </c>
      <c r="F286" s="14" t="s">
        <v>4145</v>
      </c>
    </row>
    <row r="287" spans="1:6">
      <c r="A287" s="14" t="s">
        <v>4149</v>
      </c>
      <c r="B287" s="14" t="s">
        <v>4150</v>
      </c>
      <c r="C287" s="14" t="s">
        <v>278</v>
      </c>
      <c r="D287" s="15" t="s">
        <v>3736</v>
      </c>
      <c r="E287" s="14" t="s">
        <v>327</v>
      </c>
      <c r="F287" s="14" t="s">
        <v>4151</v>
      </c>
    </row>
    <row r="288" spans="1:6">
      <c r="A288" s="14" t="s">
        <v>1043</v>
      </c>
      <c r="B288" t="s">
        <v>1044</v>
      </c>
      <c r="C288" t="s">
        <v>278</v>
      </c>
      <c r="D288" s="15" t="s">
        <v>273</v>
      </c>
      <c r="E288" t="s">
        <v>274</v>
      </c>
      <c r="F288" t="s">
        <v>1045</v>
      </c>
    </row>
    <row r="289" spans="1:6">
      <c r="A289" s="14" t="s">
        <v>1046</v>
      </c>
      <c r="B289" t="s">
        <v>1047</v>
      </c>
      <c r="C289" t="s">
        <v>278</v>
      </c>
      <c r="D289" s="15" t="s">
        <v>273</v>
      </c>
      <c r="E289" t="s">
        <v>327</v>
      </c>
      <c r="F289" t="s">
        <v>1048</v>
      </c>
    </row>
    <row r="290" spans="1:6">
      <c r="A290" s="14" t="s">
        <v>1049</v>
      </c>
      <c r="B290" t="s">
        <v>1050</v>
      </c>
      <c r="C290" t="s">
        <v>452</v>
      </c>
      <c r="D290" s="15" t="s">
        <v>295</v>
      </c>
      <c r="E290" t="s">
        <v>274</v>
      </c>
      <c r="F290" t="s">
        <v>1051</v>
      </c>
    </row>
    <row r="291" spans="1:6">
      <c r="A291" s="14" t="s">
        <v>1052</v>
      </c>
      <c r="B291" t="s">
        <v>1053</v>
      </c>
      <c r="C291" t="s">
        <v>374</v>
      </c>
      <c r="D291" s="15" t="s">
        <v>236</v>
      </c>
      <c r="E291" t="s">
        <v>274</v>
      </c>
      <c r="F291" t="s">
        <v>1054</v>
      </c>
    </row>
    <row r="292" spans="1:6">
      <c r="A292" s="14" t="s">
        <v>1055</v>
      </c>
      <c r="B292" t="s">
        <v>1056</v>
      </c>
      <c r="C292" t="s">
        <v>1057</v>
      </c>
      <c r="D292" s="15" t="s">
        <v>295</v>
      </c>
      <c r="E292" t="s">
        <v>274</v>
      </c>
      <c r="F292" t="s">
        <v>1058</v>
      </c>
    </row>
    <row r="293" spans="1:6">
      <c r="A293" s="14" t="s">
        <v>1059</v>
      </c>
      <c r="B293" t="s">
        <v>261</v>
      </c>
      <c r="C293" t="s">
        <v>255</v>
      </c>
      <c r="D293" s="15" t="s">
        <v>273</v>
      </c>
      <c r="E293" t="s">
        <v>274</v>
      </c>
      <c r="F293" t="s">
        <v>82</v>
      </c>
    </row>
    <row r="294" spans="1:6">
      <c r="A294" s="14" t="s">
        <v>1060</v>
      </c>
      <c r="B294" t="s">
        <v>1061</v>
      </c>
      <c r="C294" t="s">
        <v>255</v>
      </c>
      <c r="D294" s="15" t="s">
        <v>273</v>
      </c>
      <c r="E294" t="s">
        <v>274</v>
      </c>
      <c r="F294" t="s">
        <v>1062</v>
      </c>
    </row>
    <row r="295" spans="1:6">
      <c r="A295" s="14" t="s">
        <v>3825</v>
      </c>
      <c r="B295" t="s">
        <v>3826</v>
      </c>
      <c r="C295" t="s">
        <v>374</v>
      </c>
      <c r="D295" s="15" t="s">
        <v>236</v>
      </c>
      <c r="E295" t="s">
        <v>274</v>
      </c>
      <c r="F295" t="s">
        <v>3827</v>
      </c>
    </row>
    <row r="296" spans="1:6">
      <c r="A296" s="14" t="s">
        <v>1063</v>
      </c>
      <c r="B296" t="s">
        <v>1064</v>
      </c>
      <c r="C296" t="s">
        <v>244</v>
      </c>
      <c r="D296" s="15" t="s">
        <v>273</v>
      </c>
      <c r="E296" t="s">
        <v>274</v>
      </c>
      <c r="F296" t="s">
        <v>1065</v>
      </c>
    </row>
    <row r="297" spans="1:6">
      <c r="A297" s="14" t="s">
        <v>1066</v>
      </c>
      <c r="B297" t="s">
        <v>1067</v>
      </c>
      <c r="C297" t="s">
        <v>237</v>
      </c>
      <c r="D297" s="15" t="s">
        <v>273</v>
      </c>
      <c r="E297" t="s">
        <v>274</v>
      </c>
      <c r="F297" t="s">
        <v>1068</v>
      </c>
    </row>
    <row r="298" spans="1:6">
      <c r="A298" s="14" t="s">
        <v>1069</v>
      </c>
      <c r="B298" t="s">
        <v>1070</v>
      </c>
      <c r="C298" t="s">
        <v>1071</v>
      </c>
      <c r="D298" s="15" t="s">
        <v>273</v>
      </c>
      <c r="E298" t="s">
        <v>274</v>
      </c>
      <c r="F298" t="s">
        <v>1072</v>
      </c>
    </row>
    <row r="299" spans="1:6">
      <c r="A299" s="14" t="s">
        <v>1073</v>
      </c>
      <c r="B299" t="s">
        <v>1074</v>
      </c>
      <c r="C299" t="s">
        <v>285</v>
      </c>
      <c r="D299" s="15" t="s">
        <v>3683</v>
      </c>
      <c r="E299" t="s">
        <v>274</v>
      </c>
      <c r="F299" t="s">
        <v>83</v>
      </c>
    </row>
    <row r="300" spans="1:6">
      <c r="A300" s="14" t="s">
        <v>1075</v>
      </c>
      <c r="B300" t="s">
        <v>1076</v>
      </c>
      <c r="C300" t="s">
        <v>1077</v>
      </c>
      <c r="D300" s="15" t="s">
        <v>273</v>
      </c>
      <c r="E300" t="s">
        <v>274</v>
      </c>
      <c r="F300" t="s">
        <v>1078</v>
      </c>
    </row>
    <row r="301" spans="1:6">
      <c r="A301" s="14" t="s">
        <v>84</v>
      </c>
      <c r="B301" t="s">
        <v>85</v>
      </c>
      <c r="C301" t="s">
        <v>374</v>
      </c>
      <c r="D301" s="15" t="s">
        <v>236</v>
      </c>
      <c r="E301" t="s">
        <v>274</v>
      </c>
      <c r="F301" t="s">
        <v>1079</v>
      </c>
    </row>
    <row r="302" spans="1:6">
      <c r="A302" s="14" t="s">
        <v>1080</v>
      </c>
      <c r="B302" t="s">
        <v>1081</v>
      </c>
      <c r="C302" t="s">
        <v>278</v>
      </c>
      <c r="D302" s="15" t="s">
        <v>273</v>
      </c>
      <c r="E302" t="s">
        <v>274</v>
      </c>
      <c r="F302" t="s">
        <v>1082</v>
      </c>
    </row>
    <row r="303" spans="1:6">
      <c r="A303" s="14" t="s">
        <v>3925</v>
      </c>
      <c r="B303" t="s">
        <v>3926</v>
      </c>
      <c r="C303" t="s">
        <v>288</v>
      </c>
      <c r="D303" s="15" t="s">
        <v>3683</v>
      </c>
      <c r="E303" t="s">
        <v>274</v>
      </c>
      <c r="F303" t="s">
        <v>3927</v>
      </c>
    </row>
    <row r="304" spans="1:6">
      <c r="A304" s="14" t="s">
        <v>1083</v>
      </c>
      <c r="B304" t="s">
        <v>1084</v>
      </c>
      <c r="C304" t="s">
        <v>452</v>
      </c>
      <c r="D304" s="15" t="s">
        <v>295</v>
      </c>
      <c r="E304" t="s">
        <v>274</v>
      </c>
      <c r="F304" t="s">
        <v>1085</v>
      </c>
    </row>
    <row r="305" spans="1:8">
      <c r="A305" s="14" t="s">
        <v>1086</v>
      </c>
      <c r="B305" t="s">
        <v>1087</v>
      </c>
      <c r="C305" t="s">
        <v>601</v>
      </c>
      <c r="D305" s="15" t="s">
        <v>3683</v>
      </c>
      <c r="E305" t="s">
        <v>274</v>
      </c>
      <c r="F305" t="s">
        <v>1088</v>
      </c>
    </row>
    <row r="306" spans="1:8">
      <c r="A306" s="14" t="s">
        <v>1089</v>
      </c>
      <c r="B306" t="s">
        <v>1090</v>
      </c>
      <c r="C306" t="s">
        <v>273</v>
      </c>
      <c r="D306" s="15" t="s">
        <v>273</v>
      </c>
      <c r="E306" t="s">
        <v>274</v>
      </c>
      <c r="F306" t="s">
        <v>1091</v>
      </c>
    </row>
    <row r="307" spans="1:8">
      <c r="A307" s="14" t="s">
        <v>1092</v>
      </c>
      <c r="B307" t="s">
        <v>1093</v>
      </c>
      <c r="C307" t="s">
        <v>278</v>
      </c>
      <c r="D307" s="15" t="s">
        <v>273</v>
      </c>
      <c r="E307" t="s">
        <v>274</v>
      </c>
      <c r="F307" t="s">
        <v>1094</v>
      </c>
    </row>
    <row r="308" spans="1:8">
      <c r="A308" s="14" t="s">
        <v>1095</v>
      </c>
      <c r="B308" t="s">
        <v>1096</v>
      </c>
      <c r="C308" t="s">
        <v>1097</v>
      </c>
      <c r="D308" s="15" t="s">
        <v>273</v>
      </c>
      <c r="E308" t="s">
        <v>274</v>
      </c>
      <c r="F308" t="s">
        <v>1098</v>
      </c>
    </row>
    <row r="309" spans="1:8">
      <c r="A309" s="14" t="s">
        <v>3987</v>
      </c>
      <c r="B309" t="s">
        <v>3985</v>
      </c>
      <c r="C309" t="s">
        <v>255</v>
      </c>
      <c r="D309" s="15" t="s">
        <v>273</v>
      </c>
      <c r="E309" t="s">
        <v>274</v>
      </c>
      <c r="F309" t="s">
        <v>3986</v>
      </c>
    </row>
    <row r="310" spans="1:8">
      <c r="A310" s="14" t="s">
        <v>1099</v>
      </c>
      <c r="B310" t="s">
        <v>1100</v>
      </c>
      <c r="C310" t="s">
        <v>278</v>
      </c>
      <c r="D310" s="15" t="s">
        <v>273</v>
      </c>
      <c r="E310" t="s">
        <v>274</v>
      </c>
      <c r="F310" t="s">
        <v>86</v>
      </c>
    </row>
    <row r="311" spans="1:8">
      <c r="A311" s="14" t="s">
        <v>1101</v>
      </c>
      <c r="B311" t="s">
        <v>1102</v>
      </c>
      <c r="C311" t="s">
        <v>240</v>
      </c>
      <c r="D311" s="15" t="s">
        <v>273</v>
      </c>
      <c r="E311" t="s">
        <v>274</v>
      </c>
      <c r="F311" t="s">
        <v>1103</v>
      </c>
    </row>
    <row r="312" spans="1:8">
      <c r="A312" s="14" t="s">
        <v>1104</v>
      </c>
      <c r="B312" t="s">
        <v>1105</v>
      </c>
      <c r="C312" t="s">
        <v>278</v>
      </c>
      <c r="D312" s="15" t="s">
        <v>273</v>
      </c>
      <c r="E312" t="s">
        <v>327</v>
      </c>
      <c r="F312" t="s">
        <v>1106</v>
      </c>
    </row>
    <row r="313" spans="1:8">
      <c r="A313" s="14" t="s">
        <v>1107</v>
      </c>
      <c r="B313" t="s">
        <v>1108</v>
      </c>
      <c r="C313" t="s">
        <v>1109</v>
      </c>
      <c r="D313" s="15" t="s">
        <v>273</v>
      </c>
      <c r="E313" t="s">
        <v>274</v>
      </c>
      <c r="F313" t="s">
        <v>1110</v>
      </c>
    </row>
    <row r="314" spans="1:8">
      <c r="A314" s="14" t="s">
        <v>1111</v>
      </c>
      <c r="B314" t="s">
        <v>1112</v>
      </c>
      <c r="C314" t="s">
        <v>273</v>
      </c>
      <c r="D314" s="15" t="s">
        <v>273</v>
      </c>
      <c r="E314" t="s">
        <v>274</v>
      </c>
      <c r="F314" t="s">
        <v>1113</v>
      </c>
    </row>
    <row r="315" spans="1:8">
      <c r="A315" s="14" t="s">
        <v>1114</v>
      </c>
      <c r="B315" t="s">
        <v>1115</v>
      </c>
      <c r="C315" t="s">
        <v>278</v>
      </c>
      <c r="D315" s="15" t="s">
        <v>273</v>
      </c>
      <c r="E315" t="s">
        <v>327</v>
      </c>
      <c r="F315" t="s">
        <v>1116</v>
      </c>
    </row>
    <row r="316" spans="1:8">
      <c r="A316" s="14" t="s">
        <v>1117</v>
      </c>
      <c r="B316" t="s">
        <v>1118</v>
      </c>
      <c r="C316" t="s">
        <v>278</v>
      </c>
      <c r="D316" s="15" t="s">
        <v>273</v>
      </c>
      <c r="E316" t="s">
        <v>274</v>
      </c>
      <c r="F316" t="s">
        <v>1119</v>
      </c>
    </row>
    <row r="317" spans="1:8">
      <c r="A317" s="14" t="s">
        <v>1120</v>
      </c>
      <c r="B317" t="s">
        <v>1121</v>
      </c>
      <c r="C317" t="s">
        <v>237</v>
      </c>
      <c r="D317" s="15" t="s">
        <v>273</v>
      </c>
      <c r="E317" t="s">
        <v>274</v>
      </c>
      <c r="F317" t="s">
        <v>1122</v>
      </c>
    </row>
    <row r="318" spans="1:8">
      <c r="A318" s="14" t="s">
        <v>3801</v>
      </c>
      <c r="B318" t="s">
        <v>3802</v>
      </c>
      <c r="C318" t="s">
        <v>3736</v>
      </c>
      <c r="D318" s="15" t="s">
        <v>3683</v>
      </c>
      <c r="E318" t="s">
        <v>274</v>
      </c>
      <c r="F318" t="s">
        <v>3803</v>
      </c>
    </row>
    <row r="319" spans="1:8">
      <c r="A319" s="14" t="s">
        <v>4152</v>
      </c>
      <c r="B319" s="14" t="s">
        <v>4153</v>
      </c>
      <c r="C319" s="14" t="s">
        <v>273</v>
      </c>
      <c r="D319" s="15" t="s">
        <v>3736</v>
      </c>
      <c r="E319" s="14" t="s">
        <v>274</v>
      </c>
      <c r="F319" s="14" t="s">
        <v>4154</v>
      </c>
      <c r="H319" s="15"/>
    </row>
    <row r="320" spans="1:8">
      <c r="A320" s="14" t="s">
        <v>1123</v>
      </c>
      <c r="B320" t="s">
        <v>1124</v>
      </c>
      <c r="C320" t="s">
        <v>1125</v>
      </c>
      <c r="D320" s="15" t="s">
        <v>34</v>
      </c>
      <c r="E320" t="s">
        <v>274</v>
      </c>
      <c r="F320" t="s">
        <v>1126</v>
      </c>
    </row>
    <row r="321" spans="1:6">
      <c r="A321" s="14" t="s">
        <v>3804</v>
      </c>
      <c r="B321" t="s">
        <v>3805</v>
      </c>
      <c r="C321" t="s">
        <v>366</v>
      </c>
      <c r="D321" s="15" t="s">
        <v>273</v>
      </c>
      <c r="E321" t="s">
        <v>274</v>
      </c>
      <c r="F321" t="s">
        <v>3806</v>
      </c>
    </row>
    <row r="322" spans="1:6">
      <c r="A322" s="14" t="s">
        <v>5711</v>
      </c>
      <c r="B322" t="s">
        <v>5712</v>
      </c>
      <c r="C322" t="s">
        <v>5713</v>
      </c>
      <c r="D322" s="15" t="s">
        <v>273</v>
      </c>
      <c r="E322" t="s">
        <v>274</v>
      </c>
      <c r="F322" t="s">
        <v>5714</v>
      </c>
    </row>
    <row r="323" spans="1:6">
      <c r="A323" s="14" t="s">
        <v>1127</v>
      </c>
      <c r="B323" t="s">
        <v>1128</v>
      </c>
      <c r="C323" t="s">
        <v>237</v>
      </c>
      <c r="D323" s="15" t="s">
        <v>273</v>
      </c>
      <c r="E323" t="s">
        <v>327</v>
      </c>
      <c r="F323" t="s">
        <v>1129</v>
      </c>
    </row>
    <row r="324" spans="1:6">
      <c r="A324" s="14" t="s">
        <v>1130</v>
      </c>
      <c r="B324" t="s">
        <v>1131</v>
      </c>
      <c r="C324" t="s">
        <v>1132</v>
      </c>
      <c r="D324" s="15" t="s">
        <v>273</v>
      </c>
      <c r="E324" t="s">
        <v>274</v>
      </c>
      <c r="F324" t="s">
        <v>87</v>
      </c>
    </row>
    <row r="325" spans="1:6">
      <c r="A325" s="14" t="s">
        <v>1133</v>
      </c>
      <c r="B325" t="s">
        <v>1134</v>
      </c>
      <c r="C325" t="s">
        <v>366</v>
      </c>
      <c r="D325" s="15" t="s">
        <v>273</v>
      </c>
      <c r="E325" t="s">
        <v>274</v>
      </c>
      <c r="F325" t="s">
        <v>1135</v>
      </c>
    </row>
    <row r="326" spans="1:6">
      <c r="A326" s="14" t="s">
        <v>3830</v>
      </c>
      <c r="B326" t="s">
        <v>3828</v>
      </c>
      <c r="C326" t="s">
        <v>255</v>
      </c>
      <c r="D326" s="15" t="s">
        <v>273</v>
      </c>
      <c r="E326" t="s">
        <v>274</v>
      </c>
      <c r="F326" t="s">
        <v>3829</v>
      </c>
    </row>
    <row r="327" spans="1:6">
      <c r="A327" s="14" t="s">
        <v>1136</v>
      </c>
      <c r="B327" t="s">
        <v>1137</v>
      </c>
      <c r="C327" t="s">
        <v>3685</v>
      </c>
      <c r="D327" s="15" t="s">
        <v>273</v>
      </c>
      <c r="E327" t="s">
        <v>274</v>
      </c>
      <c r="F327" t="s">
        <v>1138</v>
      </c>
    </row>
    <row r="328" spans="1:6">
      <c r="A328" s="14" t="s">
        <v>1139</v>
      </c>
      <c r="B328" t="s">
        <v>1140</v>
      </c>
      <c r="C328" t="s">
        <v>1141</v>
      </c>
      <c r="D328" s="15" t="s">
        <v>273</v>
      </c>
      <c r="E328" t="s">
        <v>274</v>
      </c>
      <c r="F328" t="s">
        <v>1142</v>
      </c>
    </row>
    <row r="329" spans="1:6">
      <c r="A329" s="14" t="s">
        <v>1143</v>
      </c>
      <c r="B329" t="s">
        <v>1144</v>
      </c>
      <c r="C329" t="s">
        <v>244</v>
      </c>
      <c r="D329" s="15" t="s">
        <v>273</v>
      </c>
      <c r="E329" t="s">
        <v>274</v>
      </c>
      <c r="F329" t="s">
        <v>1145</v>
      </c>
    </row>
    <row r="330" spans="1:6">
      <c r="A330" s="14" t="s">
        <v>1146</v>
      </c>
      <c r="B330" t="s">
        <v>1147</v>
      </c>
      <c r="C330" t="s">
        <v>433</v>
      </c>
      <c r="D330" s="15" t="s">
        <v>273</v>
      </c>
      <c r="E330" t="s">
        <v>274</v>
      </c>
      <c r="F330" t="s">
        <v>1148</v>
      </c>
    </row>
    <row r="331" spans="1:6">
      <c r="A331" s="14" t="s">
        <v>1149</v>
      </c>
      <c r="B331" t="s">
        <v>1150</v>
      </c>
      <c r="C331" t="s">
        <v>278</v>
      </c>
      <c r="D331" s="15" t="s">
        <v>273</v>
      </c>
      <c r="E331" t="s">
        <v>274</v>
      </c>
      <c r="F331" t="s">
        <v>88</v>
      </c>
    </row>
    <row r="332" spans="1:6">
      <c r="A332" s="14" t="s">
        <v>1151</v>
      </c>
      <c r="B332" t="s">
        <v>1152</v>
      </c>
      <c r="C332" t="s">
        <v>256</v>
      </c>
      <c r="D332" s="15" t="s">
        <v>273</v>
      </c>
      <c r="E332" t="s">
        <v>274</v>
      </c>
      <c r="F332" t="s">
        <v>1153</v>
      </c>
    </row>
    <row r="333" spans="1:6">
      <c r="A333" s="14" t="s">
        <v>1154</v>
      </c>
      <c r="B333" t="s">
        <v>1155</v>
      </c>
      <c r="C333" t="s">
        <v>285</v>
      </c>
      <c r="D333" s="15" t="s">
        <v>374</v>
      </c>
      <c r="E333" t="s">
        <v>274</v>
      </c>
      <c r="F333" t="s">
        <v>1156</v>
      </c>
    </row>
    <row r="334" spans="1:6">
      <c r="A334" s="14" t="s">
        <v>1157</v>
      </c>
      <c r="B334" t="s">
        <v>1158</v>
      </c>
      <c r="C334" t="s">
        <v>1159</v>
      </c>
      <c r="D334" s="15" t="s">
        <v>273</v>
      </c>
      <c r="E334" t="s">
        <v>274</v>
      </c>
      <c r="F334" t="s">
        <v>1160</v>
      </c>
    </row>
    <row r="335" spans="1:6">
      <c r="A335" s="14" t="s">
        <v>4181</v>
      </c>
      <c r="B335" s="14" t="s">
        <v>4182</v>
      </c>
      <c r="C335" s="14" t="s">
        <v>273</v>
      </c>
      <c r="D335" s="15" t="s">
        <v>4183</v>
      </c>
      <c r="E335" s="14" t="s">
        <v>274</v>
      </c>
      <c r="F335" s="14" t="s">
        <v>4184</v>
      </c>
    </row>
    <row r="336" spans="1:6">
      <c r="A336" s="14" t="s">
        <v>1161</v>
      </c>
      <c r="B336" t="s">
        <v>1162</v>
      </c>
      <c r="C336" t="s">
        <v>273</v>
      </c>
      <c r="D336" s="15" t="s">
        <v>273</v>
      </c>
      <c r="E336" t="s">
        <v>274</v>
      </c>
      <c r="F336" t="s">
        <v>1163</v>
      </c>
    </row>
    <row r="337" spans="1:7">
      <c r="A337" s="14" t="s">
        <v>1164</v>
      </c>
      <c r="B337" t="s">
        <v>1165</v>
      </c>
      <c r="C337" t="s">
        <v>1166</v>
      </c>
      <c r="D337" s="15" t="s">
        <v>34</v>
      </c>
      <c r="E337" t="s">
        <v>274</v>
      </c>
      <c r="F337" t="s">
        <v>1167</v>
      </c>
    </row>
    <row r="338" spans="1:7">
      <c r="A338" s="14" t="s">
        <v>1168</v>
      </c>
      <c r="B338" t="s">
        <v>1169</v>
      </c>
      <c r="C338" t="s">
        <v>1170</v>
      </c>
      <c r="D338" s="15" t="s">
        <v>273</v>
      </c>
      <c r="E338" t="s">
        <v>274</v>
      </c>
      <c r="F338" t="s">
        <v>1171</v>
      </c>
    </row>
    <row r="339" spans="1:7">
      <c r="A339" s="14" t="s">
        <v>1172</v>
      </c>
      <c r="B339" t="s">
        <v>1173</v>
      </c>
      <c r="C339" t="s">
        <v>1174</v>
      </c>
      <c r="D339" s="15" t="s">
        <v>273</v>
      </c>
      <c r="E339" t="s">
        <v>274</v>
      </c>
      <c r="F339" t="s">
        <v>1175</v>
      </c>
    </row>
    <row r="340" spans="1:7">
      <c r="A340" s="14" t="s">
        <v>1176</v>
      </c>
      <c r="B340" t="s">
        <v>89</v>
      </c>
      <c r="C340" t="s">
        <v>374</v>
      </c>
      <c r="D340" s="15" t="s">
        <v>236</v>
      </c>
      <c r="E340" t="s">
        <v>274</v>
      </c>
      <c r="F340" t="s">
        <v>90</v>
      </c>
    </row>
    <row r="341" spans="1:7">
      <c r="A341" s="14" t="s">
        <v>1177</v>
      </c>
      <c r="B341" t="s">
        <v>1178</v>
      </c>
      <c r="C341" t="s">
        <v>278</v>
      </c>
      <c r="D341" s="15" t="s">
        <v>273</v>
      </c>
      <c r="E341" t="s">
        <v>274</v>
      </c>
      <c r="F341" t="s">
        <v>1179</v>
      </c>
    </row>
    <row r="342" spans="1:7">
      <c r="A342" s="14" t="s">
        <v>1180</v>
      </c>
      <c r="B342" t="s">
        <v>1181</v>
      </c>
      <c r="C342" t="s">
        <v>1182</v>
      </c>
      <c r="D342" s="15" t="s">
        <v>34</v>
      </c>
      <c r="E342" t="s">
        <v>274</v>
      </c>
      <c r="F342" t="s">
        <v>1183</v>
      </c>
      <c r="G342" s="15"/>
    </row>
    <row r="343" spans="1:7">
      <c r="A343" s="14" t="s">
        <v>1184</v>
      </c>
      <c r="B343" t="s">
        <v>1185</v>
      </c>
      <c r="C343" t="s">
        <v>1186</v>
      </c>
      <c r="D343" s="15" t="s">
        <v>273</v>
      </c>
      <c r="E343" t="s">
        <v>274</v>
      </c>
      <c r="F343" t="s">
        <v>1187</v>
      </c>
    </row>
    <row r="344" spans="1:7">
      <c r="A344" s="14" t="s">
        <v>4202</v>
      </c>
      <c r="B344" t="s">
        <v>4204</v>
      </c>
      <c r="C344" t="s">
        <v>2757</v>
      </c>
      <c r="D344" s="15" t="s">
        <v>273</v>
      </c>
      <c r="E344" t="s">
        <v>274</v>
      </c>
      <c r="F344" t="s">
        <v>4203</v>
      </c>
    </row>
    <row r="345" spans="1:7">
      <c r="A345" s="14" t="s">
        <v>5761</v>
      </c>
      <c r="B345" s="14" t="s">
        <v>5762</v>
      </c>
      <c r="C345" s="14" t="s">
        <v>366</v>
      </c>
      <c r="D345" s="15" t="s">
        <v>3736</v>
      </c>
      <c r="E345" s="14" t="s">
        <v>5379</v>
      </c>
      <c r="F345" s="14" t="s">
        <v>5763</v>
      </c>
    </row>
    <row r="346" spans="1:7">
      <c r="A346" s="14" t="s">
        <v>4314</v>
      </c>
      <c r="B346" t="s">
        <v>4315</v>
      </c>
      <c r="C346" t="s">
        <v>278</v>
      </c>
      <c r="D346" s="15" t="s">
        <v>273</v>
      </c>
      <c r="E346" t="s">
        <v>274</v>
      </c>
      <c r="F346" t="s">
        <v>4316</v>
      </c>
    </row>
    <row r="347" spans="1:7">
      <c r="A347" s="14" t="s">
        <v>4139</v>
      </c>
      <c r="B347" s="14" t="s">
        <v>4140</v>
      </c>
      <c r="C347" s="14" t="s">
        <v>366</v>
      </c>
      <c r="D347" s="15" t="s">
        <v>3736</v>
      </c>
      <c r="E347" s="14" t="s">
        <v>274</v>
      </c>
      <c r="F347" s="14" t="s">
        <v>4141</v>
      </c>
    </row>
    <row r="348" spans="1:7">
      <c r="A348" s="14" t="s">
        <v>3718</v>
      </c>
      <c r="B348" t="s">
        <v>3719</v>
      </c>
      <c r="C348" t="s">
        <v>3720</v>
      </c>
      <c r="D348" s="15" t="s">
        <v>418</v>
      </c>
      <c r="E348" t="s">
        <v>274</v>
      </c>
      <c r="F348" t="s">
        <v>3721</v>
      </c>
    </row>
    <row r="349" spans="1:7">
      <c r="A349" s="14" t="s">
        <v>1189</v>
      </c>
      <c r="B349" t="s">
        <v>1190</v>
      </c>
      <c r="C349" t="s">
        <v>278</v>
      </c>
      <c r="D349" s="15" t="s">
        <v>273</v>
      </c>
      <c r="E349" t="s">
        <v>327</v>
      </c>
      <c r="F349" t="s">
        <v>1191</v>
      </c>
    </row>
    <row r="350" spans="1:7">
      <c r="A350" s="14" t="s">
        <v>1192</v>
      </c>
      <c r="B350" t="s">
        <v>1193</v>
      </c>
      <c r="C350" t="s">
        <v>278</v>
      </c>
      <c r="D350" s="15" t="s">
        <v>273</v>
      </c>
      <c r="E350" t="s">
        <v>327</v>
      </c>
      <c r="F350" t="s">
        <v>1194</v>
      </c>
    </row>
    <row r="351" spans="1:7">
      <c r="A351" s="14" t="s">
        <v>5314</v>
      </c>
      <c r="B351" s="14" t="s">
        <v>5315</v>
      </c>
      <c r="C351" s="14" t="s">
        <v>5316</v>
      </c>
      <c r="D351" s="15" t="s">
        <v>5317</v>
      </c>
      <c r="E351" s="14" t="s">
        <v>274</v>
      </c>
      <c r="F351" s="14" t="s">
        <v>5318</v>
      </c>
    </row>
    <row r="352" spans="1:7">
      <c r="A352" s="14" t="s">
        <v>1195</v>
      </c>
      <c r="B352" t="s">
        <v>1196</v>
      </c>
      <c r="C352" t="s">
        <v>374</v>
      </c>
      <c r="D352" s="15" t="s">
        <v>236</v>
      </c>
      <c r="E352" t="s">
        <v>274</v>
      </c>
      <c r="F352" t="s">
        <v>1197</v>
      </c>
    </row>
    <row r="353" spans="1:7">
      <c r="A353" s="14" t="s">
        <v>1198</v>
      </c>
      <c r="B353" t="s">
        <v>1199</v>
      </c>
      <c r="C353" t="s">
        <v>1200</v>
      </c>
      <c r="D353" s="15" t="s">
        <v>273</v>
      </c>
      <c r="E353" t="s">
        <v>274</v>
      </c>
      <c r="F353" t="s">
        <v>91</v>
      </c>
    </row>
    <row r="354" spans="1:7">
      <c r="A354" s="14" t="s">
        <v>1201</v>
      </c>
      <c r="B354" t="s">
        <v>1202</v>
      </c>
      <c r="C354" t="s">
        <v>1203</v>
      </c>
      <c r="D354" s="15" t="s">
        <v>273</v>
      </c>
      <c r="E354" t="s">
        <v>274</v>
      </c>
      <c r="F354" t="s">
        <v>1204</v>
      </c>
    </row>
    <row r="355" spans="1:7">
      <c r="A355" s="14" t="s">
        <v>1205</v>
      </c>
      <c r="B355" t="s">
        <v>1206</v>
      </c>
      <c r="C355" t="s">
        <v>273</v>
      </c>
      <c r="D355" s="15" t="s">
        <v>273</v>
      </c>
      <c r="E355" t="s">
        <v>274</v>
      </c>
      <c r="F355" t="s">
        <v>1207</v>
      </c>
    </row>
    <row r="356" spans="1:7">
      <c r="A356" s="14" t="s">
        <v>1208</v>
      </c>
      <c r="B356" t="s">
        <v>1209</v>
      </c>
      <c r="C356" t="s">
        <v>278</v>
      </c>
      <c r="D356" s="15" t="s">
        <v>273</v>
      </c>
      <c r="E356" t="s">
        <v>327</v>
      </c>
      <c r="F356" t="s">
        <v>1210</v>
      </c>
    </row>
    <row r="357" spans="1:7">
      <c r="A357" s="14" t="s">
        <v>4062</v>
      </c>
      <c r="B357" t="s">
        <v>4063</v>
      </c>
      <c r="C357" t="s">
        <v>1251</v>
      </c>
      <c r="D357" s="15" t="s">
        <v>273</v>
      </c>
      <c r="E357" t="s">
        <v>274</v>
      </c>
      <c r="F357" t="s">
        <v>4064</v>
      </c>
      <c r="G357" s="15"/>
    </row>
    <row r="358" spans="1:7">
      <c r="A358" s="14" t="s">
        <v>1211</v>
      </c>
      <c r="B358" t="s">
        <v>1212</v>
      </c>
      <c r="C358" t="s">
        <v>472</v>
      </c>
      <c r="D358" s="15" t="s">
        <v>273</v>
      </c>
      <c r="E358" t="s">
        <v>274</v>
      </c>
      <c r="F358" t="s">
        <v>1213</v>
      </c>
    </row>
    <row r="359" spans="1:7">
      <c r="A359" s="14" t="s">
        <v>1214</v>
      </c>
      <c r="B359" t="s">
        <v>1215</v>
      </c>
      <c r="C359" t="s">
        <v>594</v>
      </c>
      <c r="D359" s="15" t="s">
        <v>273</v>
      </c>
      <c r="E359" t="s">
        <v>274</v>
      </c>
      <c r="F359" t="s">
        <v>1216</v>
      </c>
    </row>
    <row r="360" spans="1:7">
      <c r="A360" s="14" t="s">
        <v>1217</v>
      </c>
      <c r="B360" t="s">
        <v>1218</v>
      </c>
      <c r="C360" t="s">
        <v>1219</v>
      </c>
      <c r="D360" s="15" t="s">
        <v>273</v>
      </c>
      <c r="E360" t="s">
        <v>274</v>
      </c>
      <c r="F360" t="s">
        <v>1220</v>
      </c>
    </row>
    <row r="361" spans="1:7">
      <c r="A361" s="14" t="s">
        <v>1221</v>
      </c>
      <c r="B361" t="s">
        <v>1222</v>
      </c>
      <c r="C361" t="s">
        <v>278</v>
      </c>
      <c r="D361" s="15" t="s">
        <v>273</v>
      </c>
      <c r="E361" t="s">
        <v>274</v>
      </c>
      <c r="F361" t="s">
        <v>92</v>
      </c>
    </row>
    <row r="362" spans="1:7">
      <c r="A362" s="14" t="s">
        <v>1223</v>
      </c>
      <c r="B362" t="s">
        <v>1224</v>
      </c>
      <c r="C362" t="s">
        <v>259</v>
      </c>
      <c r="D362" s="15" t="s">
        <v>273</v>
      </c>
      <c r="E362" t="s">
        <v>274</v>
      </c>
      <c r="F362" t="s">
        <v>1225</v>
      </c>
    </row>
    <row r="363" spans="1:7">
      <c r="A363" s="14" t="s">
        <v>1226</v>
      </c>
      <c r="B363" t="s">
        <v>1227</v>
      </c>
      <c r="C363" t="s">
        <v>285</v>
      </c>
      <c r="D363" s="15" t="s">
        <v>3683</v>
      </c>
      <c r="E363" t="s">
        <v>274</v>
      </c>
      <c r="F363" t="s">
        <v>1228</v>
      </c>
    </row>
    <row r="364" spans="1:7">
      <c r="A364" s="14" t="s">
        <v>1229</v>
      </c>
      <c r="B364" t="s">
        <v>1230</v>
      </c>
      <c r="C364" t="s">
        <v>278</v>
      </c>
      <c r="D364" s="15" t="s">
        <v>273</v>
      </c>
      <c r="E364" t="s">
        <v>327</v>
      </c>
      <c r="F364" t="s">
        <v>1231</v>
      </c>
    </row>
    <row r="365" spans="1:7">
      <c r="A365" s="14" t="s">
        <v>1232</v>
      </c>
      <c r="B365" t="s">
        <v>1233</v>
      </c>
      <c r="C365" t="s">
        <v>313</v>
      </c>
      <c r="D365" s="15" t="s">
        <v>273</v>
      </c>
      <c r="E365" t="s">
        <v>274</v>
      </c>
      <c r="F365" t="s">
        <v>1234</v>
      </c>
    </row>
    <row r="366" spans="1:7">
      <c r="A366" s="14" t="s">
        <v>5334</v>
      </c>
      <c r="B366" t="s">
        <v>5335</v>
      </c>
      <c r="C366" t="s">
        <v>288</v>
      </c>
      <c r="D366" s="15" t="s">
        <v>3683</v>
      </c>
      <c r="E366" t="s">
        <v>274</v>
      </c>
      <c r="F366" t="s">
        <v>5336</v>
      </c>
    </row>
    <row r="367" spans="1:7">
      <c r="A367" s="14" t="s">
        <v>1235</v>
      </c>
      <c r="B367" t="s">
        <v>1236</v>
      </c>
      <c r="C367" t="s">
        <v>1237</v>
      </c>
      <c r="D367" s="15" t="s">
        <v>273</v>
      </c>
      <c r="E367" t="s">
        <v>274</v>
      </c>
      <c r="F367" t="s">
        <v>1238</v>
      </c>
    </row>
    <row r="368" spans="1:7">
      <c r="A368" s="14" t="s">
        <v>1239</v>
      </c>
      <c r="B368" t="s">
        <v>1240</v>
      </c>
      <c r="C368" t="s">
        <v>278</v>
      </c>
      <c r="D368" s="15" t="s">
        <v>273</v>
      </c>
      <c r="E368" t="s">
        <v>274</v>
      </c>
      <c r="F368" t="s">
        <v>1241</v>
      </c>
    </row>
    <row r="369" spans="1:6">
      <c r="A369" s="14" t="s">
        <v>1242</v>
      </c>
      <c r="B369" t="s">
        <v>1243</v>
      </c>
      <c r="C369" t="s">
        <v>1244</v>
      </c>
      <c r="D369" s="15" t="s">
        <v>273</v>
      </c>
      <c r="E369" t="s">
        <v>274</v>
      </c>
      <c r="F369" t="s">
        <v>1245</v>
      </c>
    </row>
    <row r="370" spans="1:6">
      <c r="A370" s="14" t="s">
        <v>1246</v>
      </c>
      <c r="B370" t="s">
        <v>1247</v>
      </c>
      <c r="C370" t="s">
        <v>278</v>
      </c>
      <c r="D370" s="15" t="s">
        <v>273</v>
      </c>
      <c r="E370" t="s">
        <v>274</v>
      </c>
      <c r="F370" t="s">
        <v>93</v>
      </c>
    </row>
    <row r="371" spans="1:6">
      <c r="A371" s="14" t="s">
        <v>1248</v>
      </c>
      <c r="B371" t="s">
        <v>94</v>
      </c>
      <c r="C371" t="s">
        <v>278</v>
      </c>
      <c r="D371" s="15" t="s">
        <v>273</v>
      </c>
      <c r="E371" t="s">
        <v>274</v>
      </c>
      <c r="F371" t="s">
        <v>95</v>
      </c>
    </row>
    <row r="372" spans="1:6">
      <c r="A372" s="14" t="s">
        <v>1249</v>
      </c>
      <c r="B372" t="s">
        <v>1250</v>
      </c>
      <c r="C372" t="s">
        <v>1251</v>
      </c>
      <c r="D372" s="15" t="s">
        <v>273</v>
      </c>
      <c r="E372" t="s">
        <v>274</v>
      </c>
      <c r="F372" t="s">
        <v>1252</v>
      </c>
    </row>
    <row r="373" spans="1:6">
      <c r="A373" s="14" t="s">
        <v>1253</v>
      </c>
      <c r="B373" t="s">
        <v>1254</v>
      </c>
      <c r="C373" t="s">
        <v>1244</v>
      </c>
      <c r="D373" s="15" t="s">
        <v>273</v>
      </c>
      <c r="E373" t="s">
        <v>274</v>
      </c>
      <c r="F373" t="s">
        <v>96</v>
      </c>
    </row>
    <row r="374" spans="1:6">
      <c r="A374" s="14" t="s">
        <v>3698</v>
      </c>
      <c r="B374" t="s">
        <v>97</v>
      </c>
      <c r="C374" t="s">
        <v>1255</v>
      </c>
      <c r="D374" s="15" t="s">
        <v>317</v>
      </c>
      <c r="E374" t="s">
        <v>274</v>
      </c>
      <c r="F374" t="s">
        <v>98</v>
      </c>
    </row>
    <row r="375" spans="1:6">
      <c r="A375" s="14" t="s">
        <v>1256</v>
      </c>
      <c r="B375" t="s">
        <v>1257</v>
      </c>
      <c r="C375" t="s">
        <v>278</v>
      </c>
      <c r="D375" s="15" t="s">
        <v>273</v>
      </c>
      <c r="E375" t="s">
        <v>274</v>
      </c>
      <c r="F375" t="s">
        <v>99</v>
      </c>
    </row>
    <row r="376" spans="1:6">
      <c r="A376" s="14" t="s">
        <v>1258</v>
      </c>
      <c r="B376" t="s">
        <v>1259</v>
      </c>
      <c r="C376" t="s">
        <v>237</v>
      </c>
      <c r="D376" s="15" t="s">
        <v>273</v>
      </c>
      <c r="E376" t="s">
        <v>274</v>
      </c>
      <c r="F376" t="s">
        <v>1260</v>
      </c>
    </row>
    <row r="377" spans="1:6">
      <c r="A377" s="14" t="s">
        <v>1261</v>
      </c>
      <c r="B377" t="s">
        <v>1262</v>
      </c>
      <c r="C377" t="s">
        <v>472</v>
      </c>
      <c r="D377" s="15" t="s">
        <v>273</v>
      </c>
      <c r="E377" t="s">
        <v>274</v>
      </c>
      <c r="F377" t="s">
        <v>1263</v>
      </c>
    </row>
    <row r="378" spans="1:6">
      <c r="A378" s="14" t="s">
        <v>1264</v>
      </c>
      <c r="B378" t="s">
        <v>1265</v>
      </c>
      <c r="C378" t="s">
        <v>1266</v>
      </c>
      <c r="D378" s="15" t="s">
        <v>273</v>
      </c>
      <c r="E378" t="s">
        <v>274</v>
      </c>
      <c r="F378" t="s">
        <v>1267</v>
      </c>
    </row>
    <row r="379" spans="1:6">
      <c r="A379" s="14" t="s">
        <v>1268</v>
      </c>
      <c r="B379" t="s">
        <v>1269</v>
      </c>
      <c r="C379" t="s">
        <v>278</v>
      </c>
      <c r="D379" s="15" t="s">
        <v>273</v>
      </c>
      <c r="E379" t="s">
        <v>274</v>
      </c>
      <c r="F379" t="s">
        <v>100</v>
      </c>
    </row>
    <row r="380" spans="1:6">
      <c r="A380" s="14" t="s">
        <v>1270</v>
      </c>
      <c r="B380" t="s">
        <v>1271</v>
      </c>
      <c r="C380" t="s">
        <v>278</v>
      </c>
      <c r="D380" s="15" t="s">
        <v>273</v>
      </c>
      <c r="E380" t="s">
        <v>274</v>
      </c>
      <c r="F380" t="s">
        <v>1272</v>
      </c>
    </row>
    <row r="381" spans="1:6">
      <c r="A381" s="14" t="s">
        <v>4262</v>
      </c>
      <c r="B381" t="s">
        <v>3664</v>
      </c>
      <c r="C381" t="s">
        <v>278</v>
      </c>
      <c r="D381" s="15" t="s">
        <v>273</v>
      </c>
      <c r="E381" t="s">
        <v>274</v>
      </c>
      <c r="F381" t="s">
        <v>4261</v>
      </c>
    </row>
    <row r="382" spans="1:6">
      <c r="A382" s="14" t="s">
        <v>1273</v>
      </c>
      <c r="B382" t="s">
        <v>1274</v>
      </c>
      <c r="C382" t="s">
        <v>273</v>
      </c>
      <c r="D382" s="15" t="s">
        <v>273</v>
      </c>
      <c r="E382" t="s">
        <v>327</v>
      </c>
      <c r="F382" t="s">
        <v>1275</v>
      </c>
    </row>
    <row r="383" spans="1:6">
      <c r="A383" s="14" t="s">
        <v>1276</v>
      </c>
      <c r="B383" t="s">
        <v>1277</v>
      </c>
      <c r="C383" t="s">
        <v>278</v>
      </c>
      <c r="D383" s="15" t="s">
        <v>273</v>
      </c>
      <c r="E383" t="s">
        <v>327</v>
      </c>
      <c r="F383" t="s">
        <v>1278</v>
      </c>
    </row>
    <row r="384" spans="1:6">
      <c r="A384" s="14" t="s">
        <v>3661</v>
      </c>
      <c r="B384" t="s">
        <v>1279</v>
      </c>
      <c r="C384" t="s">
        <v>278</v>
      </c>
      <c r="D384" s="15" t="s">
        <v>273</v>
      </c>
      <c r="E384" t="s">
        <v>274</v>
      </c>
      <c r="F384" t="s">
        <v>101</v>
      </c>
    </row>
    <row r="385" spans="1:6">
      <c r="A385" s="14" t="s">
        <v>1280</v>
      </c>
      <c r="B385" t="s">
        <v>1281</v>
      </c>
      <c r="C385" t="s">
        <v>1282</v>
      </c>
      <c r="D385" s="15" t="s">
        <v>3686</v>
      </c>
      <c r="E385" t="s">
        <v>274</v>
      </c>
      <c r="F385" t="s">
        <v>1283</v>
      </c>
    </row>
    <row r="386" spans="1:6">
      <c r="A386" s="14" t="s">
        <v>1284</v>
      </c>
      <c r="B386" t="s">
        <v>1285</v>
      </c>
      <c r="C386" t="s">
        <v>278</v>
      </c>
      <c r="D386" s="15" t="s">
        <v>273</v>
      </c>
      <c r="E386" t="s">
        <v>274</v>
      </c>
      <c r="F386" t="s">
        <v>1286</v>
      </c>
    </row>
    <row r="387" spans="1:6">
      <c r="A387" s="14" t="s">
        <v>1287</v>
      </c>
      <c r="B387" t="s">
        <v>1288</v>
      </c>
      <c r="C387" t="s">
        <v>278</v>
      </c>
      <c r="D387" s="15" t="s">
        <v>273</v>
      </c>
      <c r="E387" t="s">
        <v>274</v>
      </c>
      <c r="F387" t="s">
        <v>1289</v>
      </c>
    </row>
    <row r="388" spans="1:6">
      <c r="A388" s="14" t="s">
        <v>1290</v>
      </c>
      <c r="B388" t="s">
        <v>1291</v>
      </c>
      <c r="C388" t="s">
        <v>278</v>
      </c>
      <c r="D388" s="15" t="s">
        <v>273</v>
      </c>
      <c r="E388" t="s">
        <v>274</v>
      </c>
      <c r="F388" t="s">
        <v>1292</v>
      </c>
    </row>
    <row r="389" spans="1:6">
      <c r="A389" s="14" t="s">
        <v>1293</v>
      </c>
      <c r="B389" t="s">
        <v>1294</v>
      </c>
      <c r="C389" t="s">
        <v>278</v>
      </c>
      <c r="D389" s="15" t="s">
        <v>273</v>
      </c>
      <c r="E389" t="s">
        <v>274</v>
      </c>
      <c r="F389" t="s">
        <v>102</v>
      </c>
    </row>
    <row r="390" spans="1:6">
      <c r="A390" s="14" t="s">
        <v>1295</v>
      </c>
      <c r="B390" t="s">
        <v>1296</v>
      </c>
      <c r="C390" t="s">
        <v>254</v>
      </c>
      <c r="D390" s="15" t="s">
        <v>273</v>
      </c>
      <c r="E390" t="s">
        <v>274</v>
      </c>
      <c r="F390" t="s">
        <v>103</v>
      </c>
    </row>
    <row r="391" spans="1:6">
      <c r="A391" s="14" t="s">
        <v>1298</v>
      </c>
      <c r="B391" t="s">
        <v>1299</v>
      </c>
      <c r="C391" t="s">
        <v>278</v>
      </c>
      <c r="D391" s="15" t="s">
        <v>273</v>
      </c>
      <c r="E391" t="s">
        <v>274</v>
      </c>
      <c r="F391" t="s">
        <v>1300</v>
      </c>
    </row>
    <row r="392" spans="1:6">
      <c r="A392" s="14" t="s">
        <v>3722</v>
      </c>
      <c r="B392" t="s">
        <v>3723</v>
      </c>
      <c r="C392" t="s">
        <v>366</v>
      </c>
      <c r="D392" s="15" t="s">
        <v>273</v>
      </c>
      <c r="E392" t="s">
        <v>274</v>
      </c>
      <c r="F392" t="s">
        <v>3724</v>
      </c>
    </row>
    <row r="393" spans="1:6">
      <c r="A393" s="14" t="s">
        <v>3872</v>
      </c>
      <c r="B393" t="s">
        <v>3873</v>
      </c>
      <c r="C393" t="s">
        <v>278</v>
      </c>
      <c r="D393" s="15" t="s">
        <v>273</v>
      </c>
      <c r="E393" t="s">
        <v>274</v>
      </c>
      <c r="F393" t="s">
        <v>3874</v>
      </c>
    </row>
    <row r="394" spans="1:6">
      <c r="A394" s="14" t="s">
        <v>1301</v>
      </c>
      <c r="B394" t="s">
        <v>1302</v>
      </c>
      <c r="C394" t="s">
        <v>278</v>
      </c>
      <c r="D394" s="15" t="s">
        <v>273</v>
      </c>
      <c r="E394" t="s">
        <v>274</v>
      </c>
      <c r="F394" t="s">
        <v>1303</v>
      </c>
    </row>
    <row r="395" spans="1:6">
      <c r="A395" s="14" t="s">
        <v>1304</v>
      </c>
      <c r="B395" t="s">
        <v>1305</v>
      </c>
      <c r="C395" t="s">
        <v>1186</v>
      </c>
      <c r="D395" s="15" t="s">
        <v>273</v>
      </c>
      <c r="E395" t="s">
        <v>274</v>
      </c>
      <c r="F395" t="s">
        <v>1306</v>
      </c>
    </row>
    <row r="396" spans="1:6">
      <c r="A396" s="14" t="s">
        <v>1307</v>
      </c>
      <c r="B396" t="s">
        <v>1308</v>
      </c>
      <c r="C396" t="s">
        <v>278</v>
      </c>
      <c r="D396" s="15" t="s">
        <v>273</v>
      </c>
      <c r="E396" t="s">
        <v>274</v>
      </c>
      <c r="F396" t="s">
        <v>1309</v>
      </c>
    </row>
    <row r="397" spans="1:6">
      <c r="A397" s="14" t="s">
        <v>1310</v>
      </c>
      <c r="B397" t="s">
        <v>1311</v>
      </c>
      <c r="C397" t="s">
        <v>1312</v>
      </c>
      <c r="D397" s="15" t="s">
        <v>1313</v>
      </c>
      <c r="E397" t="s">
        <v>274</v>
      </c>
      <c r="F397" t="s">
        <v>1314</v>
      </c>
    </row>
    <row r="398" spans="1:6">
      <c r="A398" s="14" t="s">
        <v>1315</v>
      </c>
      <c r="B398" t="s">
        <v>1316</v>
      </c>
      <c r="C398" t="s">
        <v>1317</v>
      </c>
      <c r="D398" s="15" t="s">
        <v>34</v>
      </c>
      <c r="E398" t="s">
        <v>274</v>
      </c>
      <c r="F398" t="s">
        <v>1318</v>
      </c>
    </row>
    <row r="399" spans="1:6">
      <c r="A399" s="14" t="s">
        <v>1319</v>
      </c>
      <c r="B399" t="s">
        <v>1320</v>
      </c>
      <c r="C399" t="s">
        <v>278</v>
      </c>
      <c r="D399" s="15" t="s">
        <v>273</v>
      </c>
      <c r="E399" t="s">
        <v>274</v>
      </c>
      <c r="F399" t="s">
        <v>1321</v>
      </c>
    </row>
    <row r="400" spans="1:6">
      <c r="A400" s="14" t="s">
        <v>3854</v>
      </c>
      <c r="B400" t="s">
        <v>3855</v>
      </c>
      <c r="C400" t="s">
        <v>3856</v>
      </c>
      <c r="D400" s="15" t="s">
        <v>295</v>
      </c>
      <c r="E400" t="s">
        <v>274</v>
      </c>
      <c r="F400" t="s">
        <v>3857</v>
      </c>
    </row>
    <row r="401" spans="1:6">
      <c r="A401" s="14" t="s">
        <v>4098</v>
      </c>
      <c r="B401" t="s">
        <v>4099</v>
      </c>
      <c r="C401" t="s">
        <v>288</v>
      </c>
      <c r="D401" s="15" t="s">
        <v>3683</v>
      </c>
      <c r="E401" t="s">
        <v>274</v>
      </c>
      <c r="F401" t="s">
        <v>4100</v>
      </c>
    </row>
    <row r="402" spans="1:6">
      <c r="A402" s="14" t="s">
        <v>1322</v>
      </c>
      <c r="B402" t="s">
        <v>1323</v>
      </c>
      <c r="C402" t="s">
        <v>1324</v>
      </c>
      <c r="D402" s="15" t="s">
        <v>295</v>
      </c>
      <c r="E402" t="s">
        <v>274</v>
      </c>
      <c r="F402" t="s">
        <v>1325</v>
      </c>
    </row>
    <row r="403" spans="1:6">
      <c r="A403" s="14" t="s">
        <v>1326</v>
      </c>
      <c r="B403" t="s">
        <v>1327</v>
      </c>
      <c r="C403" t="s">
        <v>278</v>
      </c>
      <c r="D403" s="15" t="s">
        <v>273</v>
      </c>
      <c r="E403" t="s">
        <v>274</v>
      </c>
      <c r="F403" t="s">
        <v>1328</v>
      </c>
    </row>
    <row r="404" spans="1:6">
      <c r="A404" s="14" t="s">
        <v>1329</v>
      </c>
      <c r="B404" t="s">
        <v>1330</v>
      </c>
      <c r="C404" t="s">
        <v>601</v>
      </c>
      <c r="D404" s="15" t="s">
        <v>374</v>
      </c>
      <c r="E404" t="s">
        <v>274</v>
      </c>
      <c r="F404" t="s">
        <v>1331</v>
      </c>
    </row>
    <row r="405" spans="1:6">
      <c r="A405" s="14" t="s">
        <v>1332</v>
      </c>
      <c r="B405" t="s">
        <v>1333</v>
      </c>
      <c r="C405" t="s">
        <v>278</v>
      </c>
      <c r="D405" s="15" t="s">
        <v>273</v>
      </c>
      <c r="E405" t="s">
        <v>327</v>
      </c>
      <c r="F405" t="s">
        <v>1334</v>
      </c>
    </row>
    <row r="406" spans="1:6">
      <c r="A406" s="14" t="s">
        <v>1335</v>
      </c>
      <c r="B406" t="s">
        <v>1336</v>
      </c>
      <c r="C406" t="s">
        <v>278</v>
      </c>
      <c r="D406" s="15" t="s">
        <v>273</v>
      </c>
      <c r="E406" t="s">
        <v>327</v>
      </c>
      <c r="F406" t="s">
        <v>1337</v>
      </c>
    </row>
    <row r="407" spans="1:6">
      <c r="A407" s="14" t="s">
        <v>1338</v>
      </c>
      <c r="B407" t="s">
        <v>1339</v>
      </c>
      <c r="C407" t="s">
        <v>366</v>
      </c>
      <c r="D407" s="15" t="s">
        <v>273</v>
      </c>
      <c r="E407" t="s">
        <v>274</v>
      </c>
      <c r="F407" t="s">
        <v>104</v>
      </c>
    </row>
    <row r="408" spans="1:6">
      <c r="A408" s="14" t="s">
        <v>1340</v>
      </c>
      <c r="B408" t="s">
        <v>1341</v>
      </c>
      <c r="C408" t="s">
        <v>278</v>
      </c>
      <c r="D408" s="15" t="s">
        <v>273</v>
      </c>
      <c r="E408" t="s">
        <v>274</v>
      </c>
      <c r="F408" t="s">
        <v>1342</v>
      </c>
    </row>
    <row r="409" spans="1:6">
      <c r="A409" s="14" t="s">
        <v>1343</v>
      </c>
      <c r="B409" t="s">
        <v>1341</v>
      </c>
      <c r="C409" t="s">
        <v>278</v>
      </c>
      <c r="D409" s="15" t="s">
        <v>273</v>
      </c>
      <c r="E409" t="s">
        <v>327</v>
      </c>
      <c r="F409" t="s">
        <v>1344</v>
      </c>
    </row>
    <row r="410" spans="1:6">
      <c r="A410" s="14" t="s">
        <v>1345</v>
      </c>
      <c r="B410" t="s">
        <v>1346</v>
      </c>
      <c r="C410" t="s">
        <v>374</v>
      </c>
      <c r="D410" s="15" t="s">
        <v>236</v>
      </c>
      <c r="E410" t="s">
        <v>274</v>
      </c>
      <c r="F410" t="s">
        <v>1347</v>
      </c>
    </row>
    <row r="411" spans="1:6">
      <c r="A411" s="14" t="s">
        <v>3941</v>
      </c>
      <c r="B411" t="s">
        <v>3942</v>
      </c>
      <c r="C411" t="s">
        <v>278</v>
      </c>
      <c r="D411" s="15" t="s">
        <v>273</v>
      </c>
      <c r="E411" t="s">
        <v>274</v>
      </c>
      <c r="F411" t="s">
        <v>3943</v>
      </c>
    </row>
    <row r="412" spans="1:6">
      <c r="A412" s="14" t="s">
        <v>1348</v>
      </c>
      <c r="B412" t="s">
        <v>1349</v>
      </c>
      <c r="C412" t="s">
        <v>278</v>
      </c>
      <c r="D412" s="15" t="s">
        <v>273</v>
      </c>
      <c r="E412" t="s">
        <v>274</v>
      </c>
      <c r="F412" t="s">
        <v>513</v>
      </c>
    </row>
    <row r="413" spans="1:6">
      <c r="A413" s="14" t="s">
        <v>1350</v>
      </c>
      <c r="B413" t="s">
        <v>1351</v>
      </c>
      <c r="C413" t="s">
        <v>366</v>
      </c>
      <c r="D413" s="15" t="s">
        <v>273</v>
      </c>
      <c r="E413" t="s">
        <v>274</v>
      </c>
      <c r="F413" t="s">
        <v>1352</v>
      </c>
    </row>
    <row r="414" spans="1:6">
      <c r="A414" s="14" t="s">
        <v>1353</v>
      </c>
      <c r="B414" t="s">
        <v>1354</v>
      </c>
      <c r="C414" t="s">
        <v>295</v>
      </c>
      <c r="D414" s="15" t="s">
        <v>34</v>
      </c>
      <c r="E414" t="s">
        <v>274</v>
      </c>
      <c r="F414" t="s">
        <v>1355</v>
      </c>
    </row>
    <row r="415" spans="1:6">
      <c r="A415" s="14" t="s">
        <v>3769</v>
      </c>
      <c r="B415" t="s">
        <v>3767</v>
      </c>
      <c r="C415" t="s">
        <v>374</v>
      </c>
      <c r="D415" s="15" t="s">
        <v>273</v>
      </c>
      <c r="E415" t="s">
        <v>274</v>
      </c>
      <c r="F415" t="s">
        <v>3768</v>
      </c>
    </row>
    <row r="416" spans="1:6">
      <c r="A416" s="14" t="s">
        <v>1356</v>
      </c>
      <c r="B416" t="s">
        <v>1357</v>
      </c>
      <c r="C416" t="s">
        <v>288</v>
      </c>
      <c r="D416" s="15" t="s">
        <v>273</v>
      </c>
      <c r="E416" t="s">
        <v>274</v>
      </c>
      <c r="F416" t="s">
        <v>1358</v>
      </c>
    </row>
    <row r="417" spans="1:8">
      <c r="A417" s="14" t="s">
        <v>3948</v>
      </c>
      <c r="B417" t="s">
        <v>3949</v>
      </c>
      <c r="C417" t="s">
        <v>278</v>
      </c>
      <c r="D417" s="15" t="s">
        <v>273</v>
      </c>
      <c r="E417" t="s">
        <v>274</v>
      </c>
      <c r="F417" t="s">
        <v>3950</v>
      </c>
    </row>
    <row r="418" spans="1:8">
      <c r="A418" s="14" t="s">
        <v>3884</v>
      </c>
      <c r="B418" t="s">
        <v>3885</v>
      </c>
      <c r="C418" t="s">
        <v>288</v>
      </c>
      <c r="D418" s="15" t="s">
        <v>273</v>
      </c>
      <c r="E418" t="s">
        <v>274</v>
      </c>
      <c r="F418" t="s">
        <v>3886</v>
      </c>
    </row>
    <row r="419" spans="1:8">
      <c r="A419" s="14" t="s">
        <v>1359</v>
      </c>
      <c r="B419" t="s">
        <v>1360</v>
      </c>
      <c r="C419" t="s">
        <v>278</v>
      </c>
      <c r="D419" s="15" t="s">
        <v>273</v>
      </c>
      <c r="E419" t="s">
        <v>274</v>
      </c>
      <c r="F419" t="s">
        <v>1361</v>
      </c>
    </row>
    <row r="420" spans="1:8">
      <c r="A420" s="14" t="s">
        <v>1362</v>
      </c>
      <c r="B420" t="s">
        <v>1363</v>
      </c>
      <c r="C420" t="s">
        <v>245</v>
      </c>
      <c r="D420" s="15" t="s">
        <v>273</v>
      </c>
      <c r="E420" t="s">
        <v>274</v>
      </c>
      <c r="F420" t="s">
        <v>1364</v>
      </c>
    </row>
    <row r="421" spans="1:8">
      <c r="A421" s="14" t="s">
        <v>1365</v>
      </c>
      <c r="B421" t="s">
        <v>1366</v>
      </c>
      <c r="C421" t="s">
        <v>1367</v>
      </c>
      <c r="D421" s="15" t="s">
        <v>273</v>
      </c>
      <c r="E421" t="s">
        <v>274</v>
      </c>
      <c r="F421" t="s">
        <v>1368</v>
      </c>
      <c r="H421" s="19"/>
    </row>
    <row r="422" spans="1:8">
      <c r="A422" s="14" t="s">
        <v>1369</v>
      </c>
      <c r="B422" t="s">
        <v>1370</v>
      </c>
      <c r="C422" t="s">
        <v>684</v>
      </c>
      <c r="D422" s="15" t="s">
        <v>34</v>
      </c>
      <c r="E422" t="s">
        <v>274</v>
      </c>
      <c r="F422" t="s">
        <v>1371</v>
      </c>
    </row>
    <row r="423" spans="1:8">
      <c r="A423" s="14" t="s">
        <v>1372</v>
      </c>
      <c r="B423" t="s">
        <v>1373</v>
      </c>
      <c r="C423" t="s">
        <v>374</v>
      </c>
      <c r="D423" s="15" t="s">
        <v>236</v>
      </c>
      <c r="E423" t="s">
        <v>274</v>
      </c>
      <c r="F423" t="s">
        <v>1374</v>
      </c>
    </row>
    <row r="424" spans="1:8">
      <c r="A424" s="14" t="s">
        <v>1375</v>
      </c>
      <c r="B424" t="s">
        <v>1376</v>
      </c>
      <c r="C424" t="s">
        <v>278</v>
      </c>
      <c r="D424" s="15" t="s">
        <v>273</v>
      </c>
      <c r="E424" t="s">
        <v>274</v>
      </c>
      <c r="F424" t="s">
        <v>1377</v>
      </c>
    </row>
    <row r="425" spans="1:8">
      <c r="A425" s="14" t="s">
        <v>1378</v>
      </c>
      <c r="B425" t="s">
        <v>1379</v>
      </c>
      <c r="C425" t="s">
        <v>273</v>
      </c>
      <c r="D425" s="15" t="s">
        <v>273</v>
      </c>
      <c r="E425" t="s">
        <v>274</v>
      </c>
      <c r="F425" t="s">
        <v>1380</v>
      </c>
      <c r="G425" s="15"/>
    </row>
    <row r="426" spans="1:8">
      <c r="A426" s="14" t="s">
        <v>1381</v>
      </c>
      <c r="B426" t="s">
        <v>1382</v>
      </c>
      <c r="C426" t="s">
        <v>278</v>
      </c>
      <c r="D426" s="15" t="s">
        <v>273</v>
      </c>
      <c r="E426" t="s">
        <v>274</v>
      </c>
      <c r="F426" t="s">
        <v>1383</v>
      </c>
    </row>
    <row r="427" spans="1:8">
      <c r="A427" s="14" t="s">
        <v>5216</v>
      </c>
      <c r="B427" s="14" t="s">
        <v>5217</v>
      </c>
      <c r="C427" s="14" t="s">
        <v>288</v>
      </c>
      <c r="D427" s="15" t="s">
        <v>3736</v>
      </c>
      <c r="E427" s="14" t="s">
        <v>274</v>
      </c>
      <c r="F427" s="14" t="s">
        <v>5218</v>
      </c>
    </row>
    <row r="428" spans="1:8">
      <c r="A428" s="14" t="s">
        <v>1384</v>
      </c>
      <c r="B428" t="s">
        <v>1385</v>
      </c>
      <c r="C428" t="s">
        <v>278</v>
      </c>
      <c r="D428" s="15" t="s">
        <v>273</v>
      </c>
      <c r="E428" t="s">
        <v>274</v>
      </c>
      <c r="F428" t="s">
        <v>1386</v>
      </c>
    </row>
    <row r="429" spans="1:8">
      <c r="A429" s="14" t="s">
        <v>1387</v>
      </c>
      <c r="B429" t="s">
        <v>1388</v>
      </c>
      <c r="C429" t="s">
        <v>1389</v>
      </c>
      <c r="D429" s="15" t="s">
        <v>273</v>
      </c>
      <c r="E429" t="s">
        <v>274</v>
      </c>
      <c r="F429" t="s">
        <v>105</v>
      </c>
    </row>
    <row r="430" spans="1:8">
      <c r="A430" s="14" t="s">
        <v>1390</v>
      </c>
      <c r="B430" t="s">
        <v>1391</v>
      </c>
      <c r="C430" t="s">
        <v>480</v>
      </c>
      <c r="D430" s="15" t="s">
        <v>273</v>
      </c>
      <c r="E430" t="s">
        <v>274</v>
      </c>
      <c r="F430" t="s">
        <v>1392</v>
      </c>
    </row>
    <row r="431" spans="1:8">
      <c r="A431" s="14" t="s">
        <v>1393</v>
      </c>
      <c r="B431" t="s">
        <v>1394</v>
      </c>
      <c r="C431" t="s">
        <v>924</v>
      </c>
      <c r="D431" s="15" t="s">
        <v>273</v>
      </c>
      <c r="E431" t="s">
        <v>274</v>
      </c>
      <c r="F431" t="s">
        <v>106</v>
      </c>
    </row>
    <row r="432" spans="1:8">
      <c r="A432" s="14" t="s">
        <v>1395</v>
      </c>
      <c r="B432" t="s">
        <v>1396</v>
      </c>
      <c r="C432" t="s">
        <v>1397</v>
      </c>
      <c r="D432" s="15" t="s">
        <v>34</v>
      </c>
      <c r="E432" t="s">
        <v>274</v>
      </c>
      <c r="F432" t="s">
        <v>1398</v>
      </c>
    </row>
    <row r="433" spans="1:7">
      <c r="A433" s="14" t="s">
        <v>1399</v>
      </c>
      <c r="B433" t="s">
        <v>1400</v>
      </c>
      <c r="C433" t="s">
        <v>237</v>
      </c>
      <c r="D433" s="15" t="s">
        <v>273</v>
      </c>
      <c r="E433" t="s">
        <v>274</v>
      </c>
      <c r="F433" t="s">
        <v>1401</v>
      </c>
    </row>
    <row r="434" spans="1:7">
      <c r="A434" s="14" t="s">
        <v>1402</v>
      </c>
      <c r="B434" t="s">
        <v>1403</v>
      </c>
      <c r="C434" t="s">
        <v>288</v>
      </c>
      <c r="D434" s="15" t="s">
        <v>273</v>
      </c>
      <c r="E434" t="s">
        <v>274</v>
      </c>
      <c r="F434" t="s">
        <v>1404</v>
      </c>
    </row>
    <row r="435" spans="1:7">
      <c r="A435" s="14" t="s">
        <v>1405</v>
      </c>
      <c r="B435" t="s">
        <v>107</v>
      </c>
      <c r="C435" t="s">
        <v>278</v>
      </c>
      <c r="D435" s="15" t="s">
        <v>273</v>
      </c>
      <c r="E435" t="s">
        <v>274</v>
      </c>
      <c r="F435" t="s">
        <v>108</v>
      </c>
    </row>
    <row r="436" spans="1:7">
      <c r="A436" s="14" t="s">
        <v>3725</v>
      </c>
      <c r="B436" t="s">
        <v>3726</v>
      </c>
      <c r="C436" t="s">
        <v>278</v>
      </c>
      <c r="D436" s="15" t="s">
        <v>273</v>
      </c>
      <c r="E436" t="s">
        <v>274</v>
      </c>
      <c r="F436" t="s">
        <v>3727</v>
      </c>
    </row>
    <row r="437" spans="1:7">
      <c r="A437" s="14" t="s">
        <v>4508</v>
      </c>
      <c r="B437" s="14" t="s">
        <v>4509</v>
      </c>
      <c r="C437" s="14" t="s">
        <v>278</v>
      </c>
      <c r="D437" s="15" t="s">
        <v>3736</v>
      </c>
      <c r="E437" s="14" t="s">
        <v>327</v>
      </c>
      <c r="F437" s="14" t="s">
        <v>4510</v>
      </c>
    </row>
    <row r="438" spans="1:7">
      <c r="A438" s="14" t="s">
        <v>1406</v>
      </c>
      <c r="B438" t="s">
        <v>1407</v>
      </c>
      <c r="C438" t="s">
        <v>288</v>
      </c>
      <c r="D438" s="15" t="s">
        <v>273</v>
      </c>
      <c r="E438" t="s">
        <v>274</v>
      </c>
      <c r="F438" t="s">
        <v>1408</v>
      </c>
    </row>
    <row r="439" spans="1:7">
      <c r="A439" s="14" t="s">
        <v>3858</v>
      </c>
      <c r="B439" t="s">
        <v>3859</v>
      </c>
      <c r="C439" t="s">
        <v>584</v>
      </c>
      <c r="D439" s="15" t="s">
        <v>273</v>
      </c>
      <c r="E439" t="s">
        <v>274</v>
      </c>
      <c r="F439" t="s">
        <v>3860</v>
      </c>
    </row>
    <row r="440" spans="1:7">
      <c r="A440" s="14" t="s">
        <v>1409</v>
      </c>
      <c r="B440" t="s">
        <v>1410</v>
      </c>
      <c r="C440" t="s">
        <v>285</v>
      </c>
      <c r="D440" s="15" t="s">
        <v>3683</v>
      </c>
      <c r="E440" t="s">
        <v>274</v>
      </c>
      <c r="F440" t="s">
        <v>109</v>
      </c>
    </row>
    <row r="441" spans="1:7">
      <c r="A441" s="14" t="s">
        <v>1411</v>
      </c>
      <c r="B441" t="s">
        <v>1412</v>
      </c>
      <c r="C441" t="s">
        <v>1413</v>
      </c>
      <c r="D441" s="15" t="s">
        <v>273</v>
      </c>
      <c r="E441" t="s">
        <v>327</v>
      </c>
      <c r="F441" t="s">
        <v>1414</v>
      </c>
      <c r="G441" s="14"/>
    </row>
    <row r="442" spans="1:7">
      <c r="A442" s="14" t="s">
        <v>1415</v>
      </c>
      <c r="B442" t="s">
        <v>1416</v>
      </c>
      <c r="C442" t="s">
        <v>1417</v>
      </c>
      <c r="D442" s="15" t="s">
        <v>34</v>
      </c>
      <c r="E442" t="s">
        <v>274</v>
      </c>
      <c r="F442" t="s">
        <v>1418</v>
      </c>
    </row>
    <row r="443" spans="1:7">
      <c r="A443" s="14" t="s">
        <v>3968</v>
      </c>
      <c r="B443" t="s">
        <v>3969</v>
      </c>
      <c r="C443" t="s">
        <v>278</v>
      </c>
      <c r="D443" s="15" t="s">
        <v>3736</v>
      </c>
      <c r="E443" t="s">
        <v>274</v>
      </c>
      <c r="F443" t="s">
        <v>3970</v>
      </c>
    </row>
    <row r="444" spans="1:7">
      <c r="A444" s="14" t="s">
        <v>1419</v>
      </c>
      <c r="B444" t="s">
        <v>1420</v>
      </c>
      <c r="C444" t="s">
        <v>254</v>
      </c>
      <c r="D444" s="15" t="s">
        <v>273</v>
      </c>
      <c r="E444" t="s">
        <v>274</v>
      </c>
      <c r="F444" t="s">
        <v>1421</v>
      </c>
    </row>
    <row r="445" spans="1:7">
      <c r="A445" s="14" t="s">
        <v>1422</v>
      </c>
      <c r="B445" t="s">
        <v>1423</v>
      </c>
      <c r="C445" t="s">
        <v>278</v>
      </c>
      <c r="D445" s="15" t="s">
        <v>273</v>
      </c>
      <c r="E445" t="s">
        <v>274</v>
      </c>
      <c r="F445" t="s">
        <v>1424</v>
      </c>
    </row>
    <row r="446" spans="1:7">
      <c r="A446" s="14" t="s">
        <v>1425</v>
      </c>
      <c r="B446" t="s">
        <v>1426</v>
      </c>
      <c r="C446" t="s">
        <v>278</v>
      </c>
      <c r="D446" s="15" t="s">
        <v>273</v>
      </c>
      <c r="E446" t="s">
        <v>274</v>
      </c>
      <c r="F446" t="s">
        <v>1427</v>
      </c>
    </row>
    <row r="447" spans="1:7">
      <c r="A447" s="14" t="s">
        <v>1428</v>
      </c>
      <c r="B447" t="s">
        <v>1429</v>
      </c>
      <c r="C447" t="s">
        <v>387</v>
      </c>
      <c r="D447" s="15" t="s">
        <v>273</v>
      </c>
      <c r="E447" t="s">
        <v>274</v>
      </c>
      <c r="F447" t="s">
        <v>1430</v>
      </c>
    </row>
    <row r="448" spans="1:7">
      <c r="A448" s="14" t="s">
        <v>1431</v>
      </c>
      <c r="B448" t="s">
        <v>1432</v>
      </c>
      <c r="C448" t="s">
        <v>273</v>
      </c>
      <c r="D448" s="15" t="s">
        <v>273</v>
      </c>
      <c r="E448" t="s">
        <v>274</v>
      </c>
      <c r="F448" t="s">
        <v>1433</v>
      </c>
    </row>
    <row r="449" spans="1:6">
      <c r="A449" s="14" t="s">
        <v>1434</v>
      </c>
      <c r="B449" t="s">
        <v>1435</v>
      </c>
      <c r="C449" t="s">
        <v>244</v>
      </c>
      <c r="D449" s="15" t="s">
        <v>273</v>
      </c>
      <c r="E449" t="s">
        <v>274</v>
      </c>
      <c r="F449" t="s">
        <v>110</v>
      </c>
    </row>
    <row r="450" spans="1:6">
      <c r="A450" s="14" t="s">
        <v>3944</v>
      </c>
      <c r="B450" t="s">
        <v>3945</v>
      </c>
      <c r="C450" t="s">
        <v>3946</v>
      </c>
      <c r="D450" s="15" t="s">
        <v>273</v>
      </c>
      <c r="E450" t="s">
        <v>274</v>
      </c>
      <c r="F450" t="s">
        <v>3947</v>
      </c>
    </row>
    <row r="451" spans="1:6">
      <c r="A451" s="14" t="s">
        <v>1436</v>
      </c>
      <c r="B451" t="s">
        <v>1437</v>
      </c>
      <c r="C451" t="s">
        <v>1438</v>
      </c>
      <c r="D451" s="15" t="s">
        <v>273</v>
      </c>
      <c r="E451" t="s">
        <v>274</v>
      </c>
      <c r="F451" t="s">
        <v>1439</v>
      </c>
    </row>
    <row r="452" spans="1:6">
      <c r="A452" s="14" t="s">
        <v>1440</v>
      </c>
      <c r="B452" t="s">
        <v>1441</v>
      </c>
      <c r="C452" t="s">
        <v>285</v>
      </c>
      <c r="D452" s="15" t="s">
        <v>3683</v>
      </c>
      <c r="E452" t="s">
        <v>274</v>
      </c>
      <c r="F452" t="s">
        <v>1442</v>
      </c>
    </row>
    <row r="453" spans="1:6">
      <c r="A453" s="14" t="s">
        <v>1443</v>
      </c>
      <c r="B453" t="s">
        <v>1444</v>
      </c>
      <c r="C453" t="s">
        <v>1445</v>
      </c>
      <c r="D453" s="15" t="s">
        <v>273</v>
      </c>
      <c r="E453" t="s">
        <v>274</v>
      </c>
      <c r="F453" t="s">
        <v>1446</v>
      </c>
    </row>
    <row r="454" spans="1:6">
      <c r="A454" s="14" t="s">
        <v>1447</v>
      </c>
      <c r="B454" t="s">
        <v>1448</v>
      </c>
      <c r="C454" t="s">
        <v>278</v>
      </c>
      <c r="D454" s="15" t="s">
        <v>273</v>
      </c>
      <c r="E454" t="s">
        <v>274</v>
      </c>
      <c r="F454" t="s">
        <v>1449</v>
      </c>
    </row>
    <row r="455" spans="1:6">
      <c r="A455" s="14" t="s">
        <v>1450</v>
      </c>
      <c r="B455" t="s">
        <v>1451</v>
      </c>
      <c r="C455" t="s">
        <v>278</v>
      </c>
      <c r="D455" s="15" t="s">
        <v>273</v>
      </c>
      <c r="E455" t="s">
        <v>274</v>
      </c>
      <c r="F455" t="s">
        <v>1452</v>
      </c>
    </row>
    <row r="456" spans="1:6">
      <c r="A456" s="14" t="s">
        <v>1453</v>
      </c>
      <c r="B456" t="s">
        <v>1454</v>
      </c>
      <c r="C456" t="s">
        <v>1455</v>
      </c>
      <c r="D456" s="15" t="s">
        <v>273</v>
      </c>
      <c r="E456" t="s">
        <v>274</v>
      </c>
      <c r="F456" t="s">
        <v>1456</v>
      </c>
    </row>
    <row r="457" spans="1:6">
      <c r="A457" s="14" t="s">
        <v>1457</v>
      </c>
      <c r="B457" t="s">
        <v>1458</v>
      </c>
      <c r="C457" t="s">
        <v>374</v>
      </c>
      <c r="D457" s="15" t="s">
        <v>236</v>
      </c>
      <c r="E457" t="s">
        <v>274</v>
      </c>
      <c r="F457" t="s">
        <v>1459</v>
      </c>
    </row>
    <row r="458" spans="1:6">
      <c r="A458" s="14" t="s">
        <v>3676</v>
      </c>
      <c r="B458" t="s">
        <v>1460</v>
      </c>
      <c r="C458" t="s">
        <v>278</v>
      </c>
      <c r="D458" s="15" t="s">
        <v>273</v>
      </c>
      <c r="E458" t="s">
        <v>274</v>
      </c>
      <c r="F458" t="s">
        <v>111</v>
      </c>
    </row>
    <row r="459" spans="1:6">
      <c r="A459" s="14" t="s">
        <v>1461</v>
      </c>
      <c r="B459" t="s">
        <v>1462</v>
      </c>
      <c r="C459" t="s">
        <v>278</v>
      </c>
      <c r="D459" s="15" t="s">
        <v>273</v>
      </c>
      <c r="E459" t="s">
        <v>274</v>
      </c>
      <c r="F459" t="s">
        <v>1463</v>
      </c>
    </row>
    <row r="460" spans="1:6">
      <c r="A460" s="14" t="s">
        <v>3663</v>
      </c>
      <c r="B460" t="s">
        <v>1464</v>
      </c>
      <c r="C460" t="s">
        <v>278</v>
      </c>
      <c r="D460" s="15" t="s">
        <v>273</v>
      </c>
      <c r="E460" t="s">
        <v>274</v>
      </c>
      <c r="F460" t="s">
        <v>112</v>
      </c>
    </row>
    <row r="461" spans="1:6">
      <c r="A461" s="14" t="s">
        <v>1465</v>
      </c>
      <c r="B461" t="s">
        <v>1466</v>
      </c>
      <c r="C461" t="s">
        <v>278</v>
      </c>
      <c r="D461" s="15" t="s">
        <v>273</v>
      </c>
      <c r="E461" t="s">
        <v>274</v>
      </c>
      <c r="F461" t="s">
        <v>1467</v>
      </c>
    </row>
    <row r="462" spans="1:6">
      <c r="A462" s="14" t="s">
        <v>1468</v>
      </c>
      <c r="B462" t="s">
        <v>1469</v>
      </c>
      <c r="C462" t="s">
        <v>374</v>
      </c>
      <c r="D462" s="15" t="s">
        <v>236</v>
      </c>
      <c r="E462" t="s">
        <v>274</v>
      </c>
      <c r="F462" t="s">
        <v>1470</v>
      </c>
    </row>
    <row r="463" spans="1:6">
      <c r="A463" s="14" t="s">
        <v>1471</v>
      </c>
      <c r="B463" t="s">
        <v>1472</v>
      </c>
      <c r="C463" t="s">
        <v>278</v>
      </c>
      <c r="D463" s="15" t="s">
        <v>273</v>
      </c>
      <c r="E463" t="s">
        <v>274</v>
      </c>
      <c r="F463" t="s">
        <v>1473</v>
      </c>
    </row>
    <row r="464" spans="1:6">
      <c r="A464" s="14" t="s">
        <v>5701</v>
      </c>
      <c r="B464" t="s">
        <v>5702</v>
      </c>
      <c r="C464" t="s">
        <v>278</v>
      </c>
      <c r="D464" s="15" t="s">
        <v>273</v>
      </c>
      <c r="E464" t="s">
        <v>4123</v>
      </c>
    </row>
    <row r="465" spans="1:6">
      <c r="A465" s="14" t="s">
        <v>1474</v>
      </c>
      <c r="B465" t="s">
        <v>113</v>
      </c>
      <c r="C465" t="s">
        <v>239</v>
      </c>
      <c r="D465" s="15" t="s">
        <v>273</v>
      </c>
      <c r="E465" t="s">
        <v>274</v>
      </c>
      <c r="F465" t="s">
        <v>114</v>
      </c>
    </row>
    <row r="466" spans="1:6">
      <c r="A466" s="14" t="s">
        <v>1475</v>
      </c>
      <c r="B466" t="s">
        <v>1476</v>
      </c>
      <c r="C466" t="s">
        <v>245</v>
      </c>
      <c r="D466" s="15" t="s">
        <v>273</v>
      </c>
      <c r="E466" t="s">
        <v>274</v>
      </c>
      <c r="F466" t="s">
        <v>1477</v>
      </c>
    </row>
    <row r="467" spans="1:6">
      <c r="A467" s="14" t="s">
        <v>1478</v>
      </c>
      <c r="B467" t="s">
        <v>1479</v>
      </c>
      <c r="C467" t="s">
        <v>278</v>
      </c>
      <c r="D467" s="15" t="s">
        <v>273</v>
      </c>
      <c r="E467" t="s">
        <v>274</v>
      </c>
      <c r="F467" t="s">
        <v>115</v>
      </c>
    </row>
    <row r="468" spans="1:6">
      <c r="A468" s="14" t="s">
        <v>1480</v>
      </c>
      <c r="B468" t="s">
        <v>1481</v>
      </c>
      <c r="C468" t="s">
        <v>1482</v>
      </c>
      <c r="D468" s="15" t="s">
        <v>273</v>
      </c>
      <c r="E468" t="s">
        <v>274</v>
      </c>
      <c r="F468" t="s">
        <v>1483</v>
      </c>
    </row>
    <row r="469" spans="1:6">
      <c r="A469" s="14" t="s">
        <v>1484</v>
      </c>
      <c r="B469" t="s">
        <v>1485</v>
      </c>
      <c r="C469" t="s">
        <v>1482</v>
      </c>
      <c r="D469" s="15" t="s">
        <v>273</v>
      </c>
      <c r="E469" t="s">
        <v>274</v>
      </c>
      <c r="F469" t="s">
        <v>1486</v>
      </c>
    </row>
    <row r="470" spans="1:6">
      <c r="A470" s="14" t="s">
        <v>1487</v>
      </c>
      <c r="B470" t="s">
        <v>1488</v>
      </c>
      <c r="C470" t="s">
        <v>237</v>
      </c>
      <c r="D470" s="15" t="s">
        <v>273</v>
      </c>
      <c r="E470" t="s">
        <v>274</v>
      </c>
      <c r="F470" t="s">
        <v>1489</v>
      </c>
    </row>
    <row r="471" spans="1:6">
      <c r="A471" s="14" t="s">
        <v>1490</v>
      </c>
      <c r="B471" t="s">
        <v>1491</v>
      </c>
      <c r="C471" t="s">
        <v>278</v>
      </c>
      <c r="D471" s="15" t="s">
        <v>273</v>
      </c>
      <c r="E471" t="s">
        <v>274</v>
      </c>
      <c r="F471" t="s">
        <v>1492</v>
      </c>
    </row>
    <row r="472" spans="1:6">
      <c r="A472" s="14" t="s">
        <v>1493</v>
      </c>
      <c r="B472" t="s">
        <v>1494</v>
      </c>
      <c r="C472" t="s">
        <v>278</v>
      </c>
      <c r="D472" s="15" t="s">
        <v>273</v>
      </c>
      <c r="E472" t="s">
        <v>274</v>
      </c>
      <c r="F472" t="s">
        <v>1495</v>
      </c>
    </row>
    <row r="473" spans="1:6">
      <c r="A473" s="14" t="s">
        <v>5589</v>
      </c>
      <c r="B473" s="14" t="s">
        <v>5345</v>
      </c>
      <c r="C473" s="14" t="s">
        <v>288</v>
      </c>
      <c r="D473" s="15" t="s">
        <v>5317</v>
      </c>
      <c r="E473" s="14" t="s">
        <v>274</v>
      </c>
      <c r="F473" s="14" t="s">
        <v>5344</v>
      </c>
    </row>
    <row r="474" spans="1:6">
      <c r="A474" s="14" t="s">
        <v>3957</v>
      </c>
      <c r="B474" t="s">
        <v>3958</v>
      </c>
      <c r="C474" t="s">
        <v>3736</v>
      </c>
      <c r="D474" s="15" t="s">
        <v>3839</v>
      </c>
      <c r="E474" t="s">
        <v>274</v>
      </c>
      <c r="F474" t="s">
        <v>3959</v>
      </c>
    </row>
    <row r="475" spans="1:6">
      <c r="A475" s="14" t="s">
        <v>1496</v>
      </c>
      <c r="B475" t="s">
        <v>1497</v>
      </c>
      <c r="C475" t="s">
        <v>288</v>
      </c>
      <c r="D475" s="15" t="s">
        <v>3683</v>
      </c>
      <c r="E475" t="s">
        <v>279</v>
      </c>
      <c r="F475" t="s">
        <v>1498</v>
      </c>
    </row>
    <row r="476" spans="1:6">
      <c r="A476" s="14" t="s">
        <v>1499</v>
      </c>
      <c r="B476" t="s">
        <v>1500</v>
      </c>
      <c r="C476" t="s">
        <v>288</v>
      </c>
      <c r="D476" s="15" t="s">
        <v>374</v>
      </c>
      <c r="E476" t="s">
        <v>274</v>
      </c>
      <c r="F476" t="s">
        <v>1501</v>
      </c>
    </row>
    <row r="477" spans="1:6">
      <c r="A477" s="14" t="s">
        <v>1502</v>
      </c>
      <c r="B477" t="s">
        <v>1503</v>
      </c>
      <c r="C477" t="s">
        <v>278</v>
      </c>
      <c r="D477" s="15" t="s">
        <v>273</v>
      </c>
      <c r="E477" t="s">
        <v>274</v>
      </c>
      <c r="F477" t="s">
        <v>1504</v>
      </c>
    </row>
    <row r="478" spans="1:6">
      <c r="A478" s="14" t="s">
        <v>1505</v>
      </c>
      <c r="B478" t="s">
        <v>1506</v>
      </c>
      <c r="C478" t="s">
        <v>3687</v>
      </c>
      <c r="D478" s="15" t="s">
        <v>273</v>
      </c>
      <c r="E478" t="s">
        <v>274</v>
      </c>
      <c r="F478" t="s">
        <v>1507</v>
      </c>
    </row>
    <row r="479" spans="1:6">
      <c r="A479" s="14" t="s">
        <v>3966</v>
      </c>
      <c r="B479"/>
      <c r="C479"/>
      <c r="D479" s="15" t="s">
        <v>273</v>
      </c>
      <c r="E479" t="s">
        <v>274</v>
      </c>
      <c r="F479" t="s">
        <v>3967</v>
      </c>
    </row>
    <row r="480" spans="1:6">
      <c r="A480" s="14" t="s">
        <v>1508</v>
      </c>
      <c r="B480" t="s">
        <v>1509</v>
      </c>
      <c r="C480" t="s">
        <v>278</v>
      </c>
      <c r="D480" s="15" t="s">
        <v>273</v>
      </c>
      <c r="E480" t="s">
        <v>274</v>
      </c>
      <c r="F480" t="s">
        <v>1510</v>
      </c>
    </row>
    <row r="481" spans="1:6">
      <c r="A481" s="14" t="s">
        <v>1511</v>
      </c>
      <c r="B481" t="s">
        <v>1512</v>
      </c>
      <c r="C481" t="s">
        <v>278</v>
      </c>
      <c r="D481" s="15" t="s">
        <v>273</v>
      </c>
      <c r="E481" t="s">
        <v>274</v>
      </c>
      <c r="F481" t="s">
        <v>1513</v>
      </c>
    </row>
    <row r="482" spans="1:6">
      <c r="A482" s="14" t="s">
        <v>1514</v>
      </c>
      <c r="B482" t="s">
        <v>1515</v>
      </c>
      <c r="C482" t="s">
        <v>278</v>
      </c>
      <c r="D482" s="15" t="s">
        <v>273</v>
      </c>
      <c r="E482" t="s">
        <v>327</v>
      </c>
      <c r="F482" t="s">
        <v>1516</v>
      </c>
    </row>
    <row r="483" spans="1:6">
      <c r="A483" s="14" t="s">
        <v>1517</v>
      </c>
      <c r="B483" t="s">
        <v>1518</v>
      </c>
      <c r="C483" t="s">
        <v>1166</v>
      </c>
      <c r="D483" s="15" t="s">
        <v>34</v>
      </c>
      <c r="E483" t="s">
        <v>274</v>
      </c>
      <c r="F483" t="s">
        <v>1519</v>
      </c>
    </row>
    <row r="484" spans="1:6">
      <c r="A484" s="14" t="s">
        <v>1520</v>
      </c>
      <c r="B484">
        <v>3999</v>
      </c>
      <c r="C484" t="s">
        <v>1251</v>
      </c>
      <c r="D484" s="15" t="s">
        <v>273</v>
      </c>
      <c r="E484" t="s">
        <v>274</v>
      </c>
      <c r="F484" t="s">
        <v>1521</v>
      </c>
    </row>
    <row r="485" spans="1:6">
      <c r="A485" s="14" t="s">
        <v>1522</v>
      </c>
      <c r="B485" t="s">
        <v>1523</v>
      </c>
      <c r="C485" t="s">
        <v>278</v>
      </c>
      <c r="D485" s="15" t="s">
        <v>273</v>
      </c>
      <c r="E485" t="s">
        <v>274</v>
      </c>
      <c r="F485" t="s">
        <v>1524</v>
      </c>
    </row>
    <row r="486" spans="1:6">
      <c r="A486" s="14" t="s">
        <v>1525</v>
      </c>
      <c r="B486" t="s">
        <v>1526</v>
      </c>
      <c r="C486" t="s">
        <v>278</v>
      </c>
      <c r="D486" s="15" t="s">
        <v>273</v>
      </c>
      <c r="E486" t="s">
        <v>274</v>
      </c>
      <c r="F486" t="s">
        <v>116</v>
      </c>
    </row>
    <row r="487" spans="1:6">
      <c r="A487" s="14" t="s">
        <v>3914</v>
      </c>
      <c r="B487" t="s">
        <v>3916</v>
      </c>
      <c r="C487" t="s">
        <v>278</v>
      </c>
      <c r="D487" s="15" t="s">
        <v>273</v>
      </c>
      <c r="E487" t="s">
        <v>274</v>
      </c>
      <c r="F487" t="s">
        <v>3915</v>
      </c>
    </row>
    <row r="488" spans="1:6">
      <c r="A488" s="14" t="s">
        <v>1527</v>
      </c>
      <c r="B488" t="s">
        <v>117</v>
      </c>
      <c r="C488" t="s">
        <v>235</v>
      </c>
      <c r="D488" s="15" t="s">
        <v>273</v>
      </c>
      <c r="E488" t="s">
        <v>274</v>
      </c>
      <c r="F488" t="s">
        <v>118</v>
      </c>
    </row>
    <row r="489" spans="1:6">
      <c r="A489" s="14" t="s">
        <v>1528</v>
      </c>
      <c r="B489" t="s">
        <v>1529</v>
      </c>
      <c r="C489" t="s">
        <v>1530</v>
      </c>
      <c r="D489" s="15" t="s">
        <v>273</v>
      </c>
      <c r="E489" t="s">
        <v>274</v>
      </c>
      <c r="F489" t="s">
        <v>1531</v>
      </c>
    </row>
    <row r="490" spans="1:6">
      <c r="A490" s="14" t="s">
        <v>1532</v>
      </c>
      <c r="B490" t="s">
        <v>1533</v>
      </c>
      <c r="C490" t="s">
        <v>718</v>
      </c>
      <c r="D490" s="15" t="s">
        <v>273</v>
      </c>
      <c r="E490" t="s">
        <v>274</v>
      </c>
      <c r="F490" t="s">
        <v>1534</v>
      </c>
    </row>
    <row r="491" spans="1:6">
      <c r="A491" s="14" t="s">
        <v>1535</v>
      </c>
      <c r="B491" t="s">
        <v>1536</v>
      </c>
      <c r="C491" t="s">
        <v>278</v>
      </c>
      <c r="D491" s="15" t="s">
        <v>273</v>
      </c>
      <c r="E491" t="s">
        <v>274</v>
      </c>
      <c r="F491" t="s">
        <v>1537</v>
      </c>
    </row>
    <row r="492" spans="1:6">
      <c r="A492" s="14" t="s">
        <v>1538</v>
      </c>
      <c r="B492" t="s">
        <v>1539</v>
      </c>
      <c r="C492" t="s">
        <v>1540</v>
      </c>
      <c r="D492" s="15" t="s">
        <v>273</v>
      </c>
      <c r="E492" t="s">
        <v>274</v>
      </c>
      <c r="F492" t="s">
        <v>1541</v>
      </c>
    </row>
    <row r="493" spans="1:6">
      <c r="A493" s="14" t="s">
        <v>1542</v>
      </c>
      <c r="B493" t="s">
        <v>1543</v>
      </c>
      <c r="C493" t="s">
        <v>1544</v>
      </c>
      <c r="D493" s="15" t="s">
        <v>273</v>
      </c>
      <c r="E493" t="s">
        <v>327</v>
      </c>
      <c r="F493" t="s">
        <v>1545</v>
      </c>
    </row>
    <row r="494" spans="1:6">
      <c r="A494" s="14" t="s">
        <v>1546</v>
      </c>
      <c r="B494" t="s">
        <v>1547</v>
      </c>
      <c r="C494" t="s">
        <v>1413</v>
      </c>
      <c r="D494" s="15" t="s">
        <v>273</v>
      </c>
      <c r="E494" t="s">
        <v>274</v>
      </c>
      <c r="F494" t="s">
        <v>1548</v>
      </c>
    </row>
    <row r="495" spans="1:6">
      <c r="A495" s="14" t="s">
        <v>1549</v>
      </c>
      <c r="B495" t="s">
        <v>1550</v>
      </c>
      <c r="C495" t="s">
        <v>1445</v>
      </c>
      <c r="D495" s="15" t="s">
        <v>273</v>
      </c>
      <c r="E495" t="s">
        <v>274</v>
      </c>
      <c r="F495" t="s">
        <v>1551</v>
      </c>
    </row>
    <row r="496" spans="1:6">
      <c r="A496" s="14" t="s">
        <v>1552</v>
      </c>
      <c r="B496" t="s">
        <v>1553</v>
      </c>
      <c r="C496" t="s">
        <v>1554</v>
      </c>
      <c r="D496" s="15" t="s">
        <v>34</v>
      </c>
      <c r="E496" t="s">
        <v>274</v>
      </c>
      <c r="F496" t="s">
        <v>1555</v>
      </c>
    </row>
    <row r="497" spans="1:6">
      <c r="A497" s="14" t="s">
        <v>1556</v>
      </c>
      <c r="B497" t="s">
        <v>1557</v>
      </c>
      <c r="C497" t="s">
        <v>278</v>
      </c>
      <c r="D497" s="15" t="s">
        <v>273</v>
      </c>
      <c r="E497" t="s">
        <v>274</v>
      </c>
      <c r="F497" t="s">
        <v>1558</v>
      </c>
    </row>
    <row r="498" spans="1:6">
      <c r="A498" s="14" t="s">
        <v>1559</v>
      </c>
      <c r="B498" t="s">
        <v>1560</v>
      </c>
      <c r="C498" t="s">
        <v>285</v>
      </c>
      <c r="D498" s="15" t="s">
        <v>3683</v>
      </c>
      <c r="E498" t="s">
        <v>274</v>
      </c>
      <c r="F498" t="s">
        <v>1561</v>
      </c>
    </row>
    <row r="499" spans="1:6">
      <c r="A499" s="14" t="s">
        <v>1562</v>
      </c>
      <c r="B499" t="s">
        <v>1563</v>
      </c>
      <c r="C499" t="s">
        <v>273</v>
      </c>
      <c r="D499" s="15" t="s">
        <v>273</v>
      </c>
      <c r="E499" t="s">
        <v>274</v>
      </c>
      <c r="F499" t="s">
        <v>1564</v>
      </c>
    </row>
    <row r="500" spans="1:6">
      <c r="A500" s="14" t="s">
        <v>1565</v>
      </c>
      <c r="B500" t="s">
        <v>1566</v>
      </c>
      <c r="C500" t="s">
        <v>374</v>
      </c>
      <c r="D500" s="15" t="s">
        <v>236</v>
      </c>
      <c r="E500" t="s">
        <v>274</v>
      </c>
      <c r="F500" t="s">
        <v>1567</v>
      </c>
    </row>
    <row r="501" spans="1:6">
      <c r="A501" s="14" t="s">
        <v>1568</v>
      </c>
      <c r="B501" t="s">
        <v>1569</v>
      </c>
      <c r="C501" t="s">
        <v>829</v>
      </c>
      <c r="D501" s="15" t="s">
        <v>273</v>
      </c>
      <c r="E501" t="s">
        <v>274</v>
      </c>
      <c r="F501" t="s">
        <v>1567</v>
      </c>
    </row>
    <row r="502" spans="1:6">
      <c r="A502" s="14" t="s">
        <v>1570</v>
      </c>
      <c r="B502" t="s">
        <v>1571</v>
      </c>
      <c r="C502" t="s">
        <v>1417</v>
      </c>
      <c r="D502" s="15" t="s">
        <v>34</v>
      </c>
      <c r="E502" t="s">
        <v>274</v>
      </c>
      <c r="F502" t="s">
        <v>1572</v>
      </c>
    </row>
    <row r="503" spans="1:6">
      <c r="A503" s="14" t="s">
        <v>1573</v>
      </c>
      <c r="B503" t="s">
        <v>1574</v>
      </c>
      <c r="C503" t="s">
        <v>433</v>
      </c>
      <c r="D503" s="15" t="s">
        <v>273</v>
      </c>
      <c r="E503" t="s">
        <v>274</v>
      </c>
      <c r="F503" t="s">
        <v>1575</v>
      </c>
    </row>
    <row r="504" spans="1:6">
      <c r="A504" s="14" t="s">
        <v>1576</v>
      </c>
      <c r="B504" t="s">
        <v>1577</v>
      </c>
      <c r="C504" t="s">
        <v>288</v>
      </c>
      <c r="D504" s="15" t="s">
        <v>273</v>
      </c>
      <c r="E504" t="s">
        <v>274</v>
      </c>
      <c r="F504" t="s">
        <v>1578</v>
      </c>
    </row>
    <row r="505" spans="1:6">
      <c r="A505" s="14" t="s">
        <v>1579</v>
      </c>
      <c r="B505" t="s">
        <v>1580</v>
      </c>
      <c r="C505" t="s">
        <v>278</v>
      </c>
      <c r="D505" s="15" t="s">
        <v>273</v>
      </c>
      <c r="E505" t="s">
        <v>274</v>
      </c>
      <c r="F505" t="s">
        <v>1581</v>
      </c>
    </row>
    <row r="506" spans="1:6">
      <c r="A506" s="14" t="s">
        <v>1582</v>
      </c>
      <c r="B506" t="s">
        <v>1583</v>
      </c>
      <c r="C506" t="s">
        <v>1097</v>
      </c>
      <c r="D506" s="15" t="s">
        <v>273</v>
      </c>
      <c r="E506" t="s">
        <v>274</v>
      </c>
      <c r="F506" t="s">
        <v>1584</v>
      </c>
    </row>
    <row r="507" spans="1:6">
      <c r="A507" s="14" t="s">
        <v>1585</v>
      </c>
      <c r="B507" t="s">
        <v>1586</v>
      </c>
      <c r="C507" t="s">
        <v>1587</v>
      </c>
      <c r="D507" s="15" t="s">
        <v>1588</v>
      </c>
      <c r="E507" t="s">
        <v>274</v>
      </c>
      <c r="F507" t="s">
        <v>1589</v>
      </c>
    </row>
    <row r="508" spans="1:6">
      <c r="A508" s="14" t="s">
        <v>1590</v>
      </c>
      <c r="B508" t="s">
        <v>1591</v>
      </c>
      <c r="C508" t="s">
        <v>278</v>
      </c>
      <c r="D508" s="15" t="s">
        <v>273</v>
      </c>
      <c r="E508" t="s">
        <v>274</v>
      </c>
      <c r="F508" t="s">
        <v>1592</v>
      </c>
    </row>
    <row r="509" spans="1:6">
      <c r="A509" s="14" t="s">
        <v>1593</v>
      </c>
      <c r="B509" t="s">
        <v>1594</v>
      </c>
      <c r="C509" t="s">
        <v>911</v>
      </c>
      <c r="D509" s="15" t="s">
        <v>273</v>
      </c>
      <c r="E509" t="s">
        <v>274</v>
      </c>
      <c r="F509" t="s">
        <v>1595</v>
      </c>
    </row>
    <row r="510" spans="1:6">
      <c r="A510" s="14" t="s">
        <v>1596</v>
      </c>
      <c r="B510" t="s">
        <v>1597</v>
      </c>
      <c r="C510" t="s">
        <v>911</v>
      </c>
      <c r="D510" s="15" t="s">
        <v>273</v>
      </c>
      <c r="E510" t="s">
        <v>274</v>
      </c>
      <c r="F510" t="s">
        <v>1598</v>
      </c>
    </row>
    <row r="511" spans="1:6">
      <c r="A511" s="14" t="s">
        <v>1599</v>
      </c>
      <c r="B511" t="s">
        <v>1600</v>
      </c>
      <c r="C511" t="s">
        <v>285</v>
      </c>
      <c r="D511" s="15" t="s">
        <v>3683</v>
      </c>
      <c r="E511" t="s">
        <v>274</v>
      </c>
      <c r="F511" t="s">
        <v>1601</v>
      </c>
    </row>
    <row r="512" spans="1:6">
      <c r="A512" s="14" t="s">
        <v>1602</v>
      </c>
      <c r="B512" t="s">
        <v>1603</v>
      </c>
      <c r="C512" t="s">
        <v>911</v>
      </c>
      <c r="D512" s="15" t="s">
        <v>273</v>
      </c>
      <c r="E512" t="s">
        <v>274</v>
      </c>
      <c r="F512" t="s">
        <v>1604</v>
      </c>
    </row>
    <row r="513" spans="1:6">
      <c r="A513" s="14" t="s">
        <v>1605</v>
      </c>
      <c r="B513" t="s">
        <v>1606</v>
      </c>
      <c r="C513" t="s">
        <v>1607</v>
      </c>
      <c r="D513" s="15" t="s">
        <v>273</v>
      </c>
      <c r="E513" t="s">
        <v>274</v>
      </c>
      <c r="F513" t="s">
        <v>1608</v>
      </c>
    </row>
    <row r="514" spans="1:6">
      <c r="A514" s="14" t="s">
        <v>1609</v>
      </c>
      <c r="B514" t="s">
        <v>1610</v>
      </c>
      <c r="C514" t="s">
        <v>288</v>
      </c>
      <c r="D514" s="15" t="s">
        <v>273</v>
      </c>
      <c r="E514" t="s">
        <v>274</v>
      </c>
      <c r="F514" t="s">
        <v>119</v>
      </c>
    </row>
    <row r="515" spans="1:6">
      <c r="A515" s="14" t="s">
        <v>1611</v>
      </c>
      <c r="B515" t="s">
        <v>1612</v>
      </c>
      <c r="C515" t="s">
        <v>452</v>
      </c>
      <c r="D515" s="15" t="s">
        <v>295</v>
      </c>
      <c r="E515" t="s">
        <v>274</v>
      </c>
      <c r="F515" t="s">
        <v>1613</v>
      </c>
    </row>
    <row r="516" spans="1:6">
      <c r="A516" s="14" t="s">
        <v>1614</v>
      </c>
      <c r="B516" t="s">
        <v>1615</v>
      </c>
      <c r="C516" t="s">
        <v>268</v>
      </c>
      <c r="D516" s="15" t="s">
        <v>273</v>
      </c>
      <c r="E516" t="s">
        <v>274</v>
      </c>
      <c r="F516" t="s">
        <v>1616</v>
      </c>
    </row>
    <row r="517" spans="1:6">
      <c r="A517" s="14" t="s">
        <v>1617</v>
      </c>
      <c r="B517" t="s">
        <v>1618</v>
      </c>
      <c r="C517" t="s">
        <v>237</v>
      </c>
      <c r="D517" s="15" t="s">
        <v>273</v>
      </c>
      <c r="E517" t="s">
        <v>274</v>
      </c>
      <c r="F517" t="s">
        <v>1619</v>
      </c>
    </row>
    <row r="518" spans="1:6">
      <c r="A518" s="14" t="s">
        <v>4103</v>
      </c>
      <c r="B518" t="s">
        <v>4101</v>
      </c>
      <c r="C518" t="s">
        <v>1455</v>
      </c>
      <c r="D518" s="15" t="s">
        <v>3736</v>
      </c>
      <c r="E518" t="s">
        <v>274</v>
      </c>
      <c r="F518" t="s">
        <v>4102</v>
      </c>
    </row>
    <row r="519" spans="1:6">
      <c r="A519" s="14" t="s">
        <v>4646</v>
      </c>
      <c r="B519" s="14" t="s">
        <v>4647</v>
      </c>
      <c r="C519" s="14" t="s">
        <v>3834</v>
      </c>
      <c r="D519" s="15" t="s">
        <v>3736</v>
      </c>
      <c r="E519" s="14" t="s">
        <v>274</v>
      </c>
      <c r="F519" s="14" t="s">
        <v>4648</v>
      </c>
    </row>
    <row r="520" spans="1:6">
      <c r="A520" s="14" t="s">
        <v>5288</v>
      </c>
      <c r="B520" s="14" t="s">
        <v>5289</v>
      </c>
      <c r="C520" s="14" t="s">
        <v>278</v>
      </c>
      <c r="D520" s="15" t="s">
        <v>3736</v>
      </c>
      <c r="E520" s="14" t="s">
        <v>274</v>
      </c>
      <c r="F520" s="14" t="s">
        <v>5290</v>
      </c>
    </row>
    <row r="521" spans="1:6">
      <c r="A521" s="14" t="s">
        <v>1620</v>
      </c>
      <c r="B521" t="s">
        <v>1621</v>
      </c>
      <c r="C521" t="s">
        <v>911</v>
      </c>
      <c r="D521" s="15" t="s">
        <v>273</v>
      </c>
      <c r="E521" t="s">
        <v>327</v>
      </c>
      <c r="F521" t="s">
        <v>1622</v>
      </c>
    </row>
    <row r="522" spans="1:6">
      <c r="A522" s="14" t="s">
        <v>4114</v>
      </c>
      <c r="B522" s="14" t="s">
        <v>4115</v>
      </c>
      <c r="C522" s="14" t="s">
        <v>2780</v>
      </c>
      <c r="D522" s="15" t="s">
        <v>273</v>
      </c>
      <c r="E522" t="s">
        <v>274</v>
      </c>
      <c r="F522" s="14" t="s">
        <v>4116</v>
      </c>
    </row>
    <row r="523" spans="1:6">
      <c r="A523" s="14" t="s">
        <v>3881</v>
      </c>
      <c r="B523"/>
      <c r="C523"/>
      <c r="D523" s="15" t="s">
        <v>273</v>
      </c>
      <c r="E523" t="s">
        <v>274</v>
      </c>
      <c r="F523" t="s">
        <v>3882</v>
      </c>
    </row>
    <row r="524" spans="1:6">
      <c r="A524" s="14" t="s">
        <v>3868</v>
      </c>
      <c r="B524"/>
      <c r="C524"/>
      <c r="E524" t="s">
        <v>274</v>
      </c>
      <c r="F524" t="s">
        <v>3869</v>
      </c>
    </row>
    <row r="525" spans="1:6">
      <c r="A525" s="14" t="s">
        <v>1623</v>
      </c>
      <c r="B525" t="s">
        <v>1624</v>
      </c>
      <c r="C525" t="s">
        <v>34</v>
      </c>
      <c r="D525" s="15" t="s">
        <v>273</v>
      </c>
      <c r="E525" t="s">
        <v>274</v>
      </c>
      <c r="F525" t="s">
        <v>1625</v>
      </c>
    </row>
    <row r="526" spans="1:6">
      <c r="A526" s="14" t="s">
        <v>1626</v>
      </c>
      <c r="B526" t="s">
        <v>1627</v>
      </c>
      <c r="C526" t="s">
        <v>278</v>
      </c>
      <c r="D526" s="15" t="s">
        <v>273</v>
      </c>
      <c r="E526" t="s">
        <v>274</v>
      </c>
      <c r="F526" t="s">
        <v>1628</v>
      </c>
    </row>
    <row r="527" spans="1:6">
      <c r="A527" s="14" t="s">
        <v>4052</v>
      </c>
      <c r="B527" t="s">
        <v>4055</v>
      </c>
      <c r="C527" t="s">
        <v>4054</v>
      </c>
      <c r="D527" s="15" t="s">
        <v>273</v>
      </c>
      <c r="E527" t="s">
        <v>274</v>
      </c>
      <c r="F527" t="s">
        <v>4053</v>
      </c>
    </row>
    <row r="528" spans="1:6">
      <c r="A528" s="14" t="s">
        <v>4374</v>
      </c>
      <c r="B528" t="s">
        <v>1629</v>
      </c>
      <c r="C528" t="s">
        <v>278</v>
      </c>
      <c r="D528" s="15" t="s">
        <v>273</v>
      </c>
      <c r="E528" t="s">
        <v>274</v>
      </c>
      <c r="F528" t="s">
        <v>4373</v>
      </c>
    </row>
    <row r="529" spans="1:6">
      <c r="A529" s="14" t="s">
        <v>1630</v>
      </c>
      <c r="B529" t="s">
        <v>1631</v>
      </c>
      <c r="C529" t="s">
        <v>34</v>
      </c>
      <c r="D529" s="15" t="s">
        <v>273</v>
      </c>
      <c r="E529" t="s">
        <v>327</v>
      </c>
      <c r="F529" t="s">
        <v>1632</v>
      </c>
    </row>
    <row r="530" spans="1:6">
      <c r="A530" s="14" t="s">
        <v>1633</v>
      </c>
      <c r="B530" t="s">
        <v>1634</v>
      </c>
      <c r="C530" t="s">
        <v>278</v>
      </c>
      <c r="D530" s="15" t="s">
        <v>273</v>
      </c>
      <c r="E530" t="s">
        <v>274</v>
      </c>
      <c r="F530" t="s">
        <v>1635</v>
      </c>
    </row>
    <row r="531" spans="1:6">
      <c r="A531" s="14" t="s">
        <v>1636</v>
      </c>
      <c r="B531" t="s">
        <v>1637</v>
      </c>
      <c r="C531" t="s">
        <v>237</v>
      </c>
      <c r="D531" s="15" t="s">
        <v>273</v>
      </c>
      <c r="E531" t="s">
        <v>274</v>
      </c>
      <c r="F531" t="s">
        <v>1638</v>
      </c>
    </row>
    <row r="532" spans="1:6">
      <c r="A532" s="14" t="s">
        <v>1639</v>
      </c>
      <c r="B532" t="s">
        <v>1640</v>
      </c>
      <c r="C532" t="s">
        <v>278</v>
      </c>
      <c r="D532" s="15" t="s">
        <v>273</v>
      </c>
      <c r="E532" t="s">
        <v>274</v>
      </c>
      <c r="F532" t="s">
        <v>1641</v>
      </c>
    </row>
    <row r="533" spans="1:6">
      <c r="A533" s="14" t="s">
        <v>1642</v>
      </c>
      <c r="B533" t="s">
        <v>120</v>
      </c>
      <c r="C533" t="s">
        <v>243</v>
      </c>
      <c r="D533" s="15" t="s">
        <v>273</v>
      </c>
      <c r="E533" t="s">
        <v>274</v>
      </c>
      <c r="F533" t="s">
        <v>121</v>
      </c>
    </row>
    <row r="534" spans="1:6">
      <c r="A534" s="14" t="s">
        <v>1643</v>
      </c>
      <c r="B534" t="s">
        <v>1644</v>
      </c>
      <c r="C534" t="s">
        <v>1645</v>
      </c>
      <c r="D534" s="15" t="s">
        <v>273</v>
      </c>
      <c r="E534" t="s">
        <v>274</v>
      </c>
      <c r="F534" t="s">
        <v>1646</v>
      </c>
    </row>
    <row r="535" spans="1:6">
      <c r="A535" s="14" t="s">
        <v>1647</v>
      </c>
      <c r="B535" t="s">
        <v>1648</v>
      </c>
      <c r="C535" t="s">
        <v>246</v>
      </c>
      <c r="D535" s="15" t="s">
        <v>273</v>
      </c>
      <c r="E535" t="s">
        <v>274</v>
      </c>
      <c r="F535" t="s">
        <v>122</v>
      </c>
    </row>
    <row r="536" spans="1:6">
      <c r="A536" s="14" t="s">
        <v>1649</v>
      </c>
      <c r="B536" t="s">
        <v>1650</v>
      </c>
      <c r="C536" t="s">
        <v>278</v>
      </c>
      <c r="D536" s="15" t="s">
        <v>273</v>
      </c>
      <c r="E536" t="s">
        <v>327</v>
      </c>
      <c r="F536" t="s">
        <v>1651</v>
      </c>
    </row>
    <row r="537" spans="1:6">
      <c r="A537" s="14" t="s">
        <v>3861</v>
      </c>
      <c r="B537" t="s">
        <v>3732</v>
      </c>
      <c r="C537" t="s">
        <v>278</v>
      </c>
      <c r="D537" s="15" t="s">
        <v>273</v>
      </c>
      <c r="E537" t="s">
        <v>274</v>
      </c>
      <c r="F537" t="s">
        <v>3733</v>
      </c>
    </row>
    <row r="538" spans="1:6">
      <c r="A538" s="14" t="s">
        <v>1652</v>
      </c>
      <c r="B538" t="s">
        <v>1653</v>
      </c>
      <c r="C538" t="s">
        <v>911</v>
      </c>
      <c r="D538" s="15" t="s">
        <v>273</v>
      </c>
      <c r="E538" t="s">
        <v>274</v>
      </c>
      <c r="F538" t="s">
        <v>123</v>
      </c>
    </row>
    <row r="539" spans="1:6">
      <c r="A539" s="14" t="s">
        <v>1654</v>
      </c>
      <c r="B539" t="s">
        <v>1655</v>
      </c>
      <c r="C539" t="s">
        <v>278</v>
      </c>
      <c r="D539" s="15" t="s">
        <v>273</v>
      </c>
      <c r="E539" t="s">
        <v>274</v>
      </c>
      <c r="F539" t="s">
        <v>1656</v>
      </c>
    </row>
    <row r="540" spans="1:6">
      <c r="A540" s="14" t="s">
        <v>3699</v>
      </c>
      <c r="B540" t="s">
        <v>1655</v>
      </c>
      <c r="C540" t="s">
        <v>278</v>
      </c>
      <c r="D540" s="15" t="s">
        <v>273</v>
      </c>
      <c r="E540" t="s">
        <v>274</v>
      </c>
      <c r="F540" t="s">
        <v>3700</v>
      </c>
    </row>
    <row r="541" spans="1:6">
      <c r="A541" s="14" t="s">
        <v>1657</v>
      </c>
      <c r="B541" t="s">
        <v>1658</v>
      </c>
      <c r="C541" t="s">
        <v>911</v>
      </c>
      <c r="D541" s="15" t="s">
        <v>273</v>
      </c>
      <c r="E541" t="s">
        <v>274</v>
      </c>
      <c r="F541" t="s">
        <v>1659</v>
      </c>
    </row>
    <row r="542" spans="1:6">
      <c r="A542" s="14" t="s">
        <v>1660</v>
      </c>
      <c r="B542" t="s">
        <v>1661</v>
      </c>
      <c r="C542" t="s">
        <v>237</v>
      </c>
      <c r="D542" s="15" t="s">
        <v>273</v>
      </c>
      <c r="E542" t="s">
        <v>274</v>
      </c>
      <c r="F542" t="s">
        <v>1662</v>
      </c>
    </row>
    <row r="543" spans="1:6">
      <c r="A543" s="14" t="s">
        <v>1663</v>
      </c>
      <c r="B543" t="s">
        <v>1664</v>
      </c>
      <c r="C543" t="s">
        <v>911</v>
      </c>
      <c r="D543" s="15" t="s">
        <v>273</v>
      </c>
      <c r="E543" t="s">
        <v>274</v>
      </c>
      <c r="F543" t="s">
        <v>1665</v>
      </c>
    </row>
    <row r="544" spans="1:6">
      <c r="A544" s="14" t="s">
        <v>1666</v>
      </c>
      <c r="B544" t="s">
        <v>1667</v>
      </c>
      <c r="C544" t="s">
        <v>278</v>
      </c>
      <c r="D544" s="15" t="s">
        <v>273</v>
      </c>
      <c r="E544" t="s">
        <v>274</v>
      </c>
      <c r="F544" t="s">
        <v>1668</v>
      </c>
    </row>
    <row r="545" spans="1:6">
      <c r="A545" s="14" t="s">
        <v>4022</v>
      </c>
      <c r="B545" t="s">
        <v>4023</v>
      </c>
      <c r="C545" t="s">
        <v>4024</v>
      </c>
      <c r="D545" s="15" t="s">
        <v>3736</v>
      </c>
      <c r="E545" t="s">
        <v>274</v>
      </c>
      <c r="F545" t="s">
        <v>4025</v>
      </c>
    </row>
    <row r="546" spans="1:6">
      <c r="A546" s="14" t="s">
        <v>1669</v>
      </c>
      <c r="B546" t="s">
        <v>1670</v>
      </c>
      <c r="C546" t="s">
        <v>594</v>
      </c>
      <c r="D546" s="15" t="s">
        <v>273</v>
      </c>
      <c r="E546" t="s">
        <v>274</v>
      </c>
      <c r="F546" t="s">
        <v>1671</v>
      </c>
    </row>
    <row r="547" spans="1:6">
      <c r="A547" s="14" t="s">
        <v>1672</v>
      </c>
      <c r="B547" t="s">
        <v>1673</v>
      </c>
      <c r="C547" t="s">
        <v>911</v>
      </c>
      <c r="D547" s="15" t="s">
        <v>273</v>
      </c>
      <c r="E547" t="s">
        <v>274</v>
      </c>
      <c r="F547" t="s">
        <v>124</v>
      </c>
    </row>
    <row r="548" spans="1:6">
      <c r="A548" s="14" t="s">
        <v>1674</v>
      </c>
      <c r="B548" t="s">
        <v>1675</v>
      </c>
      <c r="C548" t="s">
        <v>278</v>
      </c>
      <c r="D548" s="15" t="s">
        <v>273</v>
      </c>
      <c r="E548" t="s">
        <v>274</v>
      </c>
      <c r="F548" t="s">
        <v>1676</v>
      </c>
    </row>
    <row r="549" spans="1:6">
      <c r="A549" s="14" t="s">
        <v>1677</v>
      </c>
      <c r="B549" t="s">
        <v>1678</v>
      </c>
      <c r="C549" t="s">
        <v>911</v>
      </c>
      <c r="D549" s="15" t="s">
        <v>273</v>
      </c>
      <c r="E549" t="s">
        <v>274</v>
      </c>
      <c r="F549" t="s">
        <v>1679</v>
      </c>
    </row>
    <row r="550" spans="1:6">
      <c r="A550" s="14" t="s">
        <v>3701</v>
      </c>
      <c r="B550" t="s">
        <v>3702</v>
      </c>
      <c r="C550" t="s">
        <v>2951</v>
      </c>
      <c r="D550" s="15" t="s">
        <v>273</v>
      </c>
      <c r="E550" t="s">
        <v>274</v>
      </c>
      <c r="F550" t="s">
        <v>3703</v>
      </c>
    </row>
    <row r="551" spans="1:6">
      <c r="A551" s="14" t="s">
        <v>1680</v>
      </c>
      <c r="B551" t="s">
        <v>1681</v>
      </c>
      <c r="C551" t="s">
        <v>285</v>
      </c>
      <c r="D551" s="15" t="s">
        <v>236</v>
      </c>
      <c r="E551" t="s">
        <v>274</v>
      </c>
      <c r="F551" t="s">
        <v>1682</v>
      </c>
    </row>
    <row r="552" spans="1:6">
      <c r="A552" s="14" t="s">
        <v>1683</v>
      </c>
      <c r="B552" t="s">
        <v>1684</v>
      </c>
      <c r="C552" t="s">
        <v>34</v>
      </c>
      <c r="D552" s="15" t="s">
        <v>273</v>
      </c>
      <c r="E552" t="s">
        <v>274</v>
      </c>
      <c r="F552" t="s">
        <v>1685</v>
      </c>
    </row>
    <row r="553" spans="1:6">
      <c r="A553" s="14" t="s">
        <v>5838</v>
      </c>
      <c r="B553" t="s">
        <v>5840</v>
      </c>
      <c r="C553" t="s">
        <v>5841</v>
      </c>
      <c r="D553" s="15" t="s">
        <v>418</v>
      </c>
      <c r="E553" t="s">
        <v>274</v>
      </c>
      <c r="F553" t="s">
        <v>5839</v>
      </c>
    </row>
    <row r="554" spans="1:6">
      <c r="A554" s="14" t="s">
        <v>3823</v>
      </c>
      <c r="B554"/>
      <c r="C554"/>
      <c r="E554" t="s">
        <v>274</v>
      </c>
      <c r="F554" t="s">
        <v>3824</v>
      </c>
    </row>
    <row r="555" spans="1:6">
      <c r="A555" s="14" t="s">
        <v>3783</v>
      </c>
      <c r="B555" t="s">
        <v>3781</v>
      </c>
      <c r="C555" t="s">
        <v>278</v>
      </c>
      <c r="D555" s="15" t="s">
        <v>273</v>
      </c>
      <c r="E555" t="s">
        <v>274</v>
      </c>
      <c r="F555" t="s">
        <v>3782</v>
      </c>
    </row>
    <row r="556" spans="1:6">
      <c r="A556" s="14" t="s">
        <v>1686</v>
      </c>
      <c r="B556" t="s">
        <v>1687</v>
      </c>
      <c r="C556" t="s">
        <v>237</v>
      </c>
      <c r="D556" s="15" t="s">
        <v>273</v>
      </c>
      <c r="E556" t="s">
        <v>274</v>
      </c>
      <c r="F556" t="s">
        <v>1688</v>
      </c>
    </row>
    <row r="557" spans="1:6">
      <c r="A557" s="14" t="s">
        <v>1689</v>
      </c>
      <c r="B557" t="s">
        <v>1690</v>
      </c>
      <c r="C557" t="s">
        <v>238</v>
      </c>
      <c r="D557" s="15" t="s">
        <v>273</v>
      </c>
      <c r="E557" t="s">
        <v>274</v>
      </c>
      <c r="F557" t="s">
        <v>1691</v>
      </c>
    </row>
    <row r="558" spans="1:6">
      <c r="A558" s="14" t="s">
        <v>1692</v>
      </c>
      <c r="B558" t="s">
        <v>1693</v>
      </c>
      <c r="C558" t="s">
        <v>1694</v>
      </c>
      <c r="D558" s="15" t="s">
        <v>273</v>
      </c>
      <c r="E558" t="s">
        <v>274</v>
      </c>
      <c r="F558" t="s">
        <v>1695</v>
      </c>
    </row>
    <row r="559" spans="1:6">
      <c r="A559" s="14" t="s">
        <v>1696</v>
      </c>
      <c r="B559" t="s">
        <v>1697</v>
      </c>
      <c r="C559" t="s">
        <v>278</v>
      </c>
      <c r="D559" s="15" t="s">
        <v>273</v>
      </c>
      <c r="E559" t="s">
        <v>327</v>
      </c>
      <c r="F559" t="s">
        <v>1698</v>
      </c>
    </row>
    <row r="560" spans="1:6">
      <c r="A560" s="14" t="s">
        <v>1699</v>
      </c>
      <c r="B560" t="s">
        <v>1700</v>
      </c>
      <c r="C560" t="s">
        <v>374</v>
      </c>
      <c r="D560" s="15" t="s">
        <v>236</v>
      </c>
      <c r="E560" t="s">
        <v>274</v>
      </c>
      <c r="F560" t="s">
        <v>1701</v>
      </c>
    </row>
    <row r="561" spans="1:6">
      <c r="A561" s="14" t="s">
        <v>1702</v>
      </c>
      <c r="B561" t="s">
        <v>1703</v>
      </c>
      <c r="C561" t="s">
        <v>273</v>
      </c>
      <c r="D561" s="15" t="s">
        <v>34</v>
      </c>
      <c r="E561" t="s">
        <v>274</v>
      </c>
      <c r="F561" t="s">
        <v>1704</v>
      </c>
    </row>
    <row r="562" spans="1:6">
      <c r="A562" s="14" t="s">
        <v>1705</v>
      </c>
      <c r="B562" t="s">
        <v>1706</v>
      </c>
      <c r="C562" t="s">
        <v>911</v>
      </c>
      <c r="D562" s="15" t="s">
        <v>273</v>
      </c>
      <c r="E562" t="s">
        <v>274</v>
      </c>
      <c r="F562" t="s">
        <v>125</v>
      </c>
    </row>
    <row r="563" spans="1:6">
      <c r="A563" s="14" t="s">
        <v>1707</v>
      </c>
      <c r="B563" t="s">
        <v>1708</v>
      </c>
      <c r="C563" t="s">
        <v>257</v>
      </c>
      <c r="D563" s="15" t="s">
        <v>273</v>
      </c>
      <c r="E563" t="s">
        <v>274</v>
      </c>
      <c r="F563" t="s">
        <v>126</v>
      </c>
    </row>
    <row r="564" spans="1:6">
      <c r="A564" s="14" t="s">
        <v>1709</v>
      </c>
      <c r="B564" t="s">
        <v>1710</v>
      </c>
      <c r="C564" t="s">
        <v>273</v>
      </c>
      <c r="D564" s="15" t="s">
        <v>34</v>
      </c>
      <c r="E564" t="s">
        <v>274</v>
      </c>
      <c r="F564" t="s">
        <v>1711</v>
      </c>
    </row>
    <row r="565" spans="1:6">
      <c r="A565" s="14" t="s">
        <v>1712</v>
      </c>
      <c r="B565" t="s">
        <v>1713</v>
      </c>
      <c r="C565" t="s">
        <v>278</v>
      </c>
      <c r="D565" s="15" t="s">
        <v>34</v>
      </c>
      <c r="E565" t="s">
        <v>327</v>
      </c>
      <c r="F565" t="s">
        <v>1714</v>
      </c>
    </row>
    <row r="566" spans="1:6">
      <c r="A566" s="14" t="s">
        <v>1715</v>
      </c>
      <c r="B566" t="s">
        <v>1716</v>
      </c>
      <c r="C566" t="s">
        <v>247</v>
      </c>
      <c r="D566" s="15" t="s">
        <v>273</v>
      </c>
      <c r="E566" t="s">
        <v>274</v>
      </c>
      <c r="F566" t="s">
        <v>127</v>
      </c>
    </row>
    <row r="567" spans="1:6">
      <c r="A567" s="14" t="s">
        <v>1717</v>
      </c>
      <c r="B567" t="s">
        <v>1718</v>
      </c>
      <c r="C567" t="s">
        <v>374</v>
      </c>
      <c r="D567" s="15" t="s">
        <v>236</v>
      </c>
      <c r="E567" t="s">
        <v>274</v>
      </c>
      <c r="F567" t="s">
        <v>128</v>
      </c>
    </row>
    <row r="568" spans="1:6">
      <c r="A568" s="14" t="s">
        <v>1719</v>
      </c>
      <c r="B568" t="s">
        <v>1720</v>
      </c>
      <c r="C568" t="s">
        <v>829</v>
      </c>
      <c r="D568" s="15" t="s">
        <v>34</v>
      </c>
      <c r="E568" t="s">
        <v>274</v>
      </c>
      <c r="F568" t="s">
        <v>1721</v>
      </c>
    </row>
    <row r="569" spans="1:6">
      <c r="A569" s="14" t="s">
        <v>1722</v>
      </c>
      <c r="B569" t="s">
        <v>1723</v>
      </c>
      <c r="C569" t="s">
        <v>273</v>
      </c>
      <c r="D569" s="15" t="s">
        <v>34</v>
      </c>
      <c r="E569" t="s">
        <v>274</v>
      </c>
      <c r="F569" t="s">
        <v>1724</v>
      </c>
    </row>
    <row r="570" spans="1:6">
      <c r="A570" s="14" t="s">
        <v>3995</v>
      </c>
      <c r="B570" t="s">
        <v>3996</v>
      </c>
      <c r="C570" t="s">
        <v>3997</v>
      </c>
      <c r="D570" s="15" t="s">
        <v>273</v>
      </c>
      <c r="E570" t="s">
        <v>274</v>
      </c>
      <c r="F570" t="s">
        <v>3998</v>
      </c>
    </row>
    <row r="571" spans="1:6">
      <c r="A571" s="14" t="s">
        <v>1725</v>
      </c>
      <c r="B571" t="s">
        <v>1726</v>
      </c>
      <c r="C571" t="s">
        <v>237</v>
      </c>
      <c r="D571" s="15" t="s">
        <v>273</v>
      </c>
      <c r="E571" t="s">
        <v>274</v>
      </c>
      <c r="F571" t="s">
        <v>1727</v>
      </c>
    </row>
    <row r="572" spans="1:6">
      <c r="A572" s="14" t="s">
        <v>1728</v>
      </c>
      <c r="B572" t="s">
        <v>1729</v>
      </c>
      <c r="C572" t="s">
        <v>433</v>
      </c>
      <c r="D572" s="15" t="s">
        <v>273</v>
      </c>
      <c r="E572" t="s">
        <v>274</v>
      </c>
      <c r="F572" t="s">
        <v>1730</v>
      </c>
    </row>
    <row r="573" spans="1:6">
      <c r="A573" s="14" t="s">
        <v>3728</v>
      </c>
      <c r="B573" t="s">
        <v>3729</v>
      </c>
      <c r="C573" t="s">
        <v>278</v>
      </c>
      <c r="D573" s="15" t="s">
        <v>273</v>
      </c>
      <c r="E573" t="s">
        <v>274</v>
      </c>
      <c r="F573" t="s">
        <v>3730</v>
      </c>
    </row>
    <row r="574" spans="1:6">
      <c r="A574" s="14" t="s">
        <v>1731</v>
      </c>
      <c r="B574" t="s">
        <v>1732</v>
      </c>
      <c r="C574" t="s">
        <v>1733</v>
      </c>
      <c r="D574" s="15" t="s">
        <v>235</v>
      </c>
      <c r="E574" t="s">
        <v>274</v>
      </c>
      <c r="F574" t="s">
        <v>1734</v>
      </c>
    </row>
    <row r="575" spans="1:6">
      <c r="A575" s="14" t="s">
        <v>3662</v>
      </c>
      <c r="B575" t="s">
        <v>129</v>
      </c>
      <c r="C575" t="s">
        <v>278</v>
      </c>
      <c r="D575" s="15" t="s">
        <v>273</v>
      </c>
      <c r="E575" t="s">
        <v>274</v>
      </c>
      <c r="F575" t="s">
        <v>130</v>
      </c>
    </row>
    <row r="576" spans="1:6">
      <c r="A576" s="14" t="s">
        <v>1735</v>
      </c>
      <c r="B576" t="s">
        <v>1736</v>
      </c>
      <c r="C576" t="s">
        <v>1737</v>
      </c>
      <c r="D576" s="15" t="s">
        <v>273</v>
      </c>
      <c r="E576" t="s">
        <v>274</v>
      </c>
      <c r="F576" t="s">
        <v>1738</v>
      </c>
    </row>
    <row r="577" spans="1:6">
      <c r="A577" s="14" t="s">
        <v>1739</v>
      </c>
      <c r="B577" t="s">
        <v>1740</v>
      </c>
      <c r="C577" t="s">
        <v>911</v>
      </c>
      <c r="D577" s="15" t="s">
        <v>273</v>
      </c>
      <c r="E577" t="s">
        <v>274</v>
      </c>
      <c r="F577" t="s">
        <v>1741</v>
      </c>
    </row>
    <row r="578" spans="1:6">
      <c r="A578" s="14" t="s">
        <v>5985</v>
      </c>
      <c r="B578" t="s">
        <v>1742</v>
      </c>
      <c r="C578" t="s">
        <v>278</v>
      </c>
      <c r="D578" s="15" t="s">
        <v>273</v>
      </c>
      <c r="E578" t="s">
        <v>274</v>
      </c>
      <c r="F578" t="s">
        <v>1743</v>
      </c>
    </row>
    <row r="579" spans="1:6">
      <c r="A579" s="14" t="s">
        <v>1744</v>
      </c>
      <c r="B579" t="s">
        <v>1745</v>
      </c>
      <c r="C579" t="s">
        <v>273</v>
      </c>
      <c r="D579" s="15" t="s">
        <v>273</v>
      </c>
      <c r="E579" t="s">
        <v>274</v>
      </c>
      <c r="F579" t="s">
        <v>131</v>
      </c>
    </row>
    <row r="580" spans="1:6">
      <c r="A580" s="14" t="s">
        <v>1746</v>
      </c>
      <c r="B580" t="s">
        <v>1747</v>
      </c>
      <c r="C580" t="s">
        <v>237</v>
      </c>
      <c r="D580" s="15" t="s">
        <v>273</v>
      </c>
      <c r="E580" t="s">
        <v>274</v>
      </c>
      <c r="F580" t="s">
        <v>132</v>
      </c>
    </row>
    <row r="581" spans="1:6">
      <c r="A581" s="14" t="s">
        <v>1748</v>
      </c>
      <c r="B581" t="s">
        <v>1749</v>
      </c>
      <c r="C581" t="s">
        <v>911</v>
      </c>
      <c r="D581" s="15" t="s">
        <v>273</v>
      </c>
      <c r="E581" t="s">
        <v>327</v>
      </c>
      <c r="F581" t="s">
        <v>1750</v>
      </c>
    </row>
    <row r="582" spans="1:6">
      <c r="A582" s="14" t="s">
        <v>1751</v>
      </c>
      <c r="B582" t="s">
        <v>1749</v>
      </c>
      <c r="C582" t="s">
        <v>911</v>
      </c>
      <c r="D582" s="15" t="s">
        <v>273</v>
      </c>
      <c r="E582" t="s">
        <v>327</v>
      </c>
      <c r="F582" t="s">
        <v>1752</v>
      </c>
    </row>
    <row r="583" spans="1:6">
      <c r="A583" s="14" t="s">
        <v>1753</v>
      </c>
      <c r="B583" t="s">
        <v>133</v>
      </c>
      <c r="C583" t="s">
        <v>245</v>
      </c>
      <c r="D583" s="15" t="s">
        <v>273</v>
      </c>
      <c r="E583" t="s">
        <v>274</v>
      </c>
      <c r="F583" t="s">
        <v>134</v>
      </c>
    </row>
    <row r="584" spans="1:6">
      <c r="A584" s="14" t="s">
        <v>1754</v>
      </c>
      <c r="B584" t="s">
        <v>1755</v>
      </c>
      <c r="C584" t="s">
        <v>237</v>
      </c>
      <c r="D584" s="15" t="s">
        <v>273</v>
      </c>
      <c r="E584" t="s">
        <v>274</v>
      </c>
      <c r="F584" t="s">
        <v>1756</v>
      </c>
    </row>
    <row r="585" spans="1:6">
      <c r="A585" s="14" t="s">
        <v>1757</v>
      </c>
      <c r="B585" t="s">
        <v>1758</v>
      </c>
      <c r="C585" t="s">
        <v>911</v>
      </c>
      <c r="D585" s="15" t="s">
        <v>273</v>
      </c>
      <c r="E585" t="s">
        <v>274</v>
      </c>
      <c r="F585" t="s">
        <v>1759</v>
      </c>
    </row>
    <row r="586" spans="1:6">
      <c r="A586" s="14" t="s">
        <v>4165</v>
      </c>
      <c r="B586" s="14" t="s">
        <v>4166</v>
      </c>
      <c r="C586" s="14" t="s">
        <v>990</v>
      </c>
      <c r="D586" s="15" t="s">
        <v>418</v>
      </c>
      <c r="E586" s="14" t="s">
        <v>274</v>
      </c>
      <c r="F586" t="s">
        <v>4167</v>
      </c>
    </row>
    <row r="587" spans="1:6">
      <c r="A587" s="14" t="s">
        <v>1760</v>
      </c>
      <c r="B587" t="s">
        <v>1761</v>
      </c>
      <c r="C587" t="s">
        <v>237</v>
      </c>
      <c r="D587" s="15" t="s">
        <v>273</v>
      </c>
      <c r="E587" t="s">
        <v>274</v>
      </c>
      <c r="F587" t="s">
        <v>1762</v>
      </c>
    </row>
    <row r="588" spans="1:6">
      <c r="A588" s="14" t="s">
        <v>1763</v>
      </c>
      <c r="B588" t="s">
        <v>1764</v>
      </c>
      <c r="C588" t="s">
        <v>1765</v>
      </c>
      <c r="D588" s="15" t="s">
        <v>34</v>
      </c>
      <c r="E588" t="s">
        <v>274</v>
      </c>
      <c r="F588" t="s">
        <v>1766</v>
      </c>
    </row>
    <row r="589" spans="1:6">
      <c r="A589" s="14" t="s">
        <v>1767</v>
      </c>
      <c r="B589" t="s">
        <v>135</v>
      </c>
      <c r="C589" t="s">
        <v>248</v>
      </c>
      <c r="D589" s="15" t="s">
        <v>273</v>
      </c>
      <c r="E589" t="s">
        <v>274</v>
      </c>
      <c r="F589" t="s">
        <v>136</v>
      </c>
    </row>
    <row r="590" spans="1:6">
      <c r="A590" s="14" t="s">
        <v>1768</v>
      </c>
      <c r="B590" t="s">
        <v>1769</v>
      </c>
      <c r="C590" t="s">
        <v>34</v>
      </c>
      <c r="D590" s="15" t="s">
        <v>273</v>
      </c>
      <c r="E590" t="s">
        <v>274</v>
      </c>
      <c r="F590" t="s">
        <v>1770</v>
      </c>
    </row>
    <row r="591" spans="1:6">
      <c r="A591" s="14" t="s">
        <v>4795</v>
      </c>
      <c r="B591" s="14" t="s">
        <v>4796</v>
      </c>
      <c r="C591" s="14" t="s">
        <v>2175</v>
      </c>
      <c r="D591" s="15" t="s">
        <v>3736</v>
      </c>
      <c r="E591" s="14" t="s">
        <v>274</v>
      </c>
      <c r="F591" s="14" t="s">
        <v>4797</v>
      </c>
    </row>
    <row r="592" spans="1:6">
      <c r="A592" s="14" t="s">
        <v>1771</v>
      </c>
      <c r="B592" t="s">
        <v>1772</v>
      </c>
      <c r="C592" t="s">
        <v>34</v>
      </c>
      <c r="D592" s="15" t="s">
        <v>273</v>
      </c>
      <c r="E592" t="s">
        <v>274</v>
      </c>
      <c r="F592" t="s">
        <v>1773</v>
      </c>
    </row>
    <row r="593" spans="1:6">
      <c r="A593" s="14" t="s">
        <v>1774</v>
      </c>
      <c r="B593" t="s">
        <v>1775</v>
      </c>
      <c r="C593" t="s">
        <v>237</v>
      </c>
      <c r="D593" s="15" t="s">
        <v>34</v>
      </c>
      <c r="E593" t="s">
        <v>327</v>
      </c>
      <c r="F593" t="s">
        <v>1776</v>
      </c>
    </row>
    <row r="594" spans="1:6">
      <c r="A594" s="14" t="s">
        <v>1777</v>
      </c>
      <c r="B594" t="s">
        <v>1778</v>
      </c>
      <c r="C594" t="s">
        <v>1540</v>
      </c>
      <c r="D594" s="15" t="s">
        <v>273</v>
      </c>
      <c r="E594" t="s">
        <v>274</v>
      </c>
      <c r="F594" t="s">
        <v>1779</v>
      </c>
    </row>
    <row r="595" spans="1:6">
      <c r="A595" s="14" t="s">
        <v>1780</v>
      </c>
      <c r="B595" t="s">
        <v>1781</v>
      </c>
      <c r="C595" t="s">
        <v>288</v>
      </c>
      <c r="D595" s="15" t="s">
        <v>273</v>
      </c>
      <c r="E595" t="s">
        <v>274</v>
      </c>
      <c r="F595" t="s">
        <v>1782</v>
      </c>
    </row>
    <row r="596" spans="1:6">
      <c r="A596" s="14" t="s">
        <v>1783</v>
      </c>
      <c r="B596" t="s">
        <v>1784</v>
      </c>
      <c r="C596" t="s">
        <v>1785</v>
      </c>
      <c r="D596" s="15" t="s">
        <v>34</v>
      </c>
      <c r="E596" t="s">
        <v>274</v>
      </c>
      <c r="F596" t="s">
        <v>1786</v>
      </c>
    </row>
    <row r="597" spans="1:6">
      <c r="A597" s="14" t="s">
        <v>4073</v>
      </c>
      <c r="B597" t="s">
        <v>4074</v>
      </c>
      <c r="C597" t="s">
        <v>4075</v>
      </c>
      <c r="D597" s="15" t="s">
        <v>288</v>
      </c>
      <c r="E597" t="s">
        <v>274</v>
      </c>
      <c r="F597" t="s">
        <v>4076</v>
      </c>
    </row>
    <row r="598" spans="1:6">
      <c r="A598" s="14" t="s">
        <v>1787</v>
      </c>
      <c r="B598" t="s">
        <v>1788</v>
      </c>
      <c r="C598" t="s">
        <v>278</v>
      </c>
      <c r="D598" s="15" t="s">
        <v>273</v>
      </c>
      <c r="E598" t="s">
        <v>274</v>
      </c>
      <c r="F598" t="s">
        <v>1789</v>
      </c>
    </row>
    <row r="599" spans="1:6">
      <c r="A599" s="14" t="s">
        <v>1790</v>
      </c>
      <c r="B599" t="s">
        <v>1791</v>
      </c>
      <c r="C599" t="s">
        <v>237</v>
      </c>
      <c r="D599" s="15" t="s">
        <v>273</v>
      </c>
      <c r="E599" t="s">
        <v>279</v>
      </c>
      <c r="F599" t="s">
        <v>1792</v>
      </c>
    </row>
    <row r="600" spans="1:6">
      <c r="A600" s="14" t="s">
        <v>1793</v>
      </c>
      <c r="B600" t="s">
        <v>1794</v>
      </c>
      <c r="C600" t="s">
        <v>1795</v>
      </c>
      <c r="D600" s="15" t="s">
        <v>273</v>
      </c>
      <c r="E600" t="s">
        <v>274</v>
      </c>
      <c r="F600" t="s">
        <v>1796</v>
      </c>
    </row>
    <row r="601" spans="1:6">
      <c r="A601" s="14" t="s">
        <v>1797</v>
      </c>
      <c r="B601" t="s">
        <v>1798</v>
      </c>
      <c r="C601" t="s">
        <v>278</v>
      </c>
      <c r="D601" s="15" t="s">
        <v>273</v>
      </c>
      <c r="E601" t="s">
        <v>327</v>
      </c>
      <c r="F601" t="s">
        <v>1799</v>
      </c>
    </row>
    <row r="602" spans="1:6">
      <c r="A602" s="14" t="s">
        <v>1800</v>
      </c>
      <c r="B602" t="s">
        <v>1801</v>
      </c>
      <c r="C602" t="s">
        <v>273</v>
      </c>
      <c r="D602" s="15" t="s">
        <v>34</v>
      </c>
      <c r="E602" t="s">
        <v>274</v>
      </c>
      <c r="F602" t="s">
        <v>1802</v>
      </c>
    </row>
    <row r="603" spans="1:6">
      <c r="A603" s="14" t="s">
        <v>1803</v>
      </c>
      <c r="B603" t="s">
        <v>137</v>
      </c>
      <c r="C603" t="s">
        <v>1804</v>
      </c>
      <c r="D603" s="15" t="s">
        <v>273</v>
      </c>
      <c r="E603" t="s">
        <v>274</v>
      </c>
      <c r="F603" t="s">
        <v>138</v>
      </c>
    </row>
    <row r="604" spans="1:6">
      <c r="A604" s="14" t="s">
        <v>1805</v>
      </c>
      <c r="B604" t="s">
        <v>1806</v>
      </c>
      <c r="C604" t="s">
        <v>273</v>
      </c>
      <c r="D604" s="15" t="s">
        <v>34</v>
      </c>
      <c r="E604" t="s">
        <v>274</v>
      </c>
      <c r="F604" t="s">
        <v>1807</v>
      </c>
    </row>
    <row r="605" spans="1:6">
      <c r="A605" s="14" t="s">
        <v>1808</v>
      </c>
      <c r="B605" t="s">
        <v>1809</v>
      </c>
      <c r="C605" t="s">
        <v>288</v>
      </c>
      <c r="D605" s="15" t="s">
        <v>273</v>
      </c>
      <c r="E605" t="s">
        <v>274</v>
      </c>
      <c r="F605" t="s">
        <v>774</v>
      </c>
    </row>
    <row r="606" spans="1:6">
      <c r="A606" s="14" t="s">
        <v>3901</v>
      </c>
      <c r="B606" t="s">
        <v>3900</v>
      </c>
      <c r="C606" t="s">
        <v>3899</v>
      </c>
      <c r="D606" s="15" t="s">
        <v>273</v>
      </c>
      <c r="E606" t="s">
        <v>274</v>
      </c>
      <c r="F606" t="s">
        <v>3902</v>
      </c>
    </row>
    <row r="607" spans="1:6">
      <c r="A607" s="14" t="s">
        <v>1810</v>
      </c>
      <c r="B607" t="s">
        <v>1811</v>
      </c>
      <c r="C607" t="s">
        <v>1812</v>
      </c>
      <c r="D607" s="15" t="s">
        <v>273</v>
      </c>
      <c r="E607" t="s">
        <v>274</v>
      </c>
      <c r="F607" t="s">
        <v>1813</v>
      </c>
    </row>
    <row r="608" spans="1:6">
      <c r="A608" s="14" t="s">
        <v>4191</v>
      </c>
      <c r="B608" s="14" t="s">
        <v>4192</v>
      </c>
      <c r="C608" s="14" t="s">
        <v>288</v>
      </c>
      <c r="D608" s="15" t="s">
        <v>3683</v>
      </c>
      <c r="E608" s="14" t="s">
        <v>274</v>
      </c>
      <c r="F608" s="14" t="s">
        <v>4193</v>
      </c>
    </row>
    <row r="609" spans="1:6">
      <c r="A609" s="14" t="s">
        <v>3759</v>
      </c>
      <c r="B609" t="s">
        <v>3760</v>
      </c>
      <c r="C609" t="s">
        <v>3761</v>
      </c>
      <c r="D609" s="15" t="s">
        <v>273</v>
      </c>
      <c r="E609" t="s">
        <v>274</v>
      </c>
      <c r="F609" t="s">
        <v>3762</v>
      </c>
    </row>
    <row r="610" spans="1:6">
      <c r="A610" s="14" t="s">
        <v>1814</v>
      </c>
      <c r="B610" t="s">
        <v>1815</v>
      </c>
      <c r="C610" t="s">
        <v>1816</v>
      </c>
      <c r="D610" s="15" t="s">
        <v>273</v>
      </c>
      <c r="E610" t="s">
        <v>274</v>
      </c>
      <c r="F610" t="s">
        <v>1817</v>
      </c>
    </row>
    <row r="611" spans="1:6">
      <c r="A611" s="14" t="s">
        <v>1818</v>
      </c>
      <c r="B611" t="s">
        <v>1819</v>
      </c>
      <c r="C611" t="s">
        <v>1820</v>
      </c>
      <c r="D611" s="15" t="s">
        <v>273</v>
      </c>
      <c r="E611" t="s">
        <v>274</v>
      </c>
      <c r="F611" t="s">
        <v>1821</v>
      </c>
    </row>
    <row r="612" spans="1:6">
      <c r="A612" s="14" t="s">
        <v>1822</v>
      </c>
      <c r="B612" t="s">
        <v>1823</v>
      </c>
      <c r="C612" t="s">
        <v>1824</v>
      </c>
      <c r="D612" s="15" t="s">
        <v>1825</v>
      </c>
      <c r="E612" t="s">
        <v>274</v>
      </c>
      <c r="F612" t="s">
        <v>1826</v>
      </c>
    </row>
    <row r="613" spans="1:6">
      <c r="A613" s="14" t="s">
        <v>1827</v>
      </c>
      <c r="B613" t="s">
        <v>1828</v>
      </c>
      <c r="C613" t="s">
        <v>1829</v>
      </c>
      <c r="D613" s="15" t="s">
        <v>34</v>
      </c>
      <c r="E613" t="s">
        <v>274</v>
      </c>
      <c r="F613" t="s">
        <v>1830</v>
      </c>
    </row>
    <row r="614" spans="1:6">
      <c r="A614" s="14" t="s">
        <v>1831</v>
      </c>
      <c r="B614" t="s">
        <v>1832</v>
      </c>
      <c r="C614" t="s">
        <v>1833</v>
      </c>
      <c r="D614" s="15" t="s">
        <v>34</v>
      </c>
      <c r="E614" t="s">
        <v>274</v>
      </c>
      <c r="F614" t="s">
        <v>1834</v>
      </c>
    </row>
    <row r="615" spans="1:6">
      <c r="A615" s="14" t="s">
        <v>1835</v>
      </c>
      <c r="B615" t="s">
        <v>1836</v>
      </c>
      <c r="C615" t="s">
        <v>278</v>
      </c>
      <c r="D615" s="15" t="s">
        <v>34</v>
      </c>
      <c r="E615" t="s">
        <v>274</v>
      </c>
      <c r="F615" t="s">
        <v>1837</v>
      </c>
    </row>
    <row r="616" spans="1:6">
      <c r="A616" s="14" t="s">
        <v>5690</v>
      </c>
      <c r="B616" t="s">
        <v>5692</v>
      </c>
      <c r="C616" t="s">
        <v>4734</v>
      </c>
      <c r="D616" s="15" t="s">
        <v>3736</v>
      </c>
      <c r="E616" t="s">
        <v>274</v>
      </c>
      <c r="F616" t="s">
        <v>5691</v>
      </c>
    </row>
    <row r="617" spans="1:6">
      <c r="A617" s="14" t="s">
        <v>4241</v>
      </c>
      <c r="B617" s="14" t="s">
        <v>4242</v>
      </c>
      <c r="C617" s="14" t="s">
        <v>2609</v>
      </c>
      <c r="D617" s="15" t="s">
        <v>273</v>
      </c>
      <c r="E617" t="s">
        <v>274</v>
      </c>
      <c r="F617" s="14" t="s">
        <v>4243</v>
      </c>
    </row>
    <row r="618" spans="1:6">
      <c r="A618" s="14" t="s">
        <v>1838</v>
      </c>
      <c r="B618" t="s">
        <v>1839</v>
      </c>
      <c r="C618" t="s">
        <v>1840</v>
      </c>
      <c r="D618" s="15" t="s">
        <v>34</v>
      </c>
      <c r="E618" t="s">
        <v>327</v>
      </c>
      <c r="F618" t="s">
        <v>343</v>
      </c>
    </row>
    <row r="619" spans="1:6">
      <c r="A619" s="14" t="s">
        <v>1841</v>
      </c>
      <c r="B619" t="s">
        <v>1842</v>
      </c>
      <c r="C619" t="s">
        <v>237</v>
      </c>
      <c r="D619" s="15" t="s">
        <v>273</v>
      </c>
      <c r="E619" t="s">
        <v>274</v>
      </c>
      <c r="F619" t="s">
        <v>1843</v>
      </c>
    </row>
    <row r="620" spans="1:6">
      <c r="A620" s="14" t="s">
        <v>1844</v>
      </c>
      <c r="B620" t="s">
        <v>1845</v>
      </c>
      <c r="C620" t="s">
        <v>278</v>
      </c>
      <c r="D620" s="15" t="s">
        <v>273</v>
      </c>
      <c r="E620" t="s">
        <v>274</v>
      </c>
      <c r="F620" t="s">
        <v>1846</v>
      </c>
    </row>
    <row r="621" spans="1:6">
      <c r="A621" s="14" t="s">
        <v>1847</v>
      </c>
      <c r="B621" t="s">
        <v>1848</v>
      </c>
      <c r="C621" t="s">
        <v>278</v>
      </c>
      <c r="D621" s="15" t="s">
        <v>273</v>
      </c>
      <c r="E621" t="s">
        <v>274</v>
      </c>
      <c r="F621" t="s">
        <v>1849</v>
      </c>
    </row>
    <row r="622" spans="1:6">
      <c r="A622" s="14" t="s">
        <v>139</v>
      </c>
      <c r="B622" t="s">
        <v>1850</v>
      </c>
      <c r="C622" t="s">
        <v>278</v>
      </c>
      <c r="D622" s="15" t="s">
        <v>34</v>
      </c>
      <c r="E622" t="s">
        <v>274</v>
      </c>
      <c r="F622" t="s">
        <v>140</v>
      </c>
    </row>
    <row r="623" spans="1:6">
      <c r="A623" s="14" t="s">
        <v>1851</v>
      </c>
      <c r="B623" t="s">
        <v>1852</v>
      </c>
      <c r="C623" t="s">
        <v>278</v>
      </c>
      <c r="D623" s="15" t="s">
        <v>273</v>
      </c>
      <c r="E623" t="s">
        <v>327</v>
      </c>
      <c r="F623" t="s">
        <v>1853</v>
      </c>
    </row>
    <row r="624" spans="1:6">
      <c r="A624" s="14" t="s">
        <v>4033</v>
      </c>
      <c r="B624" t="s">
        <v>4034</v>
      </c>
      <c r="C624" t="s">
        <v>3736</v>
      </c>
      <c r="D624" s="15" t="s">
        <v>288</v>
      </c>
      <c r="E624" t="s">
        <v>274</v>
      </c>
      <c r="F624" t="s">
        <v>4035</v>
      </c>
    </row>
    <row r="625" spans="1:6">
      <c r="A625" s="14" t="s">
        <v>4015</v>
      </c>
      <c r="B625" t="s">
        <v>4016</v>
      </c>
      <c r="C625" t="s">
        <v>4017</v>
      </c>
      <c r="D625" s="15" t="s">
        <v>273</v>
      </c>
      <c r="E625" t="s">
        <v>274</v>
      </c>
      <c r="F625" t="s">
        <v>4018</v>
      </c>
    </row>
    <row r="626" spans="1:6">
      <c r="A626" s="14" t="s">
        <v>3913</v>
      </c>
      <c r="B626" t="s">
        <v>3912</v>
      </c>
      <c r="C626" t="s">
        <v>278</v>
      </c>
      <c r="D626" s="15" t="s">
        <v>273</v>
      </c>
      <c r="E626" t="s">
        <v>274</v>
      </c>
      <c r="F626" t="s">
        <v>3911</v>
      </c>
    </row>
    <row r="627" spans="1:6">
      <c r="A627" s="14" t="s">
        <v>1854</v>
      </c>
      <c r="B627" t="s">
        <v>1855</v>
      </c>
      <c r="C627" t="s">
        <v>1856</v>
      </c>
      <c r="D627" s="15" t="s">
        <v>1857</v>
      </c>
      <c r="E627" t="s">
        <v>274</v>
      </c>
      <c r="F627" t="s">
        <v>141</v>
      </c>
    </row>
    <row r="628" spans="1:6">
      <c r="A628" s="14" t="s">
        <v>1858</v>
      </c>
      <c r="B628" t="s">
        <v>1859</v>
      </c>
      <c r="C628" t="s">
        <v>1860</v>
      </c>
      <c r="D628" s="15" t="s">
        <v>273</v>
      </c>
      <c r="E628" t="s">
        <v>274</v>
      </c>
      <c r="F628" t="s">
        <v>1861</v>
      </c>
    </row>
    <row r="629" spans="1:6">
      <c r="A629" s="14" t="s">
        <v>1862</v>
      </c>
      <c r="B629" t="s">
        <v>1863</v>
      </c>
      <c r="C629" t="s">
        <v>278</v>
      </c>
      <c r="D629" s="15" t="s">
        <v>273</v>
      </c>
      <c r="E629" t="s">
        <v>274</v>
      </c>
      <c r="F629" t="s">
        <v>1864</v>
      </c>
    </row>
    <row r="630" spans="1:6">
      <c r="A630" s="14" t="s">
        <v>4059</v>
      </c>
      <c r="B630" t="s">
        <v>4061</v>
      </c>
      <c r="C630" t="s">
        <v>288</v>
      </c>
      <c r="D630" s="15" t="s">
        <v>273</v>
      </c>
      <c r="E630" t="s">
        <v>274</v>
      </c>
      <c r="F630" t="s">
        <v>4060</v>
      </c>
    </row>
    <row r="631" spans="1:6">
      <c r="A631" s="14" t="s">
        <v>1865</v>
      </c>
      <c r="B631" t="s">
        <v>1866</v>
      </c>
      <c r="C631" t="s">
        <v>617</v>
      </c>
      <c r="D631" s="15" t="s">
        <v>273</v>
      </c>
      <c r="E631" t="s">
        <v>274</v>
      </c>
      <c r="F631" t="s">
        <v>1867</v>
      </c>
    </row>
    <row r="632" spans="1:6">
      <c r="A632" s="14" t="s">
        <v>1868</v>
      </c>
      <c r="B632" t="s">
        <v>1869</v>
      </c>
      <c r="C632" t="s">
        <v>1870</v>
      </c>
      <c r="D632" s="15" t="s">
        <v>374</v>
      </c>
      <c r="E632" t="s">
        <v>274</v>
      </c>
      <c r="F632" t="s">
        <v>1871</v>
      </c>
    </row>
    <row r="633" spans="1:6">
      <c r="A633" s="14" t="s">
        <v>1872</v>
      </c>
      <c r="B633" t="s">
        <v>1873</v>
      </c>
      <c r="C633" t="s">
        <v>278</v>
      </c>
      <c r="D633" s="15" t="s">
        <v>273</v>
      </c>
      <c r="E633" t="s">
        <v>274</v>
      </c>
      <c r="F633" t="s">
        <v>142</v>
      </c>
    </row>
    <row r="634" spans="1:6">
      <c r="A634" s="14" t="s">
        <v>1874</v>
      </c>
      <c r="B634" t="s">
        <v>1875</v>
      </c>
      <c r="C634" t="s">
        <v>285</v>
      </c>
      <c r="D634" s="15" t="s">
        <v>374</v>
      </c>
      <c r="E634" t="s">
        <v>274</v>
      </c>
      <c r="F634" t="s">
        <v>1876</v>
      </c>
    </row>
    <row r="635" spans="1:6">
      <c r="A635" s="14" t="s">
        <v>1877</v>
      </c>
      <c r="B635" t="s">
        <v>1878</v>
      </c>
      <c r="C635" t="s">
        <v>273</v>
      </c>
      <c r="D635" s="15" t="s">
        <v>273</v>
      </c>
      <c r="E635" t="s">
        <v>274</v>
      </c>
      <c r="F635" t="s">
        <v>1879</v>
      </c>
    </row>
    <row r="636" spans="1:6">
      <c r="A636" s="14" t="s">
        <v>4111</v>
      </c>
      <c r="B636" s="14" t="s">
        <v>4112</v>
      </c>
      <c r="C636" s="14" t="s">
        <v>278</v>
      </c>
      <c r="D636" s="15" t="s">
        <v>3736</v>
      </c>
      <c r="E636" s="14" t="s">
        <v>274</v>
      </c>
      <c r="F636" s="14" t="s">
        <v>4113</v>
      </c>
    </row>
    <row r="637" spans="1:6">
      <c r="A637" s="14" t="s">
        <v>1880</v>
      </c>
      <c r="B637" t="s">
        <v>1881</v>
      </c>
      <c r="C637" t="s">
        <v>243</v>
      </c>
      <c r="D637" s="15" t="s">
        <v>273</v>
      </c>
      <c r="E637" t="s">
        <v>274</v>
      </c>
      <c r="F637" t="s">
        <v>1882</v>
      </c>
    </row>
    <row r="638" spans="1:6">
      <c r="A638" s="14" t="s">
        <v>1883</v>
      </c>
      <c r="B638" t="s">
        <v>1884</v>
      </c>
      <c r="C638" t="s">
        <v>237</v>
      </c>
      <c r="D638" s="15" t="s">
        <v>273</v>
      </c>
      <c r="E638" t="s">
        <v>274</v>
      </c>
      <c r="F638" t="s">
        <v>1885</v>
      </c>
    </row>
    <row r="639" spans="1:6">
      <c r="A639" s="14" t="s">
        <v>5746</v>
      </c>
      <c r="B639" s="14" t="s">
        <v>5747</v>
      </c>
      <c r="C639" s="14" t="s">
        <v>366</v>
      </c>
      <c r="D639" s="15" t="s">
        <v>3736</v>
      </c>
      <c r="E639" s="14" t="s">
        <v>274</v>
      </c>
      <c r="F639" s="15" t="s">
        <v>5748</v>
      </c>
    </row>
    <row r="640" spans="1:6">
      <c r="A640" s="14" t="s">
        <v>1886</v>
      </c>
      <c r="B640" t="s">
        <v>1887</v>
      </c>
      <c r="C640" t="s">
        <v>278</v>
      </c>
      <c r="D640" s="15" t="s">
        <v>273</v>
      </c>
      <c r="E640" t="s">
        <v>274</v>
      </c>
      <c r="F640" t="s">
        <v>1888</v>
      </c>
    </row>
    <row r="641" spans="1:6">
      <c r="A641" s="14" t="s">
        <v>1889</v>
      </c>
      <c r="B641" t="s">
        <v>1890</v>
      </c>
      <c r="C641" t="s">
        <v>1891</v>
      </c>
      <c r="D641" s="15" t="s">
        <v>374</v>
      </c>
      <c r="E641" t="s">
        <v>274</v>
      </c>
      <c r="F641" t="s">
        <v>1892</v>
      </c>
    </row>
    <row r="642" spans="1:6">
      <c r="A642" s="14" t="s">
        <v>1893</v>
      </c>
      <c r="B642" t="s">
        <v>1894</v>
      </c>
      <c r="C642" t="s">
        <v>278</v>
      </c>
      <c r="D642" s="15" t="s">
        <v>273</v>
      </c>
      <c r="E642" t="s">
        <v>274</v>
      </c>
      <c r="F642" t="s">
        <v>1895</v>
      </c>
    </row>
    <row r="643" spans="1:6">
      <c r="A643" s="14" t="s">
        <v>1896</v>
      </c>
      <c r="B643" t="s">
        <v>1897</v>
      </c>
      <c r="C643" t="s">
        <v>278</v>
      </c>
      <c r="D643" s="15" t="s">
        <v>273</v>
      </c>
      <c r="E643" t="s">
        <v>327</v>
      </c>
      <c r="F643" t="s">
        <v>1898</v>
      </c>
    </row>
    <row r="644" spans="1:6">
      <c r="A644" s="14" t="s">
        <v>1899</v>
      </c>
      <c r="B644" t="s">
        <v>1900</v>
      </c>
      <c r="C644" t="s">
        <v>273</v>
      </c>
      <c r="D644" s="15" t="s">
        <v>34</v>
      </c>
      <c r="E644" t="s">
        <v>274</v>
      </c>
      <c r="F644" t="s">
        <v>1901</v>
      </c>
    </row>
    <row r="645" spans="1:6">
      <c r="A645" s="14" t="s">
        <v>3756</v>
      </c>
      <c r="B645" t="s">
        <v>3757</v>
      </c>
      <c r="C645" t="s">
        <v>273</v>
      </c>
      <c r="D645" s="15" t="s">
        <v>3683</v>
      </c>
      <c r="E645" t="s">
        <v>274</v>
      </c>
      <c r="F645" t="s">
        <v>3758</v>
      </c>
    </row>
    <row r="646" spans="1:6">
      <c r="A646" s="14" t="s">
        <v>1902</v>
      </c>
      <c r="B646" t="s">
        <v>1903</v>
      </c>
      <c r="C646" t="s">
        <v>237</v>
      </c>
      <c r="D646" s="15" t="s">
        <v>273</v>
      </c>
      <c r="E646" t="s">
        <v>274</v>
      </c>
      <c r="F646" t="s">
        <v>1904</v>
      </c>
    </row>
    <row r="647" spans="1:6">
      <c r="A647" s="14" t="s">
        <v>1905</v>
      </c>
      <c r="B647" t="s">
        <v>1906</v>
      </c>
      <c r="C647" t="s">
        <v>278</v>
      </c>
      <c r="D647" s="15" t="s">
        <v>273</v>
      </c>
      <c r="E647" t="s">
        <v>274</v>
      </c>
      <c r="F647" t="s">
        <v>1907</v>
      </c>
    </row>
    <row r="648" spans="1:6">
      <c r="A648" s="14" t="s">
        <v>1908</v>
      </c>
      <c r="B648" t="s">
        <v>1360</v>
      </c>
      <c r="C648" t="s">
        <v>278</v>
      </c>
      <c r="D648" s="15" t="s">
        <v>273</v>
      </c>
      <c r="E648" t="s">
        <v>327</v>
      </c>
      <c r="F648" t="s">
        <v>1909</v>
      </c>
    </row>
    <row r="649" spans="1:6">
      <c r="A649" s="14" t="s">
        <v>1910</v>
      </c>
      <c r="B649" t="s">
        <v>1911</v>
      </c>
      <c r="C649" t="s">
        <v>278</v>
      </c>
      <c r="D649" s="15" t="s">
        <v>273</v>
      </c>
      <c r="E649" t="s">
        <v>274</v>
      </c>
      <c r="F649" t="s">
        <v>1912</v>
      </c>
    </row>
    <row r="650" spans="1:6">
      <c r="A650" s="14" t="s">
        <v>1913</v>
      </c>
      <c r="B650" t="s">
        <v>1914</v>
      </c>
      <c r="C650" t="s">
        <v>278</v>
      </c>
      <c r="D650" s="15" t="s">
        <v>273</v>
      </c>
      <c r="E650" t="s">
        <v>274</v>
      </c>
      <c r="F650" t="s">
        <v>1915</v>
      </c>
    </row>
    <row r="651" spans="1:6">
      <c r="A651" s="14" t="s">
        <v>1916</v>
      </c>
      <c r="B651" t="s">
        <v>1917</v>
      </c>
      <c r="C651" t="s">
        <v>34</v>
      </c>
      <c r="D651" s="15" t="s">
        <v>273</v>
      </c>
      <c r="E651" t="s">
        <v>274</v>
      </c>
      <c r="F651" t="s">
        <v>1918</v>
      </c>
    </row>
    <row r="652" spans="1:6">
      <c r="A652" s="14" t="s">
        <v>1919</v>
      </c>
      <c r="B652" t="s">
        <v>1920</v>
      </c>
      <c r="C652" t="s">
        <v>34</v>
      </c>
      <c r="D652" s="15" t="s">
        <v>273</v>
      </c>
      <c r="E652" t="s">
        <v>327</v>
      </c>
      <c r="F652" t="s">
        <v>1921</v>
      </c>
    </row>
    <row r="653" spans="1:6">
      <c r="A653" s="14" t="s">
        <v>1922</v>
      </c>
      <c r="B653" t="s">
        <v>1923</v>
      </c>
      <c r="C653" t="s">
        <v>278</v>
      </c>
      <c r="D653" s="15" t="s">
        <v>273</v>
      </c>
      <c r="E653" t="s">
        <v>274</v>
      </c>
      <c r="F653" t="s">
        <v>1924</v>
      </c>
    </row>
    <row r="654" spans="1:6">
      <c r="A654" s="14" t="s">
        <v>1925</v>
      </c>
      <c r="B654" t="s">
        <v>1926</v>
      </c>
      <c r="C654" t="s">
        <v>288</v>
      </c>
      <c r="D654" s="15" t="s">
        <v>273</v>
      </c>
      <c r="E654" t="s">
        <v>274</v>
      </c>
      <c r="F654" t="s">
        <v>1927</v>
      </c>
    </row>
    <row r="655" spans="1:6">
      <c r="A655" s="14" t="s">
        <v>1928</v>
      </c>
      <c r="B655" t="s">
        <v>1929</v>
      </c>
      <c r="C655" t="s">
        <v>911</v>
      </c>
      <c r="D655" s="15" t="s">
        <v>273</v>
      </c>
      <c r="E655" t="s">
        <v>274</v>
      </c>
      <c r="F655" t="s">
        <v>143</v>
      </c>
    </row>
    <row r="656" spans="1:6">
      <c r="A656" s="14" t="s">
        <v>1930</v>
      </c>
      <c r="B656" t="s">
        <v>1931</v>
      </c>
      <c r="C656" t="s">
        <v>911</v>
      </c>
      <c r="D656" s="15" t="s">
        <v>273</v>
      </c>
      <c r="E656" t="s">
        <v>274</v>
      </c>
      <c r="F656" t="s">
        <v>1932</v>
      </c>
    </row>
    <row r="657" spans="1:6">
      <c r="A657" s="14" t="s">
        <v>3817</v>
      </c>
      <c r="B657"/>
      <c r="C657"/>
      <c r="E657" t="s">
        <v>274</v>
      </c>
      <c r="F657" t="s">
        <v>3818</v>
      </c>
    </row>
    <row r="658" spans="1:6">
      <c r="A658" s="14" t="s">
        <v>1933</v>
      </c>
      <c r="B658" t="s">
        <v>1934</v>
      </c>
      <c r="C658" t="s">
        <v>1935</v>
      </c>
      <c r="D658" s="15" t="s">
        <v>273</v>
      </c>
      <c r="E658" t="s">
        <v>274</v>
      </c>
      <c r="F658" t="s">
        <v>1936</v>
      </c>
    </row>
    <row r="659" spans="1:6">
      <c r="A659" s="14" t="s">
        <v>1937</v>
      </c>
      <c r="B659" t="s">
        <v>1938</v>
      </c>
      <c r="C659" t="s">
        <v>237</v>
      </c>
      <c r="D659" s="15" t="s">
        <v>273</v>
      </c>
      <c r="E659" t="s">
        <v>274</v>
      </c>
      <c r="F659" t="s">
        <v>1939</v>
      </c>
    </row>
    <row r="660" spans="1:6">
      <c r="A660" s="14" t="s">
        <v>1940</v>
      </c>
      <c r="B660" t="s">
        <v>1941</v>
      </c>
      <c r="C660" t="s">
        <v>911</v>
      </c>
      <c r="D660" s="15" t="s">
        <v>273</v>
      </c>
      <c r="E660" t="s">
        <v>274</v>
      </c>
      <c r="F660" t="s">
        <v>144</v>
      </c>
    </row>
    <row r="661" spans="1:6">
      <c r="A661" s="14" t="s">
        <v>1942</v>
      </c>
      <c r="B661" t="s">
        <v>1943</v>
      </c>
      <c r="C661" t="s">
        <v>1455</v>
      </c>
      <c r="D661" s="15" t="s">
        <v>273</v>
      </c>
      <c r="E661" t="s">
        <v>274</v>
      </c>
      <c r="F661" t="s">
        <v>1944</v>
      </c>
    </row>
    <row r="662" spans="1:6">
      <c r="A662" s="14" t="s">
        <v>4936</v>
      </c>
      <c r="B662" s="14" t="s">
        <v>4937</v>
      </c>
      <c r="C662" s="14" t="s">
        <v>3736</v>
      </c>
      <c r="D662" s="15" t="s">
        <v>3736</v>
      </c>
      <c r="E662" s="14" t="s">
        <v>4938</v>
      </c>
      <c r="F662" t="s">
        <v>4939</v>
      </c>
    </row>
    <row r="663" spans="1:6">
      <c r="A663" s="14" t="s">
        <v>1945</v>
      </c>
      <c r="B663" t="s">
        <v>1946</v>
      </c>
      <c r="C663" t="s">
        <v>1947</v>
      </c>
      <c r="D663" s="15" t="s">
        <v>273</v>
      </c>
      <c r="E663" t="s">
        <v>274</v>
      </c>
      <c r="F663" t="s">
        <v>1948</v>
      </c>
    </row>
    <row r="664" spans="1:6">
      <c r="A664" s="14" t="s">
        <v>1949</v>
      </c>
      <c r="B664" t="s">
        <v>1950</v>
      </c>
      <c r="C664" t="s">
        <v>278</v>
      </c>
      <c r="D664" s="15" t="s">
        <v>273</v>
      </c>
      <c r="E664" t="s">
        <v>327</v>
      </c>
      <c r="F664" t="s">
        <v>1951</v>
      </c>
    </row>
    <row r="665" spans="1:6">
      <c r="A665" s="14" t="s">
        <v>1952</v>
      </c>
      <c r="B665" t="s">
        <v>1953</v>
      </c>
      <c r="C665" t="s">
        <v>288</v>
      </c>
      <c r="D665" s="15" t="s">
        <v>374</v>
      </c>
      <c r="E665" t="s">
        <v>274</v>
      </c>
      <c r="F665" t="s">
        <v>1954</v>
      </c>
    </row>
    <row r="666" spans="1:6" ht="15.75" customHeight="1">
      <c r="A666" s="14" t="s">
        <v>1955</v>
      </c>
      <c r="B666" t="s">
        <v>1956</v>
      </c>
      <c r="C666" t="s">
        <v>313</v>
      </c>
      <c r="D666" s="15" t="s">
        <v>273</v>
      </c>
      <c r="E666" t="s">
        <v>274</v>
      </c>
      <c r="F666" t="s">
        <v>1957</v>
      </c>
    </row>
    <row r="667" spans="1:6">
      <c r="A667" s="14" t="s">
        <v>4172</v>
      </c>
      <c r="B667" s="14" t="s">
        <v>4173</v>
      </c>
      <c r="C667" s="14" t="s">
        <v>2830</v>
      </c>
      <c r="D667" s="15" t="s">
        <v>3736</v>
      </c>
      <c r="E667" s="14" t="s">
        <v>274</v>
      </c>
      <c r="F667" s="14" t="s">
        <v>4174</v>
      </c>
    </row>
    <row r="668" spans="1:6">
      <c r="A668" s="14" t="s">
        <v>1958</v>
      </c>
      <c r="B668" t="s">
        <v>1959</v>
      </c>
      <c r="C668" t="s">
        <v>911</v>
      </c>
      <c r="D668" s="15" t="s">
        <v>273</v>
      </c>
      <c r="E668" t="s">
        <v>274</v>
      </c>
      <c r="F668" t="s">
        <v>1960</v>
      </c>
    </row>
    <row r="669" spans="1:6">
      <c r="A669" s="14" t="s">
        <v>4965</v>
      </c>
      <c r="B669" s="14" t="s">
        <v>4966</v>
      </c>
      <c r="C669" s="14" t="s">
        <v>3736</v>
      </c>
      <c r="D669" s="15" t="s">
        <v>3736</v>
      </c>
      <c r="E669" s="14" t="s">
        <v>274</v>
      </c>
      <c r="F669" t="s">
        <v>4967</v>
      </c>
    </row>
    <row r="670" spans="1:6">
      <c r="A670" s="14" t="s">
        <v>1961</v>
      </c>
      <c r="B670" t="s">
        <v>1962</v>
      </c>
      <c r="C670" t="s">
        <v>1963</v>
      </c>
      <c r="D670" s="15" t="s">
        <v>273</v>
      </c>
      <c r="E670" t="s">
        <v>274</v>
      </c>
      <c r="F670" t="s">
        <v>1964</v>
      </c>
    </row>
    <row r="671" spans="1:6">
      <c r="A671" s="14" t="s">
        <v>1965</v>
      </c>
      <c r="B671" t="s">
        <v>1966</v>
      </c>
      <c r="C671" t="s">
        <v>436</v>
      </c>
      <c r="D671" s="15" t="s">
        <v>273</v>
      </c>
      <c r="E671" t="s">
        <v>274</v>
      </c>
      <c r="F671" t="s">
        <v>145</v>
      </c>
    </row>
    <row r="672" spans="1:6">
      <c r="A672" s="14" t="s">
        <v>1967</v>
      </c>
      <c r="B672" t="s">
        <v>1968</v>
      </c>
      <c r="C672" t="s">
        <v>1969</v>
      </c>
      <c r="D672" s="15" t="s">
        <v>273</v>
      </c>
      <c r="E672" t="s">
        <v>274</v>
      </c>
      <c r="F672" t="s">
        <v>146</v>
      </c>
    </row>
    <row r="673" spans="1:6">
      <c r="A673" s="14" t="s">
        <v>1970</v>
      </c>
      <c r="B673" t="s">
        <v>1971</v>
      </c>
      <c r="C673" t="s">
        <v>1186</v>
      </c>
      <c r="D673" s="15" t="s">
        <v>273</v>
      </c>
      <c r="E673" t="s">
        <v>274</v>
      </c>
      <c r="F673" t="s">
        <v>1972</v>
      </c>
    </row>
    <row r="674" spans="1:6" ht="18.75" customHeight="1">
      <c r="A674" s="14" t="s">
        <v>1973</v>
      </c>
      <c r="B674" t="s">
        <v>1974</v>
      </c>
      <c r="C674" t="s">
        <v>237</v>
      </c>
      <c r="D674" s="15" t="s">
        <v>273</v>
      </c>
      <c r="E674" t="s">
        <v>274</v>
      </c>
      <c r="F674" t="s">
        <v>1975</v>
      </c>
    </row>
    <row r="675" spans="1:6">
      <c r="A675" s="14" t="s">
        <v>1976</v>
      </c>
      <c r="B675" t="s">
        <v>147</v>
      </c>
      <c r="C675" t="s">
        <v>278</v>
      </c>
      <c r="D675" s="15" t="s">
        <v>273</v>
      </c>
      <c r="E675" t="s">
        <v>274</v>
      </c>
      <c r="F675" t="s">
        <v>148</v>
      </c>
    </row>
    <row r="676" spans="1:6">
      <c r="A676" s="14" t="s">
        <v>1977</v>
      </c>
      <c r="B676" t="s">
        <v>263</v>
      </c>
      <c r="C676" t="s">
        <v>278</v>
      </c>
      <c r="D676" s="15" t="s">
        <v>273</v>
      </c>
      <c r="E676" t="s">
        <v>327</v>
      </c>
      <c r="F676" t="s">
        <v>149</v>
      </c>
    </row>
    <row r="677" spans="1:6">
      <c r="A677" s="14" t="s">
        <v>3928</v>
      </c>
      <c r="B677" t="s">
        <v>3929</v>
      </c>
      <c r="C677" t="s">
        <v>3930</v>
      </c>
      <c r="D677" s="15" t="s">
        <v>295</v>
      </c>
      <c r="E677" t="s">
        <v>274</v>
      </c>
      <c r="F677" t="s">
        <v>3931</v>
      </c>
    </row>
    <row r="678" spans="1:6">
      <c r="A678" s="14" t="s">
        <v>1978</v>
      </c>
      <c r="B678" t="s">
        <v>1979</v>
      </c>
      <c r="C678" t="s">
        <v>911</v>
      </c>
      <c r="D678" s="15" t="s">
        <v>273</v>
      </c>
      <c r="E678" t="s">
        <v>274</v>
      </c>
      <c r="F678" t="s">
        <v>1980</v>
      </c>
    </row>
    <row r="679" spans="1:6">
      <c r="A679" s="14" t="s">
        <v>1981</v>
      </c>
      <c r="B679" t="s">
        <v>1982</v>
      </c>
      <c r="C679" t="s">
        <v>285</v>
      </c>
      <c r="D679" s="15" t="s">
        <v>236</v>
      </c>
      <c r="E679" t="s">
        <v>274</v>
      </c>
      <c r="F679" t="s">
        <v>1983</v>
      </c>
    </row>
    <row r="680" spans="1:6">
      <c r="A680" s="14" t="s">
        <v>1984</v>
      </c>
      <c r="B680" t="s">
        <v>1985</v>
      </c>
      <c r="C680" t="s">
        <v>278</v>
      </c>
      <c r="D680" s="15" t="s">
        <v>273</v>
      </c>
      <c r="E680" t="s">
        <v>274</v>
      </c>
      <c r="F680" t="s">
        <v>29</v>
      </c>
    </row>
    <row r="681" spans="1:6">
      <c r="A681" s="14" t="s">
        <v>4541</v>
      </c>
      <c r="B681" s="14" t="s">
        <v>4540</v>
      </c>
      <c r="C681" s="14" t="s">
        <v>3736</v>
      </c>
      <c r="D681" s="15" t="s">
        <v>3736</v>
      </c>
      <c r="E681" t="s">
        <v>274</v>
      </c>
      <c r="F681" t="s">
        <v>4539</v>
      </c>
    </row>
    <row r="682" spans="1:6">
      <c r="A682" s="14" t="s">
        <v>1986</v>
      </c>
      <c r="B682" t="s">
        <v>1987</v>
      </c>
      <c r="C682" t="s">
        <v>34</v>
      </c>
      <c r="D682" s="15" t="s">
        <v>273</v>
      </c>
      <c r="E682" t="s">
        <v>274</v>
      </c>
      <c r="F682" t="s">
        <v>1988</v>
      </c>
    </row>
    <row r="683" spans="1:6">
      <c r="A683" s="14" t="s">
        <v>1989</v>
      </c>
      <c r="B683" t="s">
        <v>1990</v>
      </c>
      <c r="C683" t="s">
        <v>278</v>
      </c>
      <c r="D683" s="15" t="s">
        <v>273</v>
      </c>
      <c r="E683" t="s">
        <v>274</v>
      </c>
      <c r="F683" t="s">
        <v>1991</v>
      </c>
    </row>
    <row r="684" spans="1:6">
      <c r="A684" s="14" t="s">
        <v>1992</v>
      </c>
      <c r="B684" t="s">
        <v>1993</v>
      </c>
      <c r="C684" t="s">
        <v>285</v>
      </c>
      <c r="D684" s="15" t="s">
        <v>34</v>
      </c>
      <c r="E684" t="s">
        <v>327</v>
      </c>
      <c r="F684" t="s">
        <v>1994</v>
      </c>
    </row>
    <row r="685" spans="1:6">
      <c r="A685" s="14" t="s">
        <v>1995</v>
      </c>
      <c r="B685" t="s">
        <v>1996</v>
      </c>
      <c r="C685" t="s">
        <v>278</v>
      </c>
      <c r="D685" s="15" t="s">
        <v>34</v>
      </c>
      <c r="E685" t="s">
        <v>327</v>
      </c>
      <c r="F685" t="s">
        <v>1997</v>
      </c>
    </row>
    <row r="686" spans="1:6">
      <c r="A686" s="14" t="s">
        <v>1998</v>
      </c>
      <c r="B686" t="s">
        <v>1999</v>
      </c>
      <c r="C686" t="s">
        <v>911</v>
      </c>
      <c r="D686" s="15" t="s">
        <v>273</v>
      </c>
      <c r="E686" t="s">
        <v>274</v>
      </c>
      <c r="F686" t="s">
        <v>2000</v>
      </c>
    </row>
    <row r="687" spans="1:6">
      <c r="A687" s="14" t="s">
        <v>2001</v>
      </c>
      <c r="B687" t="s">
        <v>2002</v>
      </c>
      <c r="C687" t="s">
        <v>2003</v>
      </c>
      <c r="D687" s="15" t="s">
        <v>273</v>
      </c>
      <c r="E687" t="s">
        <v>274</v>
      </c>
      <c r="F687" t="s">
        <v>2004</v>
      </c>
    </row>
    <row r="688" spans="1:6">
      <c r="A688" s="14" t="s">
        <v>3751</v>
      </c>
      <c r="B688" t="s">
        <v>3748</v>
      </c>
      <c r="C688" t="s">
        <v>3749</v>
      </c>
      <c r="D688" s="15" t="s">
        <v>273</v>
      </c>
      <c r="E688" t="s">
        <v>274</v>
      </c>
      <c r="F688" t="s">
        <v>3750</v>
      </c>
    </row>
    <row r="689" spans="1:6">
      <c r="A689" s="14" t="s">
        <v>2005</v>
      </c>
      <c r="B689" t="s">
        <v>2006</v>
      </c>
      <c r="C689" t="s">
        <v>2007</v>
      </c>
      <c r="D689" s="15" t="s">
        <v>2008</v>
      </c>
      <c r="E689" t="s">
        <v>274</v>
      </c>
      <c r="F689" t="s">
        <v>2009</v>
      </c>
    </row>
    <row r="690" spans="1:6">
      <c r="A690" s="14" t="s">
        <v>2010</v>
      </c>
      <c r="B690" t="s">
        <v>2011</v>
      </c>
      <c r="C690" t="s">
        <v>2012</v>
      </c>
      <c r="D690" s="15" t="s">
        <v>34</v>
      </c>
      <c r="E690" t="s">
        <v>274</v>
      </c>
      <c r="F690" t="s">
        <v>2013</v>
      </c>
    </row>
    <row r="691" spans="1:6">
      <c r="A691" s="14" t="s">
        <v>2014</v>
      </c>
      <c r="B691" t="s">
        <v>2015</v>
      </c>
      <c r="C691" t="s">
        <v>2016</v>
      </c>
      <c r="D691" s="15" t="s">
        <v>34</v>
      </c>
      <c r="E691" t="s">
        <v>274</v>
      </c>
      <c r="F691" t="s">
        <v>2017</v>
      </c>
    </row>
    <row r="692" spans="1:6">
      <c r="A692" s="14" t="s">
        <v>2018</v>
      </c>
      <c r="B692" t="s">
        <v>2019</v>
      </c>
      <c r="C692" t="s">
        <v>1417</v>
      </c>
      <c r="D692" s="15" t="s">
        <v>34</v>
      </c>
      <c r="E692" t="s">
        <v>274</v>
      </c>
      <c r="F692" t="s">
        <v>2020</v>
      </c>
    </row>
    <row r="693" spans="1:6">
      <c r="A693" s="14" t="s">
        <v>2021</v>
      </c>
      <c r="B693" t="s">
        <v>2022</v>
      </c>
      <c r="C693" t="s">
        <v>2023</v>
      </c>
      <c r="D693" s="15" t="s">
        <v>2024</v>
      </c>
      <c r="E693" t="s">
        <v>274</v>
      </c>
      <c r="F693" t="s">
        <v>2025</v>
      </c>
    </row>
    <row r="694" spans="1:6">
      <c r="A694" s="14" t="s">
        <v>2026</v>
      </c>
      <c r="B694" t="s">
        <v>2027</v>
      </c>
      <c r="C694" t="s">
        <v>2028</v>
      </c>
      <c r="D694" s="15" t="s">
        <v>273</v>
      </c>
      <c r="E694" t="s">
        <v>274</v>
      </c>
      <c r="F694" t="s">
        <v>2029</v>
      </c>
    </row>
    <row r="695" spans="1:6">
      <c r="A695" s="14" t="s">
        <v>4107</v>
      </c>
      <c r="B695" s="14" t="s">
        <v>4108</v>
      </c>
      <c r="C695" s="14" t="s">
        <v>4109</v>
      </c>
      <c r="D695" s="15" t="s">
        <v>3736</v>
      </c>
      <c r="E695" t="s">
        <v>274</v>
      </c>
      <c r="F695" s="14" t="s">
        <v>4110</v>
      </c>
    </row>
    <row r="696" spans="1:6">
      <c r="A696" s="14" t="s">
        <v>4956</v>
      </c>
      <c r="B696" s="14" t="s">
        <v>366</v>
      </c>
      <c r="C696" s="14" t="s">
        <v>366</v>
      </c>
      <c r="D696" s="15" t="s">
        <v>3736</v>
      </c>
      <c r="E696" s="14" t="s">
        <v>274</v>
      </c>
      <c r="F696" s="14" t="s">
        <v>4957</v>
      </c>
    </row>
    <row r="697" spans="1:6">
      <c r="A697" s="14" t="s">
        <v>2030</v>
      </c>
      <c r="B697" t="s">
        <v>2031</v>
      </c>
      <c r="C697" t="s">
        <v>34</v>
      </c>
      <c r="D697" s="15" t="s">
        <v>273</v>
      </c>
      <c r="E697" t="s">
        <v>274</v>
      </c>
      <c r="F697" t="s">
        <v>2032</v>
      </c>
    </row>
    <row r="698" spans="1:6">
      <c r="A698" s="14" t="s">
        <v>4136</v>
      </c>
      <c r="B698" s="14" t="s">
        <v>4137</v>
      </c>
      <c r="C698" s="14" t="s">
        <v>366</v>
      </c>
      <c r="D698" s="15" t="s">
        <v>3736</v>
      </c>
      <c r="E698" s="14" t="s">
        <v>327</v>
      </c>
      <c r="F698" s="14" t="s">
        <v>4138</v>
      </c>
    </row>
    <row r="699" spans="1:6">
      <c r="A699" s="14" t="s">
        <v>2033</v>
      </c>
      <c r="B699" t="s">
        <v>2034</v>
      </c>
      <c r="C699" t="s">
        <v>278</v>
      </c>
      <c r="D699" s="15" t="s">
        <v>273</v>
      </c>
      <c r="E699" t="s">
        <v>274</v>
      </c>
      <c r="F699" t="s">
        <v>2035</v>
      </c>
    </row>
    <row r="700" spans="1:6">
      <c r="A700" s="14" t="s">
        <v>4194</v>
      </c>
      <c r="B700" s="14" t="s">
        <v>4195</v>
      </c>
      <c r="C700" s="14" t="s">
        <v>4196</v>
      </c>
      <c r="D700" s="15" t="s">
        <v>3736</v>
      </c>
      <c r="E700" s="14" t="s">
        <v>274</v>
      </c>
      <c r="F700" s="14" t="s">
        <v>4177</v>
      </c>
    </row>
    <row r="701" spans="1:6">
      <c r="A701" s="14" t="s">
        <v>4175</v>
      </c>
      <c r="B701" s="14" t="s">
        <v>4176</v>
      </c>
      <c r="C701" s="14" t="s">
        <v>1795</v>
      </c>
      <c r="D701" s="15" t="s">
        <v>3736</v>
      </c>
      <c r="E701" s="14" t="s">
        <v>274</v>
      </c>
      <c r="F701" s="14" t="s">
        <v>4177</v>
      </c>
    </row>
    <row r="702" spans="1:6">
      <c r="A702" s="14" t="s">
        <v>2036</v>
      </c>
      <c r="B702" t="s">
        <v>2037</v>
      </c>
      <c r="C702" t="s">
        <v>2038</v>
      </c>
      <c r="D702" s="15" t="s">
        <v>273</v>
      </c>
      <c r="E702" t="s">
        <v>274</v>
      </c>
      <c r="F702" t="s">
        <v>2039</v>
      </c>
    </row>
    <row r="703" spans="1:6">
      <c r="A703" s="14" t="s">
        <v>2040</v>
      </c>
      <c r="B703" t="s">
        <v>2041</v>
      </c>
      <c r="C703" t="s">
        <v>273</v>
      </c>
      <c r="D703" s="15" t="s">
        <v>34</v>
      </c>
      <c r="E703" t="s">
        <v>274</v>
      </c>
      <c r="F703" t="s">
        <v>2042</v>
      </c>
    </row>
    <row r="704" spans="1:6">
      <c r="A704" s="14" t="s">
        <v>4120</v>
      </c>
      <c r="B704" s="14" t="s">
        <v>4121</v>
      </c>
      <c r="C704" s="14" t="s">
        <v>1455</v>
      </c>
      <c r="D704" s="15" t="s">
        <v>3736</v>
      </c>
      <c r="E704" t="s">
        <v>4123</v>
      </c>
      <c r="F704" s="14" t="s">
        <v>4122</v>
      </c>
    </row>
    <row r="705" spans="1:6">
      <c r="A705" s="14" t="s">
        <v>2043</v>
      </c>
      <c r="B705" t="s">
        <v>2044</v>
      </c>
      <c r="C705" t="s">
        <v>237</v>
      </c>
      <c r="D705" s="15" t="s">
        <v>273</v>
      </c>
      <c r="E705" t="s">
        <v>274</v>
      </c>
      <c r="F705" t="s">
        <v>2045</v>
      </c>
    </row>
    <row r="706" spans="1:6">
      <c r="A706" s="14" t="s">
        <v>2046</v>
      </c>
      <c r="B706" t="s">
        <v>2047</v>
      </c>
      <c r="C706" t="s">
        <v>601</v>
      </c>
      <c r="D706" s="15" t="s">
        <v>34</v>
      </c>
      <c r="E706" t="s">
        <v>274</v>
      </c>
      <c r="F706" t="s">
        <v>2048</v>
      </c>
    </row>
    <row r="707" spans="1:6">
      <c r="A707" s="54" t="s">
        <v>3888</v>
      </c>
      <c r="B707" s="51" t="s">
        <v>3890</v>
      </c>
      <c r="C707" t="s">
        <v>288</v>
      </c>
      <c r="D707" s="15" t="s">
        <v>273</v>
      </c>
      <c r="E707" s="51" t="s">
        <v>327</v>
      </c>
      <c r="F707" s="51" t="s">
        <v>3889</v>
      </c>
    </row>
    <row r="708" spans="1:6">
      <c r="A708" s="14" t="s">
        <v>2049</v>
      </c>
      <c r="B708" t="s">
        <v>2050</v>
      </c>
      <c r="C708" t="s">
        <v>278</v>
      </c>
      <c r="D708" s="15" t="s">
        <v>273</v>
      </c>
      <c r="E708" t="s">
        <v>274</v>
      </c>
      <c r="F708" t="s">
        <v>2051</v>
      </c>
    </row>
    <row r="709" spans="1:6">
      <c r="A709" s="14" t="s">
        <v>4089</v>
      </c>
      <c r="B709" t="s">
        <v>4091</v>
      </c>
      <c r="C709" t="s">
        <v>288</v>
      </c>
      <c r="D709" s="15" t="s">
        <v>3683</v>
      </c>
      <c r="E709" t="s">
        <v>274</v>
      </c>
      <c r="F709" t="s">
        <v>4090</v>
      </c>
    </row>
    <row r="710" spans="1:6">
      <c r="A710" s="14" t="s">
        <v>3770</v>
      </c>
      <c r="B710" t="s">
        <v>3771</v>
      </c>
      <c r="C710" t="s">
        <v>238</v>
      </c>
      <c r="D710" s="15" t="s">
        <v>273</v>
      </c>
      <c r="E710" t="s">
        <v>274</v>
      </c>
      <c r="F710" t="s">
        <v>3772</v>
      </c>
    </row>
    <row r="711" spans="1:6">
      <c r="A711" s="14" t="s">
        <v>2052</v>
      </c>
      <c r="B711" t="s">
        <v>2053</v>
      </c>
      <c r="C711" t="s">
        <v>278</v>
      </c>
      <c r="D711" s="15" t="s">
        <v>273</v>
      </c>
      <c r="E711" t="s">
        <v>327</v>
      </c>
      <c r="F711" t="s">
        <v>3773</v>
      </c>
    </row>
    <row r="712" spans="1:6">
      <c r="A712" s="14" t="s">
        <v>2054</v>
      </c>
      <c r="B712" t="s">
        <v>2055</v>
      </c>
      <c r="C712" t="s">
        <v>278</v>
      </c>
      <c r="D712" s="15" t="s">
        <v>34</v>
      </c>
      <c r="E712" t="s">
        <v>274</v>
      </c>
      <c r="F712" t="s">
        <v>2056</v>
      </c>
    </row>
    <row r="713" spans="1:6">
      <c r="A713" s="14" t="s">
        <v>2057</v>
      </c>
      <c r="B713" t="s">
        <v>2058</v>
      </c>
      <c r="C713" t="s">
        <v>235</v>
      </c>
      <c r="D713" s="15" t="s">
        <v>273</v>
      </c>
      <c r="E713" t="s">
        <v>274</v>
      </c>
      <c r="F713" t="s">
        <v>2059</v>
      </c>
    </row>
    <row r="714" spans="1:6">
      <c r="A714" s="14" t="s">
        <v>2060</v>
      </c>
      <c r="B714" t="s">
        <v>2061</v>
      </c>
      <c r="C714" t="s">
        <v>273</v>
      </c>
      <c r="D714" s="15" t="s">
        <v>34</v>
      </c>
      <c r="E714" t="s">
        <v>274</v>
      </c>
      <c r="F714" t="s">
        <v>2062</v>
      </c>
    </row>
    <row r="715" spans="1:6">
      <c r="A715" s="14" t="s">
        <v>2063</v>
      </c>
      <c r="B715" t="s">
        <v>2064</v>
      </c>
      <c r="C715" t="s">
        <v>34</v>
      </c>
      <c r="D715" s="15" t="s">
        <v>273</v>
      </c>
      <c r="E715" t="s">
        <v>274</v>
      </c>
      <c r="F715" t="s">
        <v>2065</v>
      </c>
    </row>
    <row r="716" spans="1:6">
      <c r="A716" s="14" t="s">
        <v>2066</v>
      </c>
      <c r="B716" t="s">
        <v>2067</v>
      </c>
      <c r="C716" t="s">
        <v>2068</v>
      </c>
      <c r="D716" s="15" t="s">
        <v>295</v>
      </c>
      <c r="E716" t="s">
        <v>274</v>
      </c>
      <c r="F716" t="s">
        <v>2069</v>
      </c>
    </row>
    <row r="717" spans="1:6">
      <c r="A717" s="14" t="s">
        <v>2070</v>
      </c>
      <c r="B717" t="s">
        <v>2071</v>
      </c>
      <c r="C717" t="s">
        <v>2072</v>
      </c>
      <c r="D717" s="15" t="s">
        <v>34</v>
      </c>
      <c r="E717" t="s">
        <v>274</v>
      </c>
      <c r="F717" t="s">
        <v>2073</v>
      </c>
    </row>
    <row r="718" spans="1:6">
      <c r="A718" s="14" t="s">
        <v>2074</v>
      </c>
      <c r="B718" t="s">
        <v>2075</v>
      </c>
      <c r="C718" t="s">
        <v>472</v>
      </c>
      <c r="D718" s="15" t="s">
        <v>273</v>
      </c>
      <c r="E718" t="s">
        <v>274</v>
      </c>
      <c r="F718" t="s">
        <v>2076</v>
      </c>
    </row>
    <row r="719" spans="1:6">
      <c r="A719" s="14" t="s">
        <v>2077</v>
      </c>
      <c r="B719" t="s">
        <v>2078</v>
      </c>
      <c r="C719" t="s">
        <v>2079</v>
      </c>
      <c r="D719" s="15" t="s">
        <v>34</v>
      </c>
      <c r="E719" t="s">
        <v>274</v>
      </c>
      <c r="F719" t="s">
        <v>2080</v>
      </c>
    </row>
    <row r="720" spans="1:6">
      <c r="A720" s="14" t="s">
        <v>2081</v>
      </c>
      <c r="B720" t="s">
        <v>2082</v>
      </c>
      <c r="C720" t="s">
        <v>374</v>
      </c>
      <c r="D720" s="15" t="s">
        <v>236</v>
      </c>
      <c r="E720" t="s">
        <v>274</v>
      </c>
      <c r="F720" t="s">
        <v>2083</v>
      </c>
    </row>
    <row r="721" spans="1:6">
      <c r="A721" s="14" t="s">
        <v>3851</v>
      </c>
      <c r="B721" t="s">
        <v>3852</v>
      </c>
      <c r="C721" t="s">
        <v>278</v>
      </c>
      <c r="D721" s="15" t="s">
        <v>273</v>
      </c>
      <c r="E721" t="s">
        <v>274</v>
      </c>
      <c r="F721" t="s">
        <v>3853</v>
      </c>
    </row>
    <row r="722" spans="1:6">
      <c r="A722" s="14" t="s">
        <v>3907</v>
      </c>
      <c r="B722" t="s">
        <v>3908</v>
      </c>
      <c r="C722" t="s">
        <v>278</v>
      </c>
      <c r="D722" s="15" t="s">
        <v>273</v>
      </c>
      <c r="E722" t="s">
        <v>274</v>
      </c>
      <c r="F722" t="s">
        <v>3909</v>
      </c>
    </row>
    <row r="723" spans="1:6">
      <c r="A723" s="14" t="s">
        <v>2084</v>
      </c>
      <c r="B723" t="s">
        <v>2085</v>
      </c>
      <c r="C723" t="s">
        <v>273</v>
      </c>
      <c r="D723" s="15" t="s">
        <v>34</v>
      </c>
      <c r="E723" t="s">
        <v>274</v>
      </c>
      <c r="F723" t="s">
        <v>2086</v>
      </c>
    </row>
    <row r="724" spans="1:6">
      <c r="A724" s="14" t="s">
        <v>2087</v>
      </c>
      <c r="B724" t="s">
        <v>2088</v>
      </c>
      <c r="C724" t="s">
        <v>2089</v>
      </c>
      <c r="D724" s="15" t="s">
        <v>273</v>
      </c>
      <c r="E724" t="s">
        <v>327</v>
      </c>
      <c r="F724" t="s">
        <v>2090</v>
      </c>
    </row>
    <row r="725" spans="1:6">
      <c r="A725" s="14" t="s">
        <v>2091</v>
      </c>
      <c r="B725" t="s">
        <v>2092</v>
      </c>
      <c r="C725" t="s">
        <v>34</v>
      </c>
      <c r="D725" s="15" t="s">
        <v>273</v>
      </c>
      <c r="E725" t="s">
        <v>274</v>
      </c>
      <c r="F725" t="s">
        <v>2093</v>
      </c>
    </row>
    <row r="726" spans="1:6">
      <c r="A726" s="14" t="s">
        <v>2094</v>
      </c>
      <c r="B726" t="s">
        <v>2095</v>
      </c>
      <c r="C726" t="s">
        <v>911</v>
      </c>
      <c r="D726" s="15" t="s">
        <v>273</v>
      </c>
      <c r="E726" t="s">
        <v>274</v>
      </c>
      <c r="F726" t="s">
        <v>2096</v>
      </c>
    </row>
    <row r="727" spans="1:6">
      <c r="A727" s="14" t="s">
        <v>3647</v>
      </c>
      <c r="B727" t="s">
        <v>3666</v>
      </c>
      <c r="C727" t="s">
        <v>374</v>
      </c>
      <c r="D727" s="15" t="s">
        <v>236</v>
      </c>
      <c r="E727" t="s">
        <v>274</v>
      </c>
      <c r="F727" t="s">
        <v>3665</v>
      </c>
    </row>
    <row r="728" spans="1:6">
      <c r="A728" s="14" t="s">
        <v>2097</v>
      </c>
      <c r="B728" t="s">
        <v>2098</v>
      </c>
      <c r="C728" t="s">
        <v>278</v>
      </c>
      <c r="D728" s="15" t="s">
        <v>273</v>
      </c>
      <c r="E728" t="s">
        <v>274</v>
      </c>
      <c r="F728" t="s">
        <v>150</v>
      </c>
    </row>
    <row r="729" spans="1:6">
      <c r="A729" s="14" t="s">
        <v>2099</v>
      </c>
      <c r="B729" t="s">
        <v>2100</v>
      </c>
      <c r="C729" t="s">
        <v>911</v>
      </c>
      <c r="D729" s="15" t="s">
        <v>273</v>
      </c>
      <c r="E729" t="s">
        <v>274</v>
      </c>
      <c r="F729" t="s">
        <v>2101</v>
      </c>
    </row>
    <row r="730" spans="1:6">
      <c r="A730" s="14" t="s">
        <v>2102</v>
      </c>
      <c r="B730" t="s">
        <v>2103</v>
      </c>
      <c r="C730" t="s">
        <v>2104</v>
      </c>
      <c r="D730" s="15" t="s">
        <v>295</v>
      </c>
      <c r="E730" t="s">
        <v>274</v>
      </c>
      <c r="F730" t="s">
        <v>2105</v>
      </c>
    </row>
    <row r="731" spans="1:6">
      <c r="A731" s="14" t="s">
        <v>3652</v>
      </c>
      <c r="B731" t="s">
        <v>3649</v>
      </c>
      <c r="C731" t="s">
        <v>3650</v>
      </c>
      <c r="D731" s="15" t="s">
        <v>273</v>
      </c>
      <c r="E731" t="s">
        <v>274</v>
      </c>
      <c r="F731" t="s">
        <v>3651</v>
      </c>
    </row>
    <row r="732" spans="1:6">
      <c r="A732" s="14" t="s">
        <v>3696</v>
      </c>
      <c r="B732" t="s">
        <v>3697</v>
      </c>
      <c r="C732" t="s">
        <v>278</v>
      </c>
      <c r="D732" s="15" t="s">
        <v>273</v>
      </c>
    </row>
    <row r="733" spans="1:6">
      <c r="A733" s="14" t="s">
        <v>2106</v>
      </c>
      <c r="B733" t="s">
        <v>2107</v>
      </c>
      <c r="C733" t="s">
        <v>278</v>
      </c>
      <c r="D733" s="15" t="s">
        <v>273</v>
      </c>
      <c r="E733" t="s">
        <v>274</v>
      </c>
      <c r="F733" t="s">
        <v>2108</v>
      </c>
    </row>
    <row r="734" spans="1:6">
      <c r="A734" s="14" t="s">
        <v>3791</v>
      </c>
      <c r="B734" t="s">
        <v>3792</v>
      </c>
      <c r="C734" t="s">
        <v>255</v>
      </c>
      <c r="D734" s="15" t="s">
        <v>273</v>
      </c>
      <c r="E734" t="s">
        <v>274</v>
      </c>
      <c r="F734" t="s">
        <v>3793</v>
      </c>
    </row>
    <row r="735" spans="1:6">
      <c r="A735" s="14" t="s">
        <v>2109</v>
      </c>
      <c r="B735" t="s">
        <v>2110</v>
      </c>
      <c r="C735" t="s">
        <v>278</v>
      </c>
      <c r="D735" s="15" t="s">
        <v>273</v>
      </c>
      <c r="E735" t="s">
        <v>274</v>
      </c>
      <c r="F735" t="s">
        <v>2111</v>
      </c>
    </row>
    <row r="736" spans="1:6">
      <c r="A736" s="14" t="s">
        <v>2112</v>
      </c>
      <c r="B736" t="s">
        <v>2113</v>
      </c>
      <c r="C736" t="s">
        <v>278</v>
      </c>
      <c r="D736" s="15" t="s">
        <v>273</v>
      </c>
      <c r="E736" t="s">
        <v>274</v>
      </c>
      <c r="F736" t="s">
        <v>2114</v>
      </c>
    </row>
    <row r="737" spans="1:6">
      <c r="A737" s="14" t="s">
        <v>2115</v>
      </c>
      <c r="B737" t="s">
        <v>2116</v>
      </c>
      <c r="C737" t="s">
        <v>273</v>
      </c>
      <c r="D737" s="15" t="s">
        <v>34</v>
      </c>
      <c r="E737" t="s">
        <v>274</v>
      </c>
      <c r="F737" t="s">
        <v>2117</v>
      </c>
    </row>
    <row r="738" spans="1:6">
      <c r="A738" s="14" t="s">
        <v>2118</v>
      </c>
      <c r="B738" t="s">
        <v>2119</v>
      </c>
      <c r="C738" t="s">
        <v>2120</v>
      </c>
      <c r="D738" s="15" t="s">
        <v>2121</v>
      </c>
      <c r="E738" t="s">
        <v>274</v>
      </c>
      <c r="F738" t="s">
        <v>2122</v>
      </c>
    </row>
    <row r="739" spans="1:6">
      <c r="A739" s="14" t="s">
        <v>2123</v>
      </c>
      <c r="B739" t="s">
        <v>2124</v>
      </c>
      <c r="C739" t="s">
        <v>313</v>
      </c>
      <c r="D739" s="15" t="s">
        <v>273</v>
      </c>
      <c r="E739" t="s">
        <v>274</v>
      </c>
      <c r="F739" t="s">
        <v>2125</v>
      </c>
    </row>
    <row r="740" spans="1:6">
      <c r="A740" s="14" t="s">
        <v>5325</v>
      </c>
      <c r="B740" s="14" t="s">
        <v>5326</v>
      </c>
      <c r="C740" s="14" t="s">
        <v>238</v>
      </c>
      <c r="D740" s="15" t="s">
        <v>5317</v>
      </c>
      <c r="E740" s="14" t="s">
        <v>274</v>
      </c>
      <c r="F740" s="14" t="s">
        <v>5327</v>
      </c>
    </row>
    <row r="741" spans="1:6">
      <c r="A741" s="14" t="s">
        <v>2126</v>
      </c>
      <c r="B741" t="s">
        <v>2127</v>
      </c>
      <c r="C741" t="s">
        <v>278</v>
      </c>
      <c r="D741" s="15" t="s">
        <v>34</v>
      </c>
      <c r="E741" t="s">
        <v>274</v>
      </c>
      <c r="F741" t="s">
        <v>2128</v>
      </c>
    </row>
    <row r="742" spans="1:6">
      <c r="A742" s="14" t="s">
        <v>2129</v>
      </c>
      <c r="B742" t="s">
        <v>2130</v>
      </c>
      <c r="C742" t="s">
        <v>278</v>
      </c>
      <c r="D742" s="15" t="s">
        <v>34</v>
      </c>
      <c r="E742" t="s">
        <v>327</v>
      </c>
      <c r="F742" t="s">
        <v>2131</v>
      </c>
    </row>
    <row r="743" spans="1:6">
      <c r="A743" s="14" t="s">
        <v>2132</v>
      </c>
      <c r="B743" t="s">
        <v>2133</v>
      </c>
      <c r="C743" t="s">
        <v>2134</v>
      </c>
      <c r="D743" s="15" t="s">
        <v>34</v>
      </c>
      <c r="E743" t="s">
        <v>274</v>
      </c>
      <c r="F743" t="s">
        <v>2135</v>
      </c>
    </row>
    <row r="744" spans="1:6">
      <c r="A744" s="14" t="s">
        <v>4130</v>
      </c>
      <c r="B744" s="14" t="s">
        <v>4131</v>
      </c>
      <c r="C744" s="14" t="s">
        <v>288</v>
      </c>
      <c r="D744" s="15" t="s">
        <v>3683</v>
      </c>
      <c r="E744" s="14" t="s">
        <v>274</v>
      </c>
      <c r="F744" s="14" t="s">
        <v>4132</v>
      </c>
    </row>
    <row r="745" spans="1:6">
      <c r="A745" s="14" t="s">
        <v>2136</v>
      </c>
      <c r="B745" t="s">
        <v>2137</v>
      </c>
      <c r="C745" t="s">
        <v>278</v>
      </c>
      <c r="D745" s="15" t="s">
        <v>273</v>
      </c>
      <c r="E745" t="s">
        <v>274</v>
      </c>
      <c r="F745" t="s">
        <v>2138</v>
      </c>
    </row>
    <row r="746" spans="1:6">
      <c r="A746" s="14" t="s">
        <v>2139</v>
      </c>
      <c r="B746" t="s">
        <v>2140</v>
      </c>
      <c r="C746" t="s">
        <v>2141</v>
      </c>
      <c r="D746" s="15" t="s">
        <v>273</v>
      </c>
      <c r="E746" t="s">
        <v>274</v>
      </c>
      <c r="F746" t="s">
        <v>151</v>
      </c>
    </row>
    <row r="747" spans="1:6">
      <c r="A747" s="14" t="s">
        <v>2142</v>
      </c>
      <c r="B747" t="s">
        <v>2143</v>
      </c>
      <c r="C747" t="s">
        <v>374</v>
      </c>
      <c r="D747" s="15" t="s">
        <v>236</v>
      </c>
      <c r="E747" t="s">
        <v>274</v>
      </c>
      <c r="F747" t="s">
        <v>2144</v>
      </c>
    </row>
    <row r="748" spans="1:6">
      <c r="A748" s="14" t="s">
        <v>2145</v>
      </c>
      <c r="B748" t="s">
        <v>2146</v>
      </c>
      <c r="C748" t="s">
        <v>911</v>
      </c>
      <c r="D748" s="15" t="s">
        <v>273</v>
      </c>
      <c r="E748" t="s">
        <v>274</v>
      </c>
      <c r="F748" t="s">
        <v>2147</v>
      </c>
    </row>
    <row r="749" spans="1:6">
      <c r="A749" s="14" t="s">
        <v>2148</v>
      </c>
      <c r="B749" t="s">
        <v>2149</v>
      </c>
      <c r="C749" t="s">
        <v>911</v>
      </c>
      <c r="D749" s="15" t="s">
        <v>273</v>
      </c>
      <c r="E749" t="s">
        <v>327</v>
      </c>
      <c r="F749" t="s">
        <v>2150</v>
      </c>
    </row>
    <row r="750" spans="1:6">
      <c r="A750" s="14" t="s">
        <v>2151</v>
      </c>
      <c r="B750" t="s">
        <v>2152</v>
      </c>
      <c r="C750" t="s">
        <v>34</v>
      </c>
      <c r="D750" s="15" t="s">
        <v>273</v>
      </c>
      <c r="E750" t="s">
        <v>327</v>
      </c>
      <c r="F750" t="s">
        <v>2153</v>
      </c>
    </row>
    <row r="751" spans="1:6">
      <c r="A751" s="14" t="s">
        <v>2154</v>
      </c>
      <c r="B751" t="s">
        <v>2155</v>
      </c>
      <c r="C751" t="s">
        <v>2156</v>
      </c>
      <c r="D751" s="15" t="s">
        <v>34</v>
      </c>
      <c r="E751" t="s">
        <v>274</v>
      </c>
      <c r="F751" t="s">
        <v>2157</v>
      </c>
    </row>
    <row r="752" spans="1:6">
      <c r="A752" s="14" t="s">
        <v>2158</v>
      </c>
      <c r="B752" t="s">
        <v>2159</v>
      </c>
      <c r="C752" t="s">
        <v>278</v>
      </c>
      <c r="D752" s="15" t="s">
        <v>273</v>
      </c>
      <c r="E752" t="s">
        <v>274</v>
      </c>
      <c r="F752" t="s">
        <v>2160</v>
      </c>
    </row>
    <row r="753" spans="1:6">
      <c r="A753" s="14" t="s">
        <v>2161</v>
      </c>
      <c r="B753" t="s">
        <v>2162</v>
      </c>
      <c r="C753" t="s">
        <v>278</v>
      </c>
      <c r="D753" s="15" t="s">
        <v>273</v>
      </c>
      <c r="E753" t="s">
        <v>274</v>
      </c>
      <c r="F753" t="s">
        <v>2163</v>
      </c>
    </row>
    <row r="754" spans="1:6">
      <c r="A754" s="14" t="s">
        <v>2164</v>
      </c>
      <c r="B754" t="s">
        <v>2165</v>
      </c>
      <c r="C754" t="s">
        <v>278</v>
      </c>
      <c r="D754" s="15" t="s">
        <v>34</v>
      </c>
      <c r="E754" t="s">
        <v>274</v>
      </c>
      <c r="F754" t="s">
        <v>2166</v>
      </c>
    </row>
    <row r="755" spans="1:6">
      <c r="A755" s="14" t="s">
        <v>3867</v>
      </c>
      <c r="B755" t="s">
        <v>3865</v>
      </c>
      <c r="C755" t="s">
        <v>278</v>
      </c>
      <c r="D755" s="15" t="s">
        <v>273</v>
      </c>
      <c r="E755" t="s">
        <v>274</v>
      </c>
      <c r="F755" t="s">
        <v>3866</v>
      </c>
    </row>
    <row r="756" spans="1:6">
      <c r="A756" s="14" t="s">
        <v>2167</v>
      </c>
      <c r="B756" t="s">
        <v>2168</v>
      </c>
      <c r="C756" t="s">
        <v>278</v>
      </c>
      <c r="D756" s="15" t="s">
        <v>34</v>
      </c>
      <c r="E756" t="s">
        <v>274</v>
      </c>
      <c r="F756" t="s">
        <v>2169</v>
      </c>
    </row>
    <row r="757" spans="1:6">
      <c r="A757" s="14" t="s">
        <v>2170</v>
      </c>
      <c r="B757" t="s">
        <v>2171</v>
      </c>
      <c r="C757" t="s">
        <v>34</v>
      </c>
      <c r="D757" s="15" t="s">
        <v>273</v>
      </c>
      <c r="E757" t="s">
        <v>274</v>
      </c>
      <c r="F757" t="s">
        <v>2172</v>
      </c>
    </row>
    <row r="758" spans="1:6">
      <c r="A758" s="14" t="s">
        <v>2173</v>
      </c>
      <c r="B758" t="s">
        <v>2174</v>
      </c>
      <c r="C758" t="s">
        <v>2175</v>
      </c>
      <c r="D758" s="15" t="s">
        <v>273</v>
      </c>
      <c r="E758" t="s">
        <v>274</v>
      </c>
      <c r="F758" t="s">
        <v>2176</v>
      </c>
    </row>
    <row r="759" spans="1:6">
      <c r="A759" s="14" t="s">
        <v>2177</v>
      </c>
      <c r="B759" t="s">
        <v>2178</v>
      </c>
      <c r="C759" t="s">
        <v>2179</v>
      </c>
      <c r="D759" s="15" t="s">
        <v>273</v>
      </c>
      <c r="E759" t="s">
        <v>274</v>
      </c>
      <c r="F759" t="s">
        <v>2180</v>
      </c>
    </row>
    <row r="760" spans="1:6">
      <c r="A760" s="14" t="s">
        <v>4155</v>
      </c>
      <c r="B760" s="14" t="s">
        <v>4156</v>
      </c>
      <c r="C760" s="14" t="s">
        <v>288</v>
      </c>
      <c r="D760" s="15" t="s">
        <v>3683</v>
      </c>
      <c r="E760" s="14" t="s">
        <v>274</v>
      </c>
      <c r="F760" s="14" t="s">
        <v>4157</v>
      </c>
    </row>
    <row r="761" spans="1:6">
      <c r="A761" s="14" t="s">
        <v>2181</v>
      </c>
      <c r="B761" t="s">
        <v>2182</v>
      </c>
      <c r="C761" t="s">
        <v>2141</v>
      </c>
      <c r="D761" s="15" t="s">
        <v>273</v>
      </c>
      <c r="E761" t="s">
        <v>274</v>
      </c>
      <c r="F761" t="s">
        <v>2183</v>
      </c>
    </row>
    <row r="762" spans="1:6">
      <c r="A762" s="14" t="s">
        <v>2184</v>
      </c>
      <c r="B762" t="s">
        <v>2185</v>
      </c>
      <c r="C762" t="s">
        <v>237</v>
      </c>
      <c r="D762" s="15" t="s">
        <v>273</v>
      </c>
      <c r="E762" t="s">
        <v>274</v>
      </c>
      <c r="F762" t="s">
        <v>2186</v>
      </c>
    </row>
    <row r="763" spans="1:6">
      <c r="A763" s="14" t="s">
        <v>2187</v>
      </c>
      <c r="B763" t="s">
        <v>2188</v>
      </c>
      <c r="C763" t="s">
        <v>237</v>
      </c>
      <c r="D763" s="15" t="s">
        <v>273</v>
      </c>
      <c r="E763" t="s">
        <v>274</v>
      </c>
      <c r="F763" t="s">
        <v>2189</v>
      </c>
    </row>
    <row r="764" spans="1:6">
      <c r="A764" s="14" t="s">
        <v>2190</v>
      </c>
      <c r="B764" t="s">
        <v>2191</v>
      </c>
      <c r="C764" t="s">
        <v>2089</v>
      </c>
      <c r="D764" s="15" t="s">
        <v>273</v>
      </c>
      <c r="E764" t="s">
        <v>274</v>
      </c>
      <c r="F764" t="s">
        <v>2192</v>
      </c>
    </row>
    <row r="765" spans="1:6">
      <c r="A765" s="14" t="s">
        <v>3731</v>
      </c>
      <c r="B765" t="s">
        <v>3732</v>
      </c>
      <c r="C765" t="s">
        <v>278</v>
      </c>
      <c r="D765" s="15" t="s">
        <v>273</v>
      </c>
      <c r="E765" t="s">
        <v>274</v>
      </c>
      <c r="F765" t="s">
        <v>3733</v>
      </c>
    </row>
    <row r="766" spans="1:6">
      <c r="A766" s="14" t="s">
        <v>5850</v>
      </c>
      <c r="B766" t="s">
        <v>5851</v>
      </c>
      <c r="C766" t="s">
        <v>5852</v>
      </c>
      <c r="D766" s="15" t="s">
        <v>3736</v>
      </c>
      <c r="E766" t="s">
        <v>274</v>
      </c>
      <c r="F766" t="s">
        <v>5853</v>
      </c>
    </row>
    <row r="767" spans="1:6">
      <c r="A767" s="14" t="s">
        <v>5283</v>
      </c>
      <c r="B767" s="14" t="s">
        <v>5284</v>
      </c>
      <c r="C767" s="14" t="s">
        <v>278</v>
      </c>
      <c r="D767" s="15" t="s">
        <v>3736</v>
      </c>
      <c r="E767" s="14" t="s">
        <v>274</v>
      </c>
      <c r="F767" s="111" t="s">
        <v>5285</v>
      </c>
    </row>
    <row r="768" spans="1:6">
      <c r="A768" s="14" t="s">
        <v>2193</v>
      </c>
      <c r="B768" t="s">
        <v>2194</v>
      </c>
      <c r="C768" t="s">
        <v>278</v>
      </c>
      <c r="D768" s="15" t="s">
        <v>273</v>
      </c>
      <c r="E768" t="s">
        <v>327</v>
      </c>
      <c r="F768" t="s">
        <v>2195</v>
      </c>
    </row>
    <row r="769" spans="1:6">
      <c r="A769" s="14" t="s">
        <v>2196</v>
      </c>
      <c r="B769" t="s">
        <v>2197</v>
      </c>
      <c r="C769" t="s">
        <v>594</v>
      </c>
      <c r="D769" s="15" t="s">
        <v>34</v>
      </c>
      <c r="E769" t="s">
        <v>274</v>
      </c>
      <c r="F769" t="s">
        <v>2198</v>
      </c>
    </row>
    <row r="770" spans="1:6">
      <c r="A770" s="14" t="s">
        <v>2199</v>
      </c>
      <c r="B770" t="s">
        <v>2200</v>
      </c>
      <c r="C770" t="s">
        <v>278</v>
      </c>
      <c r="D770" s="15" t="s">
        <v>273</v>
      </c>
      <c r="E770" t="s">
        <v>274</v>
      </c>
      <c r="F770" t="s">
        <v>2201</v>
      </c>
    </row>
    <row r="771" spans="1:6">
      <c r="A771" s="14" t="s">
        <v>2202</v>
      </c>
      <c r="B771" t="s">
        <v>2203</v>
      </c>
      <c r="C771" t="s">
        <v>278</v>
      </c>
      <c r="D771" s="15" t="s">
        <v>273</v>
      </c>
      <c r="E771" t="s">
        <v>327</v>
      </c>
      <c r="F771" t="s">
        <v>2204</v>
      </c>
    </row>
    <row r="772" spans="1:6">
      <c r="A772" s="14" t="s">
        <v>2205</v>
      </c>
      <c r="B772" t="s">
        <v>2206</v>
      </c>
      <c r="C772" t="s">
        <v>273</v>
      </c>
      <c r="D772" s="15" t="s">
        <v>273</v>
      </c>
      <c r="E772" t="s">
        <v>274</v>
      </c>
      <c r="F772" t="s">
        <v>2207</v>
      </c>
    </row>
    <row r="773" spans="1:6">
      <c r="A773" s="14" t="s">
        <v>2208</v>
      </c>
      <c r="B773" t="s">
        <v>2209</v>
      </c>
      <c r="C773" t="s">
        <v>278</v>
      </c>
      <c r="D773" s="15" t="s">
        <v>273</v>
      </c>
      <c r="E773" t="s">
        <v>274</v>
      </c>
      <c r="F773" t="s">
        <v>2210</v>
      </c>
    </row>
    <row r="774" spans="1:6">
      <c r="A774" s="14" t="s">
        <v>2211</v>
      </c>
      <c r="B774" t="s">
        <v>2212</v>
      </c>
      <c r="C774" t="s">
        <v>1159</v>
      </c>
      <c r="D774" s="15" t="s">
        <v>34</v>
      </c>
      <c r="E774" t="s">
        <v>274</v>
      </c>
      <c r="F774" t="s">
        <v>2213</v>
      </c>
    </row>
    <row r="775" spans="1:6">
      <c r="A775" s="14" t="s">
        <v>2214</v>
      </c>
      <c r="B775" t="s">
        <v>2215</v>
      </c>
      <c r="C775" t="s">
        <v>911</v>
      </c>
      <c r="D775" s="15" t="s">
        <v>273</v>
      </c>
      <c r="E775" t="s">
        <v>327</v>
      </c>
      <c r="F775" t="s">
        <v>2216</v>
      </c>
    </row>
    <row r="776" spans="1:6">
      <c r="A776" s="14" t="s">
        <v>3831</v>
      </c>
      <c r="B776" t="s">
        <v>3833</v>
      </c>
      <c r="C776" t="s">
        <v>3834</v>
      </c>
      <c r="D776" s="15" t="s">
        <v>273</v>
      </c>
      <c r="E776" t="s">
        <v>274</v>
      </c>
      <c r="F776" t="s">
        <v>3832</v>
      </c>
    </row>
    <row r="777" spans="1:6">
      <c r="A777" s="14" t="s">
        <v>2217</v>
      </c>
      <c r="B777" t="s">
        <v>2218</v>
      </c>
      <c r="C777" t="s">
        <v>273</v>
      </c>
      <c r="D777" s="15" t="s">
        <v>273</v>
      </c>
      <c r="E777" t="s">
        <v>274</v>
      </c>
      <c r="F777" t="s">
        <v>152</v>
      </c>
    </row>
    <row r="778" spans="1:6">
      <c r="A778" s="14" t="s">
        <v>2219</v>
      </c>
      <c r="B778" t="s">
        <v>2220</v>
      </c>
      <c r="C778" t="s">
        <v>2221</v>
      </c>
      <c r="D778" s="15" t="s">
        <v>1166</v>
      </c>
      <c r="E778" t="s">
        <v>274</v>
      </c>
      <c r="F778" t="s">
        <v>2222</v>
      </c>
    </row>
    <row r="779" spans="1:6">
      <c r="A779" s="14" t="s">
        <v>2223</v>
      </c>
      <c r="B779" t="s">
        <v>2224</v>
      </c>
      <c r="C779" t="s">
        <v>235</v>
      </c>
      <c r="D779" s="15" t="s">
        <v>273</v>
      </c>
      <c r="E779" t="s">
        <v>274</v>
      </c>
      <c r="F779" t="s">
        <v>2225</v>
      </c>
    </row>
    <row r="780" spans="1:6">
      <c r="A780" s="14" t="s">
        <v>2226</v>
      </c>
      <c r="B780" t="s">
        <v>2227</v>
      </c>
      <c r="C780" t="s">
        <v>278</v>
      </c>
      <c r="D780" s="15" t="s">
        <v>273</v>
      </c>
      <c r="E780" t="s">
        <v>274</v>
      </c>
      <c r="F780" t="s">
        <v>2228</v>
      </c>
    </row>
    <row r="781" spans="1:6">
      <c r="A781" s="14" t="s">
        <v>2229</v>
      </c>
      <c r="B781" t="s">
        <v>2230</v>
      </c>
      <c r="C781" t="s">
        <v>288</v>
      </c>
      <c r="D781" s="15" t="s">
        <v>374</v>
      </c>
      <c r="E781" t="s">
        <v>274</v>
      </c>
      <c r="F781" t="s">
        <v>2231</v>
      </c>
    </row>
    <row r="782" spans="1:6">
      <c r="A782" s="14" t="s">
        <v>2232</v>
      </c>
      <c r="B782" t="s">
        <v>2233</v>
      </c>
      <c r="C782" t="s">
        <v>34</v>
      </c>
      <c r="D782" s="15" t="s">
        <v>273</v>
      </c>
      <c r="E782" t="s">
        <v>274</v>
      </c>
      <c r="F782" t="s">
        <v>2234</v>
      </c>
    </row>
    <row r="783" spans="1:6">
      <c r="A783" s="14" t="s">
        <v>2235</v>
      </c>
      <c r="B783" t="s">
        <v>2236</v>
      </c>
      <c r="C783" t="s">
        <v>237</v>
      </c>
      <c r="D783" s="15" t="s">
        <v>273</v>
      </c>
      <c r="E783" t="s">
        <v>274</v>
      </c>
      <c r="F783" t="s">
        <v>2237</v>
      </c>
    </row>
    <row r="784" spans="1:6">
      <c r="A784" s="14" t="s">
        <v>2238</v>
      </c>
      <c r="B784" t="s">
        <v>2239</v>
      </c>
      <c r="C784" t="s">
        <v>2240</v>
      </c>
      <c r="D784" s="15" t="s">
        <v>273</v>
      </c>
      <c r="E784" t="s">
        <v>274</v>
      </c>
      <c r="F784" t="s">
        <v>2241</v>
      </c>
    </row>
    <row r="785" spans="1:6">
      <c r="A785" s="14" t="s">
        <v>2242</v>
      </c>
      <c r="B785" t="s">
        <v>2243</v>
      </c>
      <c r="C785" t="s">
        <v>237</v>
      </c>
      <c r="D785" s="15" t="s">
        <v>273</v>
      </c>
      <c r="E785" t="s">
        <v>274</v>
      </c>
      <c r="F785" t="s">
        <v>2244</v>
      </c>
    </row>
    <row r="786" spans="1:6">
      <c r="A786" s="14" t="s">
        <v>2245</v>
      </c>
      <c r="B786" t="s">
        <v>2246</v>
      </c>
      <c r="C786" t="s">
        <v>1530</v>
      </c>
      <c r="D786" s="15" t="s">
        <v>273</v>
      </c>
      <c r="E786" t="s">
        <v>274</v>
      </c>
      <c r="F786" t="s">
        <v>2247</v>
      </c>
    </row>
    <row r="787" spans="1:6">
      <c r="A787" s="14" t="s">
        <v>2248</v>
      </c>
      <c r="B787" t="s">
        <v>2249</v>
      </c>
      <c r="C787" t="s">
        <v>2250</v>
      </c>
      <c r="D787" s="15" t="s">
        <v>273</v>
      </c>
      <c r="E787" t="s">
        <v>274</v>
      </c>
      <c r="F787" t="s">
        <v>2251</v>
      </c>
    </row>
    <row r="788" spans="1:6">
      <c r="A788" s="14" t="s">
        <v>2252</v>
      </c>
      <c r="B788" t="s">
        <v>2253</v>
      </c>
      <c r="C788" t="s">
        <v>255</v>
      </c>
      <c r="D788" s="15" t="s">
        <v>273</v>
      </c>
      <c r="E788" t="s">
        <v>274</v>
      </c>
      <c r="F788" t="s">
        <v>2254</v>
      </c>
    </row>
    <row r="789" spans="1:6">
      <c r="A789" s="14" t="s">
        <v>3794</v>
      </c>
      <c r="B789" t="s">
        <v>3795</v>
      </c>
      <c r="C789" t="s">
        <v>366</v>
      </c>
      <c r="D789" s="15" t="s">
        <v>273</v>
      </c>
      <c r="E789" t="s">
        <v>274</v>
      </c>
      <c r="F789" t="s">
        <v>3796</v>
      </c>
    </row>
    <row r="790" spans="1:6">
      <c r="A790" s="14" t="s">
        <v>2255</v>
      </c>
      <c r="B790" t="s">
        <v>2256</v>
      </c>
      <c r="C790" t="s">
        <v>278</v>
      </c>
      <c r="D790" s="15" t="s">
        <v>273</v>
      </c>
      <c r="E790" t="s">
        <v>274</v>
      </c>
      <c r="F790" t="s">
        <v>2257</v>
      </c>
    </row>
    <row r="791" spans="1:6">
      <c r="A791" s="14" t="s">
        <v>2258</v>
      </c>
      <c r="B791" t="s">
        <v>2259</v>
      </c>
      <c r="C791" t="s">
        <v>285</v>
      </c>
      <c r="D791" s="15" t="s">
        <v>273</v>
      </c>
      <c r="E791" t="s">
        <v>274</v>
      </c>
      <c r="F791" t="s">
        <v>2260</v>
      </c>
    </row>
    <row r="792" spans="1:6">
      <c r="A792" s="14" t="s">
        <v>2261</v>
      </c>
      <c r="B792" t="s">
        <v>2262</v>
      </c>
      <c r="C792" t="s">
        <v>2263</v>
      </c>
      <c r="D792" s="15" t="s">
        <v>273</v>
      </c>
      <c r="E792" t="s">
        <v>274</v>
      </c>
      <c r="F792" t="s">
        <v>3797</v>
      </c>
    </row>
    <row r="793" spans="1:6">
      <c r="A793" s="14" t="s">
        <v>2264</v>
      </c>
      <c r="B793" t="s">
        <v>2265</v>
      </c>
      <c r="C793" t="s">
        <v>911</v>
      </c>
      <c r="D793" s="15" t="s">
        <v>273</v>
      </c>
      <c r="E793" t="s">
        <v>327</v>
      </c>
      <c r="F793" t="s">
        <v>2266</v>
      </c>
    </row>
    <row r="794" spans="1:6">
      <c r="A794" s="14" t="s">
        <v>2267</v>
      </c>
      <c r="B794" t="s">
        <v>2268</v>
      </c>
      <c r="C794" t="s">
        <v>2269</v>
      </c>
      <c r="D794" s="15" t="s">
        <v>273</v>
      </c>
      <c r="E794" t="s">
        <v>274</v>
      </c>
      <c r="F794" t="s">
        <v>2270</v>
      </c>
    </row>
    <row r="795" spans="1:6">
      <c r="A795" s="14" t="s">
        <v>2271</v>
      </c>
      <c r="B795" t="s">
        <v>2272</v>
      </c>
      <c r="C795" t="s">
        <v>278</v>
      </c>
      <c r="D795" s="15" t="s">
        <v>273</v>
      </c>
      <c r="E795" t="s">
        <v>274</v>
      </c>
      <c r="F795" t="s">
        <v>2273</v>
      </c>
    </row>
    <row r="796" spans="1:6">
      <c r="A796" s="14" t="s">
        <v>2274</v>
      </c>
      <c r="B796" t="s">
        <v>2275</v>
      </c>
      <c r="C796" t="s">
        <v>2276</v>
      </c>
      <c r="D796" s="15" t="s">
        <v>273</v>
      </c>
      <c r="E796" t="s">
        <v>274</v>
      </c>
      <c r="F796" t="s">
        <v>2277</v>
      </c>
    </row>
    <row r="797" spans="1:6">
      <c r="A797" s="14" t="s">
        <v>2278</v>
      </c>
      <c r="B797" t="s">
        <v>2279</v>
      </c>
      <c r="C797" t="s">
        <v>278</v>
      </c>
      <c r="D797" s="15" t="s">
        <v>273</v>
      </c>
      <c r="E797" t="s">
        <v>274</v>
      </c>
      <c r="F797" t="s">
        <v>2280</v>
      </c>
    </row>
    <row r="798" spans="1:6">
      <c r="A798" s="14" t="s">
        <v>2281</v>
      </c>
      <c r="B798" t="s">
        <v>2282</v>
      </c>
      <c r="C798" t="s">
        <v>278</v>
      </c>
      <c r="D798" s="15" t="s">
        <v>2283</v>
      </c>
      <c r="E798" t="s">
        <v>274</v>
      </c>
      <c r="F798" t="s">
        <v>2284</v>
      </c>
    </row>
    <row r="799" spans="1:6">
      <c r="A799" s="14" t="s">
        <v>3848</v>
      </c>
      <c r="B799" t="s">
        <v>3849</v>
      </c>
      <c r="C799" t="s">
        <v>288</v>
      </c>
      <c r="D799" s="15" t="s">
        <v>3839</v>
      </c>
      <c r="E799" t="s">
        <v>274</v>
      </c>
      <c r="F799" t="s">
        <v>3850</v>
      </c>
    </row>
    <row r="800" spans="1:6">
      <c r="A800" s="14" t="s">
        <v>2285</v>
      </c>
      <c r="B800" t="s">
        <v>2286</v>
      </c>
      <c r="C800" t="s">
        <v>273</v>
      </c>
      <c r="D800" s="15" t="s">
        <v>273</v>
      </c>
      <c r="E800" t="s">
        <v>274</v>
      </c>
      <c r="F800" t="s">
        <v>2287</v>
      </c>
    </row>
    <row r="801" spans="1:6">
      <c r="A801" s="14" t="s">
        <v>2288</v>
      </c>
      <c r="B801" t="s">
        <v>2289</v>
      </c>
      <c r="C801" t="s">
        <v>278</v>
      </c>
      <c r="D801" s="15" t="s">
        <v>273</v>
      </c>
      <c r="E801" t="s">
        <v>274</v>
      </c>
      <c r="F801" t="s">
        <v>2290</v>
      </c>
    </row>
    <row r="802" spans="1:6">
      <c r="A802" s="14" t="s">
        <v>2291</v>
      </c>
      <c r="B802" t="s">
        <v>2292</v>
      </c>
      <c r="C802" t="s">
        <v>2293</v>
      </c>
      <c r="D802" s="15" t="s">
        <v>2294</v>
      </c>
      <c r="E802" t="s">
        <v>274</v>
      </c>
      <c r="F802" t="s">
        <v>2295</v>
      </c>
    </row>
    <row r="803" spans="1:6">
      <c r="A803" s="14" t="s">
        <v>2296</v>
      </c>
      <c r="B803" t="s">
        <v>2297</v>
      </c>
      <c r="C803" t="s">
        <v>273</v>
      </c>
      <c r="D803" s="15" t="s">
        <v>273</v>
      </c>
      <c r="E803" t="s">
        <v>274</v>
      </c>
      <c r="F803" t="s">
        <v>2298</v>
      </c>
    </row>
    <row r="804" spans="1:6">
      <c r="A804" s="14" t="s">
        <v>2299</v>
      </c>
      <c r="B804" t="s">
        <v>2300</v>
      </c>
      <c r="C804" t="s">
        <v>2301</v>
      </c>
      <c r="D804" s="15" t="s">
        <v>273</v>
      </c>
      <c r="E804" t="s">
        <v>274</v>
      </c>
      <c r="F804" t="s">
        <v>2302</v>
      </c>
    </row>
    <row r="805" spans="1:6">
      <c r="A805" s="14" t="s">
        <v>3992</v>
      </c>
      <c r="B805" t="s">
        <v>3993</v>
      </c>
      <c r="C805" t="s">
        <v>278</v>
      </c>
      <c r="D805" s="15" t="s">
        <v>3736</v>
      </c>
      <c r="E805" t="s">
        <v>274</v>
      </c>
      <c r="F805" t="s">
        <v>3994</v>
      </c>
    </row>
    <row r="806" spans="1:6">
      <c r="A806" s="14" t="s">
        <v>2303</v>
      </c>
      <c r="B806" t="s">
        <v>2304</v>
      </c>
      <c r="C806" t="s">
        <v>273</v>
      </c>
      <c r="D806" s="15" t="s">
        <v>273</v>
      </c>
      <c r="E806" t="s">
        <v>327</v>
      </c>
      <c r="F806" t="s">
        <v>2305</v>
      </c>
    </row>
    <row r="807" spans="1:6">
      <c r="A807" s="14" t="s">
        <v>2306</v>
      </c>
      <c r="B807" t="s">
        <v>2307</v>
      </c>
      <c r="C807" t="s">
        <v>273</v>
      </c>
      <c r="D807" s="15" t="s">
        <v>273</v>
      </c>
      <c r="E807" t="s">
        <v>327</v>
      </c>
      <c r="F807" t="s">
        <v>2308</v>
      </c>
    </row>
    <row r="808" spans="1:6">
      <c r="A808" s="14" t="s">
        <v>2309</v>
      </c>
      <c r="B808" t="s">
        <v>2310</v>
      </c>
      <c r="C808" t="s">
        <v>472</v>
      </c>
      <c r="D808" s="15" t="s">
        <v>273</v>
      </c>
      <c r="E808" t="s">
        <v>274</v>
      </c>
      <c r="F808" t="s">
        <v>2311</v>
      </c>
    </row>
    <row r="809" spans="1:6">
      <c r="A809" s="14" t="s">
        <v>4008</v>
      </c>
      <c r="B809" t="s">
        <v>4009</v>
      </c>
      <c r="C809" t="s">
        <v>4010</v>
      </c>
      <c r="D809" s="15" t="s">
        <v>3736</v>
      </c>
      <c r="E809" t="s">
        <v>274</v>
      </c>
      <c r="F809" t="s">
        <v>4011</v>
      </c>
    </row>
    <row r="810" spans="1:6">
      <c r="A810" s="14" t="s">
        <v>3646</v>
      </c>
      <c r="B810" t="s">
        <v>3645</v>
      </c>
      <c r="C810" t="s">
        <v>34</v>
      </c>
      <c r="D810" s="15" t="s">
        <v>273</v>
      </c>
      <c r="E810" t="s">
        <v>274</v>
      </c>
      <c r="F810" t="s">
        <v>2312</v>
      </c>
    </row>
    <row r="811" spans="1:6">
      <c r="A811" s="14" t="s">
        <v>3692</v>
      </c>
      <c r="B811" t="s">
        <v>2313</v>
      </c>
      <c r="C811" t="s">
        <v>278</v>
      </c>
      <c r="D811" s="15" t="s">
        <v>273</v>
      </c>
      <c r="E811" t="s">
        <v>274</v>
      </c>
      <c r="F811" t="s">
        <v>2314</v>
      </c>
    </row>
    <row r="812" spans="1:6">
      <c r="A812" s="14" t="s">
        <v>2315</v>
      </c>
      <c r="B812" t="s">
        <v>2316</v>
      </c>
      <c r="C812" t="s">
        <v>2317</v>
      </c>
      <c r="D812" s="15" t="s">
        <v>273</v>
      </c>
      <c r="E812" t="s">
        <v>274</v>
      </c>
      <c r="F812" t="s">
        <v>2318</v>
      </c>
    </row>
    <row r="813" spans="1:6">
      <c r="A813" s="14" t="s">
        <v>2319</v>
      </c>
      <c r="B813" t="s">
        <v>2320</v>
      </c>
      <c r="C813" t="s">
        <v>911</v>
      </c>
      <c r="D813" s="15" t="s">
        <v>273</v>
      </c>
      <c r="E813" t="s">
        <v>274</v>
      </c>
      <c r="F813" t="s">
        <v>2321</v>
      </c>
    </row>
    <row r="814" spans="1:6">
      <c r="A814" s="14" t="s">
        <v>2322</v>
      </c>
      <c r="B814" t="s">
        <v>2323</v>
      </c>
      <c r="C814" t="s">
        <v>273</v>
      </c>
      <c r="D814" s="15" t="s">
        <v>273</v>
      </c>
      <c r="E814" t="s">
        <v>274</v>
      </c>
      <c r="F814" t="s">
        <v>2324</v>
      </c>
    </row>
    <row r="815" spans="1:6">
      <c r="A815" s="14" t="s">
        <v>5907</v>
      </c>
      <c r="B815" s="14" t="s">
        <v>5908</v>
      </c>
      <c r="C815" s="14" t="s">
        <v>487</v>
      </c>
      <c r="D815" s="15" t="s">
        <v>3736</v>
      </c>
      <c r="E815" s="14" t="s">
        <v>5379</v>
      </c>
      <c r="F815">
        <v>33714004889</v>
      </c>
    </row>
    <row r="816" spans="1:6">
      <c r="A816" s="14" t="s">
        <v>2325</v>
      </c>
      <c r="B816" t="s">
        <v>2326</v>
      </c>
      <c r="C816" t="s">
        <v>273</v>
      </c>
      <c r="D816" s="15" t="s">
        <v>273</v>
      </c>
      <c r="E816" t="s">
        <v>274</v>
      </c>
      <c r="F816" t="s">
        <v>153</v>
      </c>
    </row>
    <row r="817" spans="1:6">
      <c r="A817" s="14" t="s">
        <v>2327</v>
      </c>
      <c r="B817" t="s">
        <v>2328</v>
      </c>
      <c r="C817" t="s">
        <v>1795</v>
      </c>
      <c r="D817" s="15" t="s">
        <v>2283</v>
      </c>
      <c r="E817" t="s">
        <v>274</v>
      </c>
      <c r="F817" t="s">
        <v>2329</v>
      </c>
    </row>
    <row r="818" spans="1:6">
      <c r="A818" s="14" t="s">
        <v>2330</v>
      </c>
      <c r="B818" t="s">
        <v>2331</v>
      </c>
      <c r="C818" t="s">
        <v>911</v>
      </c>
      <c r="D818" s="15" t="s">
        <v>273</v>
      </c>
      <c r="E818" t="s">
        <v>274</v>
      </c>
      <c r="F818" t="s">
        <v>154</v>
      </c>
    </row>
    <row r="819" spans="1:6">
      <c r="A819" s="14" t="s">
        <v>2332</v>
      </c>
      <c r="B819" t="s">
        <v>2333</v>
      </c>
      <c r="C819" t="s">
        <v>273</v>
      </c>
      <c r="D819" s="15" t="s">
        <v>273</v>
      </c>
      <c r="E819" t="s">
        <v>274</v>
      </c>
      <c r="F819" t="s">
        <v>2334</v>
      </c>
    </row>
    <row r="820" spans="1:6">
      <c r="A820" s="14" t="s">
        <v>2335</v>
      </c>
      <c r="B820" t="s">
        <v>2336</v>
      </c>
      <c r="C820" t="s">
        <v>34</v>
      </c>
      <c r="D820" s="15" t="s">
        <v>273</v>
      </c>
      <c r="E820" t="s">
        <v>327</v>
      </c>
      <c r="F820" t="s">
        <v>2337</v>
      </c>
    </row>
    <row r="821" spans="1:6">
      <c r="A821" s="14" t="s">
        <v>3742</v>
      </c>
      <c r="B821"/>
      <c r="C821" t="s">
        <v>278</v>
      </c>
      <c r="D821" s="15" t="s">
        <v>273</v>
      </c>
    </row>
    <row r="822" spans="1:6">
      <c r="A822" s="14" t="s">
        <v>2338</v>
      </c>
      <c r="B822" t="s">
        <v>2339</v>
      </c>
      <c r="C822" t="s">
        <v>34</v>
      </c>
      <c r="D822" s="15" t="s">
        <v>273</v>
      </c>
      <c r="E822" t="s">
        <v>274</v>
      </c>
      <c r="F822" t="s">
        <v>2340</v>
      </c>
    </row>
    <row r="823" spans="1:6">
      <c r="A823" s="14" t="s">
        <v>2341</v>
      </c>
      <c r="B823" t="s">
        <v>2342</v>
      </c>
      <c r="C823" t="s">
        <v>436</v>
      </c>
      <c r="D823" s="15" t="s">
        <v>34</v>
      </c>
      <c r="E823" t="s">
        <v>274</v>
      </c>
      <c r="F823" t="s">
        <v>2343</v>
      </c>
    </row>
    <row r="824" spans="1:6">
      <c r="A824" s="14" t="s">
        <v>2344</v>
      </c>
      <c r="B824" t="s">
        <v>2345</v>
      </c>
      <c r="C824" t="s">
        <v>395</v>
      </c>
      <c r="D824" s="15" t="s">
        <v>34</v>
      </c>
      <c r="E824" t="s">
        <v>274</v>
      </c>
      <c r="F824" t="s">
        <v>797</v>
      </c>
    </row>
    <row r="825" spans="1:6">
      <c r="A825" s="14" t="s">
        <v>2346</v>
      </c>
      <c r="B825" t="s">
        <v>2347</v>
      </c>
      <c r="C825" t="s">
        <v>2348</v>
      </c>
      <c r="D825" s="15" t="s">
        <v>34</v>
      </c>
      <c r="E825" t="s">
        <v>274</v>
      </c>
      <c r="F825" t="s">
        <v>2349</v>
      </c>
    </row>
    <row r="826" spans="1:6">
      <c r="A826" s="14" t="s">
        <v>2350</v>
      </c>
      <c r="B826" t="s">
        <v>2351</v>
      </c>
      <c r="C826" t="s">
        <v>2352</v>
      </c>
      <c r="D826" s="15" t="s">
        <v>295</v>
      </c>
      <c r="E826" t="s">
        <v>274</v>
      </c>
      <c r="F826" t="s">
        <v>2353</v>
      </c>
    </row>
    <row r="827" spans="1:6">
      <c r="A827" s="14" t="s">
        <v>4197</v>
      </c>
      <c r="B827" s="14" t="s">
        <v>4198</v>
      </c>
      <c r="C827" s="14" t="s">
        <v>3327</v>
      </c>
      <c r="D827" s="15" t="s">
        <v>3736</v>
      </c>
      <c r="E827" s="14" t="s">
        <v>274</v>
      </c>
      <c r="F827" s="14" t="s">
        <v>4199</v>
      </c>
    </row>
    <row r="828" spans="1:6">
      <c r="A828" s="14" t="s">
        <v>2354</v>
      </c>
      <c r="B828" t="s">
        <v>2355</v>
      </c>
      <c r="C828" t="s">
        <v>273</v>
      </c>
      <c r="D828" s="15" t="s">
        <v>34</v>
      </c>
      <c r="E828" t="s">
        <v>274</v>
      </c>
      <c r="F828" t="s">
        <v>155</v>
      </c>
    </row>
    <row r="829" spans="1:6">
      <c r="A829" s="14" t="s">
        <v>2356</v>
      </c>
      <c r="B829" t="s">
        <v>2357</v>
      </c>
      <c r="C829" t="s">
        <v>911</v>
      </c>
      <c r="D829" s="15" t="s">
        <v>273</v>
      </c>
      <c r="E829" t="s">
        <v>274</v>
      </c>
      <c r="F829" t="s">
        <v>2358</v>
      </c>
    </row>
    <row r="830" spans="1:6">
      <c r="A830" s="14" t="s">
        <v>3774</v>
      </c>
      <c r="B830" t="s">
        <v>3775</v>
      </c>
      <c r="C830" t="s">
        <v>366</v>
      </c>
      <c r="D830" s="15" t="s">
        <v>3736</v>
      </c>
      <c r="E830" t="s">
        <v>3776</v>
      </c>
      <c r="F830" t="s">
        <v>3777</v>
      </c>
    </row>
    <row r="831" spans="1:6">
      <c r="A831" s="14" t="s">
        <v>2359</v>
      </c>
      <c r="B831" t="s">
        <v>2360</v>
      </c>
      <c r="C831" t="s">
        <v>801</v>
      </c>
      <c r="D831" s="15" t="s">
        <v>34</v>
      </c>
      <c r="E831" t="s">
        <v>327</v>
      </c>
      <c r="F831" t="s">
        <v>2361</v>
      </c>
    </row>
    <row r="832" spans="1:6">
      <c r="A832" s="14" t="s">
        <v>2362</v>
      </c>
      <c r="B832" t="s">
        <v>2363</v>
      </c>
      <c r="C832" t="s">
        <v>2364</v>
      </c>
      <c r="D832" s="15" t="s">
        <v>34</v>
      </c>
      <c r="E832" t="s">
        <v>274</v>
      </c>
      <c r="F832" t="s">
        <v>2365</v>
      </c>
    </row>
    <row r="833" spans="1:6">
      <c r="A833" s="14" t="s">
        <v>2366</v>
      </c>
      <c r="B833" t="s">
        <v>2367</v>
      </c>
      <c r="C833" t="s">
        <v>1840</v>
      </c>
      <c r="D833" s="15" t="s">
        <v>34</v>
      </c>
      <c r="E833" t="s">
        <v>327</v>
      </c>
      <c r="F833" t="s">
        <v>2368</v>
      </c>
    </row>
    <row r="834" spans="1:6">
      <c r="A834" s="14" t="s">
        <v>4178</v>
      </c>
      <c r="B834" s="14" t="s">
        <v>4179</v>
      </c>
      <c r="C834" s="14" t="s">
        <v>1170</v>
      </c>
      <c r="D834" s="15" t="s">
        <v>3736</v>
      </c>
      <c r="E834" s="14" t="s">
        <v>274</v>
      </c>
      <c r="F834" s="14" t="s">
        <v>4180</v>
      </c>
    </row>
    <row r="835" spans="1:6">
      <c r="A835" s="14" t="s">
        <v>2369</v>
      </c>
      <c r="B835" t="s">
        <v>2370</v>
      </c>
      <c r="C835" t="s">
        <v>2371</v>
      </c>
      <c r="D835" s="15" t="s">
        <v>34</v>
      </c>
      <c r="E835" t="s">
        <v>274</v>
      </c>
      <c r="F835" t="s">
        <v>2372</v>
      </c>
    </row>
    <row r="836" spans="1:6">
      <c r="A836" s="14" t="s">
        <v>2373</v>
      </c>
      <c r="B836" t="s">
        <v>2374</v>
      </c>
      <c r="C836" t="s">
        <v>273</v>
      </c>
      <c r="D836" s="15" t="s">
        <v>34</v>
      </c>
      <c r="E836" t="s">
        <v>274</v>
      </c>
      <c r="F836" t="s">
        <v>2375</v>
      </c>
    </row>
    <row r="837" spans="1:6">
      <c r="A837" s="14" t="s">
        <v>3813</v>
      </c>
      <c r="B837"/>
      <c r="C837"/>
      <c r="F837" t="s">
        <v>3814</v>
      </c>
    </row>
    <row r="838" spans="1:6">
      <c r="A838" s="14" t="s">
        <v>4081</v>
      </c>
      <c r="B838" t="s">
        <v>4082</v>
      </c>
      <c r="C838" t="s">
        <v>366</v>
      </c>
      <c r="D838" s="15" t="s">
        <v>3736</v>
      </c>
      <c r="E838" t="s">
        <v>274</v>
      </c>
      <c r="F838" t="s">
        <v>4083</v>
      </c>
    </row>
    <row r="839" spans="1:6">
      <c r="A839" s="14" t="s">
        <v>2376</v>
      </c>
      <c r="B839" t="s">
        <v>2377</v>
      </c>
      <c r="C839" t="s">
        <v>2378</v>
      </c>
      <c r="D839" s="15" t="s">
        <v>34</v>
      </c>
      <c r="E839" t="s">
        <v>274</v>
      </c>
      <c r="F839" t="s">
        <v>2379</v>
      </c>
    </row>
    <row r="840" spans="1:6">
      <c r="A840" s="14" t="s">
        <v>2380</v>
      </c>
      <c r="B840" t="s">
        <v>2381</v>
      </c>
      <c r="C840" t="s">
        <v>273</v>
      </c>
      <c r="D840" s="15" t="s">
        <v>34</v>
      </c>
      <c r="E840" t="s">
        <v>274</v>
      </c>
      <c r="F840" t="s">
        <v>2382</v>
      </c>
    </row>
    <row r="841" spans="1:6">
      <c r="A841" s="14" t="s">
        <v>2383</v>
      </c>
      <c r="B841" t="s">
        <v>2384</v>
      </c>
      <c r="C841" t="s">
        <v>374</v>
      </c>
      <c r="D841" s="15" t="s">
        <v>236</v>
      </c>
      <c r="E841" t="s">
        <v>274</v>
      </c>
      <c r="F841" t="s">
        <v>2385</v>
      </c>
    </row>
    <row r="842" spans="1:6">
      <c r="A842" s="14" t="s">
        <v>2386</v>
      </c>
      <c r="B842" t="s">
        <v>2387</v>
      </c>
      <c r="C842" t="s">
        <v>273</v>
      </c>
      <c r="D842" s="15" t="s">
        <v>34</v>
      </c>
      <c r="E842" t="s">
        <v>274</v>
      </c>
      <c r="F842" t="s">
        <v>2388</v>
      </c>
    </row>
    <row r="843" spans="1:6">
      <c r="A843" s="14" t="s">
        <v>2389</v>
      </c>
      <c r="B843" t="s">
        <v>2390</v>
      </c>
      <c r="C843" t="s">
        <v>374</v>
      </c>
      <c r="D843" s="15" t="s">
        <v>236</v>
      </c>
      <c r="E843" t="s">
        <v>274</v>
      </c>
      <c r="F843" t="s">
        <v>156</v>
      </c>
    </row>
    <row r="844" spans="1:6">
      <c r="A844" s="14" t="s">
        <v>2391</v>
      </c>
      <c r="B844" t="s">
        <v>2392</v>
      </c>
      <c r="C844" t="s">
        <v>237</v>
      </c>
      <c r="D844" s="15" t="s">
        <v>273</v>
      </c>
      <c r="E844" t="s">
        <v>274</v>
      </c>
      <c r="F844" t="s">
        <v>157</v>
      </c>
    </row>
    <row r="845" spans="1:6">
      <c r="A845" s="14" t="s">
        <v>2393</v>
      </c>
      <c r="B845" t="s">
        <v>2394</v>
      </c>
      <c r="C845" t="s">
        <v>273</v>
      </c>
      <c r="D845" s="15" t="s">
        <v>34</v>
      </c>
      <c r="E845" t="s">
        <v>274</v>
      </c>
      <c r="F845" t="s">
        <v>2395</v>
      </c>
    </row>
    <row r="846" spans="1:6">
      <c r="A846" s="14" t="s">
        <v>3746</v>
      </c>
      <c r="B846" t="s">
        <v>2331</v>
      </c>
      <c r="C846" t="s">
        <v>6</v>
      </c>
      <c r="D846" s="15" t="s">
        <v>3736</v>
      </c>
      <c r="E846" t="s">
        <v>274</v>
      </c>
      <c r="F846" t="s">
        <v>3747</v>
      </c>
    </row>
    <row r="847" spans="1:6">
      <c r="A847" s="14" t="s">
        <v>2396</v>
      </c>
      <c r="B847" t="s">
        <v>2397</v>
      </c>
      <c r="C847" t="s">
        <v>288</v>
      </c>
      <c r="D847" s="15" t="s">
        <v>273</v>
      </c>
      <c r="E847" t="s">
        <v>274</v>
      </c>
      <c r="F847" t="s">
        <v>2398</v>
      </c>
    </row>
    <row r="848" spans="1:6">
      <c r="A848" s="14" t="s">
        <v>2399</v>
      </c>
      <c r="B848" t="s">
        <v>2400</v>
      </c>
      <c r="C848" t="s">
        <v>1417</v>
      </c>
      <c r="D848" s="15" t="s">
        <v>34</v>
      </c>
      <c r="E848" t="s">
        <v>274</v>
      </c>
      <c r="F848" t="s">
        <v>2401</v>
      </c>
    </row>
    <row r="849" spans="1:6">
      <c r="A849" s="14" t="s">
        <v>3938</v>
      </c>
      <c r="B849" t="s">
        <v>3939</v>
      </c>
      <c r="C849" t="s">
        <v>278</v>
      </c>
      <c r="D849" s="15" t="s">
        <v>273</v>
      </c>
      <c r="E849" t="s">
        <v>274</v>
      </c>
      <c r="F849" t="s">
        <v>3940</v>
      </c>
    </row>
    <row r="850" spans="1:6">
      <c r="A850" s="14" t="s">
        <v>2402</v>
      </c>
      <c r="B850" t="s">
        <v>2403</v>
      </c>
      <c r="C850" t="s">
        <v>433</v>
      </c>
      <c r="D850" s="15" t="s">
        <v>273</v>
      </c>
      <c r="E850" t="s">
        <v>274</v>
      </c>
      <c r="F850" t="s">
        <v>2404</v>
      </c>
    </row>
    <row r="851" spans="1:6">
      <c r="A851" s="14" t="s">
        <v>2405</v>
      </c>
      <c r="B851" t="s">
        <v>2406</v>
      </c>
      <c r="C851" t="s">
        <v>244</v>
      </c>
      <c r="D851" s="15" t="s">
        <v>34</v>
      </c>
      <c r="E851" t="s">
        <v>274</v>
      </c>
      <c r="F851" t="s">
        <v>2407</v>
      </c>
    </row>
    <row r="852" spans="1:6">
      <c r="A852" s="14" t="s">
        <v>2408</v>
      </c>
      <c r="B852" t="s">
        <v>2409</v>
      </c>
      <c r="C852" t="s">
        <v>34</v>
      </c>
      <c r="D852" s="15" t="s">
        <v>273</v>
      </c>
      <c r="E852" t="s">
        <v>274</v>
      </c>
      <c r="F852" t="s">
        <v>158</v>
      </c>
    </row>
    <row r="853" spans="1:6">
      <c r="A853" s="14" t="s">
        <v>2410</v>
      </c>
      <c r="B853" t="s">
        <v>2411</v>
      </c>
      <c r="C853" t="s">
        <v>374</v>
      </c>
      <c r="D853" s="15" t="s">
        <v>236</v>
      </c>
      <c r="E853" t="s">
        <v>274</v>
      </c>
      <c r="F853" t="s">
        <v>159</v>
      </c>
    </row>
    <row r="854" spans="1:6">
      <c r="A854" s="14" t="s">
        <v>2412</v>
      </c>
      <c r="B854" t="s">
        <v>2413</v>
      </c>
      <c r="C854" t="s">
        <v>911</v>
      </c>
      <c r="D854" s="15" t="s">
        <v>273</v>
      </c>
      <c r="E854" t="s">
        <v>274</v>
      </c>
      <c r="F854" t="s">
        <v>2414</v>
      </c>
    </row>
    <row r="855" spans="1:6">
      <c r="A855" s="14" t="s">
        <v>4185</v>
      </c>
      <c r="B855" s="14" t="s">
        <v>4186</v>
      </c>
      <c r="C855" s="14" t="s">
        <v>278</v>
      </c>
      <c r="D855" s="15" t="s">
        <v>3736</v>
      </c>
      <c r="E855" s="14" t="s">
        <v>274</v>
      </c>
      <c r="F855" s="14" t="s">
        <v>4187</v>
      </c>
    </row>
    <row r="856" spans="1:6">
      <c r="A856" s="14" t="s">
        <v>2415</v>
      </c>
      <c r="B856" t="s">
        <v>2416</v>
      </c>
      <c r="C856" t="s">
        <v>2417</v>
      </c>
      <c r="D856" s="15" t="s">
        <v>34</v>
      </c>
      <c r="E856" t="s">
        <v>327</v>
      </c>
      <c r="F856" t="s">
        <v>2418</v>
      </c>
    </row>
    <row r="857" spans="1:6">
      <c r="A857" s="14" t="s">
        <v>2419</v>
      </c>
      <c r="B857" t="s">
        <v>2420</v>
      </c>
      <c r="C857" t="s">
        <v>2421</v>
      </c>
      <c r="D857" s="15" t="s">
        <v>2422</v>
      </c>
      <c r="E857" t="s">
        <v>274</v>
      </c>
      <c r="F857" t="s">
        <v>2423</v>
      </c>
    </row>
    <row r="858" spans="1:6">
      <c r="A858" s="14" t="s">
        <v>2424</v>
      </c>
      <c r="B858" t="s">
        <v>2425</v>
      </c>
      <c r="C858" t="s">
        <v>2426</v>
      </c>
      <c r="D858" s="15" t="s">
        <v>34</v>
      </c>
      <c r="E858" t="s">
        <v>274</v>
      </c>
      <c r="F858" t="s">
        <v>2427</v>
      </c>
    </row>
    <row r="859" spans="1:6">
      <c r="A859" s="14" t="s">
        <v>2428</v>
      </c>
      <c r="B859" t="s">
        <v>2429</v>
      </c>
      <c r="C859" t="s">
        <v>366</v>
      </c>
      <c r="D859" s="15" t="s">
        <v>273</v>
      </c>
      <c r="E859" t="s">
        <v>274</v>
      </c>
      <c r="F859" t="s">
        <v>160</v>
      </c>
    </row>
    <row r="860" spans="1:6">
      <c r="A860" s="14" t="s">
        <v>2430</v>
      </c>
      <c r="B860" t="s">
        <v>2431</v>
      </c>
      <c r="C860" t="s">
        <v>436</v>
      </c>
      <c r="D860" s="15" t="s">
        <v>34</v>
      </c>
      <c r="E860" t="s">
        <v>274</v>
      </c>
      <c r="F860" t="s">
        <v>2432</v>
      </c>
    </row>
    <row r="861" spans="1:6">
      <c r="A861" s="14" t="s">
        <v>2433</v>
      </c>
      <c r="B861" t="s">
        <v>2434</v>
      </c>
      <c r="C861" t="s">
        <v>911</v>
      </c>
      <c r="D861" s="15" t="s">
        <v>273</v>
      </c>
      <c r="E861" t="s">
        <v>274</v>
      </c>
      <c r="F861" t="s">
        <v>2435</v>
      </c>
    </row>
    <row r="862" spans="1:6">
      <c r="A862" s="14" t="s">
        <v>2436</v>
      </c>
      <c r="B862" t="s">
        <v>2437</v>
      </c>
      <c r="C862" t="s">
        <v>2438</v>
      </c>
      <c r="D862" s="15" t="s">
        <v>34</v>
      </c>
      <c r="E862" t="s">
        <v>274</v>
      </c>
      <c r="F862" t="s">
        <v>2439</v>
      </c>
    </row>
    <row r="863" spans="1:6">
      <c r="A863" s="14" t="s">
        <v>2440</v>
      </c>
      <c r="B863" t="s">
        <v>2441</v>
      </c>
      <c r="C863" t="s">
        <v>34</v>
      </c>
      <c r="D863" s="15" t="s">
        <v>273</v>
      </c>
      <c r="E863" t="s">
        <v>274</v>
      </c>
      <c r="F863" t="s">
        <v>2442</v>
      </c>
    </row>
    <row r="864" spans="1:6">
      <c r="A864" s="14" t="s">
        <v>2443</v>
      </c>
      <c r="B864" t="s">
        <v>2444</v>
      </c>
      <c r="C864" t="s">
        <v>237</v>
      </c>
      <c r="D864" s="15" t="s">
        <v>273</v>
      </c>
      <c r="E864" t="s">
        <v>274</v>
      </c>
      <c r="F864" t="s">
        <v>2445</v>
      </c>
    </row>
    <row r="865" spans="1:6">
      <c r="A865" s="14" t="s">
        <v>2446</v>
      </c>
      <c r="B865" t="s">
        <v>2447</v>
      </c>
      <c r="C865" t="s">
        <v>278</v>
      </c>
      <c r="D865" s="15" t="s">
        <v>273</v>
      </c>
      <c r="E865" t="s">
        <v>274</v>
      </c>
      <c r="F865" t="s">
        <v>2448</v>
      </c>
    </row>
    <row r="866" spans="1:6">
      <c r="A866" s="14" t="s">
        <v>2449</v>
      </c>
      <c r="B866" t="s">
        <v>2450</v>
      </c>
      <c r="C866" t="s">
        <v>374</v>
      </c>
      <c r="D866" s="15" t="s">
        <v>236</v>
      </c>
      <c r="E866" t="s">
        <v>274</v>
      </c>
      <c r="F866" t="s">
        <v>2451</v>
      </c>
    </row>
    <row r="867" spans="1:6">
      <c r="A867" s="14" t="s">
        <v>2452</v>
      </c>
      <c r="B867" t="s">
        <v>2453</v>
      </c>
      <c r="C867" t="s">
        <v>2454</v>
      </c>
      <c r="D867" s="15" t="s">
        <v>273</v>
      </c>
      <c r="E867" t="s">
        <v>327</v>
      </c>
      <c r="F867" t="s">
        <v>2455</v>
      </c>
    </row>
    <row r="868" spans="1:6">
      <c r="A868" s="14" t="s">
        <v>5306</v>
      </c>
      <c r="B868" t="s">
        <v>5304</v>
      </c>
      <c r="C868" t="s">
        <v>353</v>
      </c>
      <c r="D868" s="15" t="s">
        <v>295</v>
      </c>
      <c r="E868" t="s">
        <v>274</v>
      </c>
      <c r="F868" t="s">
        <v>5305</v>
      </c>
    </row>
    <row r="869" spans="1:6">
      <c r="A869" s="14" t="s">
        <v>3763</v>
      </c>
      <c r="B869" t="s">
        <v>3765</v>
      </c>
      <c r="C869" t="s">
        <v>3764</v>
      </c>
      <c r="D869" s="15" t="s">
        <v>3736</v>
      </c>
      <c r="E869" t="s">
        <v>274</v>
      </c>
      <c r="F869" t="s">
        <v>3766</v>
      </c>
    </row>
    <row r="870" spans="1:6">
      <c r="A870" s="14" t="s">
        <v>2456</v>
      </c>
      <c r="B870" t="s">
        <v>2457</v>
      </c>
      <c r="C870" t="s">
        <v>278</v>
      </c>
      <c r="D870" s="15" t="s">
        <v>273</v>
      </c>
      <c r="E870" t="s">
        <v>274</v>
      </c>
      <c r="F870" t="s">
        <v>2458</v>
      </c>
    </row>
    <row r="871" spans="1:6">
      <c r="A871" s="14" t="s">
        <v>3667</v>
      </c>
      <c r="B871" t="s">
        <v>3668</v>
      </c>
      <c r="C871" t="s">
        <v>255</v>
      </c>
      <c r="D871" s="15" t="s">
        <v>3669</v>
      </c>
      <c r="E871" t="s">
        <v>274</v>
      </c>
      <c r="F871" t="s">
        <v>3670</v>
      </c>
    </row>
    <row r="872" spans="1:6">
      <c r="A872" s="14" t="s">
        <v>2459</v>
      </c>
      <c r="B872" t="s">
        <v>2460</v>
      </c>
      <c r="C872" t="s">
        <v>285</v>
      </c>
      <c r="D872" s="15" t="s">
        <v>34</v>
      </c>
      <c r="E872" t="s">
        <v>327</v>
      </c>
      <c r="F872" t="s">
        <v>2461</v>
      </c>
    </row>
    <row r="873" spans="1:6">
      <c r="A873" s="14" t="s">
        <v>4040</v>
      </c>
      <c r="B873" t="s">
        <v>4041</v>
      </c>
      <c r="C873" t="s">
        <v>269</v>
      </c>
      <c r="D873" s="15" t="s">
        <v>3736</v>
      </c>
      <c r="E873" t="s">
        <v>274</v>
      </c>
      <c r="F873" t="s">
        <v>4042</v>
      </c>
    </row>
    <row r="874" spans="1:6">
      <c r="A874" s="14" t="s">
        <v>2462</v>
      </c>
      <c r="B874" t="s">
        <v>2463</v>
      </c>
      <c r="C874" t="s">
        <v>34</v>
      </c>
      <c r="D874" s="15" t="s">
        <v>273</v>
      </c>
      <c r="E874" t="s">
        <v>274</v>
      </c>
      <c r="F874" t="s">
        <v>2464</v>
      </c>
    </row>
    <row r="875" spans="1:6">
      <c r="A875" s="14" t="s">
        <v>2465</v>
      </c>
      <c r="B875" t="s">
        <v>2466</v>
      </c>
      <c r="C875" t="s">
        <v>285</v>
      </c>
      <c r="D875" s="15" t="s">
        <v>374</v>
      </c>
      <c r="E875" t="s">
        <v>274</v>
      </c>
      <c r="F875" t="s">
        <v>2467</v>
      </c>
    </row>
    <row r="876" spans="1:6">
      <c r="A876" s="14" t="s">
        <v>2468</v>
      </c>
      <c r="B876" t="s">
        <v>2469</v>
      </c>
      <c r="C876" t="s">
        <v>2470</v>
      </c>
      <c r="D876" s="15" t="s">
        <v>34</v>
      </c>
      <c r="E876" t="s">
        <v>274</v>
      </c>
      <c r="F876" t="s">
        <v>2471</v>
      </c>
    </row>
    <row r="877" spans="1:6">
      <c r="A877" s="14" t="s">
        <v>2472</v>
      </c>
      <c r="B877" t="s">
        <v>2473</v>
      </c>
      <c r="C877" t="s">
        <v>278</v>
      </c>
      <c r="D877" s="15" t="s">
        <v>34</v>
      </c>
      <c r="E877" t="s">
        <v>274</v>
      </c>
      <c r="F877" t="s">
        <v>2474</v>
      </c>
    </row>
    <row r="878" spans="1:6">
      <c r="A878" s="14" t="s">
        <v>2475</v>
      </c>
      <c r="B878" t="s">
        <v>2476</v>
      </c>
      <c r="C878" t="s">
        <v>2477</v>
      </c>
      <c r="D878" s="15" t="s">
        <v>2478</v>
      </c>
      <c r="E878" t="s">
        <v>274</v>
      </c>
      <c r="F878" t="s">
        <v>2479</v>
      </c>
    </row>
    <row r="879" spans="1:6">
      <c r="A879" s="14" t="s">
        <v>2480</v>
      </c>
      <c r="B879" t="s">
        <v>2481</v>
      </c>
      <c r="C879" t="s">
        <v>374</v>
      </c>
      <c r="D879" s="15" t="s">
        <v>236</v>
      </c>
      <c r="E879" t="s">
        <v>274</v>
      </c>
      <c r="F879" t="s">
        <v>2482</v>
      </c>
    </row>
    <row r="880" spans="1:6">
      <c r="A880" s="14" t="s">
        <v>2483</v>
      </c>
      <c r="B880" t="s">
        <v>2484</v>
      </c>
      <c r="C880" t="s">
        <v>911</v>
      </c>
      <c r="D880" s="15" t="s">
        <v>273</v>
      </c>
      <c r="E880" t="s">
        <v>327</v>
      </c>
      <c r="F880" t="s">
        <v>2485</v>
      </c>
    </row>
    <row r="881" spans="1:6">
      <c r="A881" s="14" t="s">
        <v>2486</v>
      </c>
      <c r="B881" t="s">
        <v>2487</v>
      </c>
      <c r="C881" t="s">
        <v>911</v>
      </c>
      <c r="D881" s="15" t="s">
        <v>273</v>
      </c>
      <c r="E881" t="s">
        <v>274</v>
      </c>
      <c r="F881" t="s">
        <v>2488</v>
      </c>
    </row>
    <row r="882" spans="1:6">
      <c r="A882" s="14" t="s">
        <v>2489</v>
      </c>
      <c r="B882" t="s">
        <v>2490</v>
      </c>
      <c r="C882" t="s">
        <v>2491</v>
      </c>
      <c r="D882" s="15" t="s">
        <v>34</v>
      </c>
      <c r="E882" t="s">
        <v>274</v>
      </c>
      <c r="F882" t="s">
        <v>2492</v>
      </c>
    </row>
    <row r="883" spans="1:6">
      <c r="A883" s="14" t="s">
        <v>2493</v>
      </c>
      <c r="B883" t="s">
        <v>2494</v>
      </c>
      <c r="C883" t="s">
        <v>273</v>
      </c>
      <c r="D883" s="15" t="s">
        <v>34</v>
      </c>
      <c r="E883" t="s">
        <v>274</v>
      </c>
      <c r="F883" t="s">
        <v>2495</v>
      </c>
    </row>
    <row r="884" spans="1:6">
      <c r="A884" s="14" t="s">
        <v>2496</v>
      </c>
      <c r="B884" t="s">
        <v>2497</v>
      </c>
      <c r="C884" t="s">
        <v>278</v>
      </c>
      <c r="D884" s="15" t="s">
        <v>273</v>
      </c>
      <c r="E884" t="s">
        <v>274</v>
      </c>
      <c r="F884" t="s">
        <v>2498</v>
      </c>
    </row>
    <row r="885" spans="1:6">
      <c r="A885" s="14" t="s">
        <v>2499</v>
      </c>
      <c r="B885" t="s">
        <v>2500</v>
      </c>
      <c r="C885" t="s">
        <v>911</v>
      </c>
      <c r="D885" s="15" t="s">
        <v>273</v>
      </c>
      <c r="E885" t="s">
        <v>274</v>
      </c>
      <c r="F885" t="s">
        <v>2501</v>
      </c>
    </row>
    <row r="886" spans="1:6">
      <c r="A886" s="14" t="s">
        <v>2502</v>
      </c>
      <c r="B886" t="s">
        <v>2503</v>
      </c>
      <c r="C886" t="s">
        <v>288</v>
      </c>
      <c r="D886" s="15" t="s">
        <v>273</v>
      </c>
      <c r="E886" t="s">
        <v>274</v>
      </c>
      <c r="F886" t="s">
        <v>2501</v>
      </c>
    </row>
    <row r="887" spans="1:6">
      <c r="A887" s="14" t="s">
        <v>2504</v>
      </c>
      <c r="B887" t="s">
        <v>2505</v>
      </c>
      <c r="C887" t="s">
        <v>273</v>
      </c>
      <c r="D887" s="15" t="s">
        <v>34</v>
      </c>
      <c r="E887" t="s">
        <v>274</v>
      </c>
      <c r="F887" t="s">
        <v>2506</v>
      </c>
    </row>
    <row r="888" spans="1:6">
      <c r="A888" s="14" t="s">
        <v>2507</v>
      </c>
      <c r="B888" t="s">
        <v>2508</v>
      </c>
      <c r="C888" t="s">
        <v>273</v>
      </c>
      <c r="D888" s="15" t="s">
        <v>34</v>
      </c>
      <c r="E888" t="s">
        <v>274</v>
      </c>
      <c r="F888" t="s">
        <v>2509</v>
      </c>
    </row>
    <row r="889" spans="1:6">
      <c r="A889" s="14" t="s">
        <v>2510</v>
      </c>
      <c r="B889" t="s">
        <v>2511</v>
      </c>
      <c r="C889" t="s">
        <v>601</v>
      </c>
      <c r="D889" s="15" t="s">
        <v>374</v>
      </c>
      <c r="E889" t="s">
        <v>274</v>
      </c>
      <c r="F889" t="s">
        <v>2512</v>
      </c>
    </row>
    <row r="890" spans="1:6">
      <c r="A890" s="14" t="s">
        <v>2513</v>
      </c>
      <c r="B890" t="s">
        <v>2514</v>
      </c>
      <c r="C890" t="s">
        <v>285</v>
      </c>
      <c r="D890" s="15" t="s">
        <v>34</v>
      </c>
      <c r="E890" t="s">
        <v>274</v>
      </c>
      <c r="F890" t="s">
        <v>2515</v>
      </c>
    </row>
    <row r="891" spans="1:6">
      <c r="A891" s="14" t="s">
        <v>3821</v>
      </c>
      <c r="B891"/>
      <c r="C891"/>
      <c r="E891" t="s">
        <v>274</v>
      </c>
      <c r="F891" t="s">
        <v>3822</v>
      </c>
    </row>
    <row r="892" spans="1:6">
      <c r="A892" s="14" t="s">
        <v>2516</v>
      </c>
      <c r="B892" t="s">
        <v>2517</v>
      </c>
      <c r="C892" t="s">
        <v>278</v>
      </c>
      <c r="D892" s="15" t="s">
        <v>34</v>
      </c>
      <c r="E892" t="s">
        <v>327</v>
      </c>
      <c r="F892" t="s">
        <v>2518</v>
      </c>
    </row>
    <row r="893" spans="1:6">
      <c r="A893" s="14" t="s">
        <v>4070</v>
      </c>
      <c r="B893" t="s">
        <v>4072</v>
      </c>
      <c r="C893" t="s">
        <v>366</v>
      </c>
      <c r="D893" s="15" t="s">
        <v>3736</v>
      </c>
      <c r="E893" t="s">
        <v>274</v>
      </c>
      <c r="F893" t="s">
        <v>4071</v>
      </c>
    </row>
    <row r="894" spans="1:6">
      <c r="A894" s="14" t="s">
        <v>2519</v>
      </c>
      <c r="B894" t="s">
        <v>2520</v>
      </c>
      <c r="C894" t="s">
        <v>374</v>
      </c>
      <c r="D894" s="15" t="s">
        <v>236</v>
      </c>
      <c r="E894" t="s">
        <v>274</v>
      </c>
      <c r="F894" t="s">
        <v>2521</v>
      </c>
    </row>
    <row r="895" spans="1:6">
      <c r="A895" s="14" t="s">
        <v>2522</v>
      </c>
      <c r="B895" t="s">
        <v>2523</v>
      </c>
      <c r="C895" t="s">
        <v>2524</v>
      </c>
      <c r="D895" s="15" t="s">
        <v>34</v>
      </c>
      <c r="E895" t="s">
        <v>274</v>
      </c>
      <c r="F895" t="s">
        <v>2525</v>
      </c>
    </row>
    <row r="896" spans="1:6">
      <c r="A896" s="14" t="s">
        <v>2526</v>
      </c>
      <c r="B896" t="s">
        <v>2527</v>
      </c>
      <c r="C896" t="s">
        <v>273</v>
      </c>
      <c r="D896" s="15" t="s">
        <v>34</v>
      </c>
      <c r="E896" t="s">
        <v>274</v>
      </c>
      <c r="F896" t="s">
        <v>2528</v>
      </c>
    </row>
    <row r="897" spans="1:6">
      <c r="A897" s="14" t="s">
        <v>2529</v>
      </c>
      <c r="B897" t="s">
        <v>2530</v>
      </c>
      <c r="C897" t="s">
        <v>1200</v>
      </c>
      <c r="D897" s="15" t="s">
        <v>34</v>
      </c>
      <c r="E897" t="s">
        <v>274</v>
      </c>
      <c r="F897" t="s">
        <v>2531</v>
      </c>
    </row>
    <row r="898" spans="1:6">
      <c r="A898" s="14" t="s">
        <v>2532</v>
      </c>
      <c r="B898" t="s">
        <v>2533</v>
      </c>
      <c r="C898" t="s">
        <v>433</v>
      </c>
      <c r="D898" s="15" t="s">
        <v>273</v>
      </c>
      <c r="E898" t="s">
        <v>274</v>
      </c>
      <c r="F898" t="s">
        <v>2534</v>
      </c>
    </row>
    <row r="899" spans="1:6">
      <c r="A899" s="14" t="s">
        <v>2535</v>
      </c>
      <c r="B899" t="s">
        <v>2536</v>
      </c>
      <c r="C899" t="s">
        <v>273</v>
      </c>
      <c r="D899" s="15" t="s">
        <v>34</v>
      </c>
      <c r="E899" t="s">
        <v>274</v>
      </c>
      <c r="F899" t="s">
        <v>2537</v>
      </c>
    </row>
    <row r="900" spans="1:6">
      <c r="A900" s="14" t="s">
        <v>2538</v>
      </c>
      <c r="B900" t="s">
        <v>2539</v>
      </c>
      <c r="C900" t="s">
        <v>911</v>
      </c>
      <c r="D900" s="15" t="s">
        <v>273</v>
      </c>
      <c r="E900" t="s">
        <v>274</v>
      </c>
      <c r="F900" t="s">
        <v>2540</v>
      </c>
    </row>
    <row r="901" spans="1:6">
      <c r="A901" s="14" t="s">
        <v>3734</v>
      </c>
      <c r="B901" t="s">
        <v>3735</v>
      </c>
      <c r="C901" t="s">
        <v>278</v>
      </c>
      <c r="D901" s="15" t="s">
        <v>3736</v>
      </c>
      <c r="E901" t="s">
        <v>327</v>
      </c>
      <c r="F901" t="s">
        <v>3737</v>
      </c>
    </row>
    <row r="902" spans="1:6">
      <c r="A902" s="14" t="s">
        <v>2541</v>
      </c>
      <c r="B902" t="s">
        <v>2542</v>
      </c>
      <c r="C902" t="s">
        <v>278</v>
      </c>
      <c r="D902" s="15" t="s">
        <v>273</v>
      </c>
      <c r="E902" t="s">
        <v>274</v>
      </c>
      <c r="F902" t="s">
        <v>2543</v>
      </c>
    </row>
    <row r="903" spans="1:6">
      <c r="A903" s="14" t="s">
        <v>2544</v>
      </c>
      <c r="B903" t="s">
        <v>2545</v>
      </c>
      <c r="C903" t="s">
        <v>530</v>
      </c>
      <c r="D903" s="15" t="s">
        <v>273</v>
      </c>
      <c r="E903" t="s">
        <v>274</v>
      </c>
      <c r="F903" t="s">
        <v>161</v>
      </c>
    </row>
    <row r="904" spans="1:6">
      <c r="A904" s="14" t="s">
        <v>2546</v>
      </c>
      <c r="B904" t="s">
        <v>2547</v>
      </c>
      <c r="C904" t="s">
        <v>436</v>
      </c>
      <c r="D904" s="15" t="s">
        <v>34</v>
      </c>
      <c r="E904" t="s">
        <v>274</v>
      </c>
      <c r="F904" t="s">
        <v>162</v>
      </c>
    </row>
    <row r="905" spans="1:6">
      <c r="A905" s="14" t="s">
        <v>2548</v>
      </c>
      <c r="B905" t="s">
        <v>2549</v>
      </c>
      <c r="C905" t="s">
        <v>273</v>
      </c>
      <c r="D905" s="15" t="s">
        <v>34</v>
      </c>
      <c r="E905" t="s">
        <v>274</v>
      </c>
      <c r="F905" t="s">
        <v>2550</v>
      </c>
    </row>
    <row r="906" spans="1:6">
      <c r="A906" s="14" t="s">
        <v>2551</v>
      </c>
      <c r="B906" t="s">
        <v>2552</v>
      </c>
      <c r="C906" t="s">
        <v>911</v>
      </c>
      <c r="D906" s="15" t="s">
        <v>273</v>
      </c>
      <c r="E906" t="s">
        <v>327</v>
      </c>
      <c r="F906" t="s">
        <v>2553</v>
      </c>
    </row>
    <row r="907" spans="1:6">
      <c r="A907" s="14" t="s">
        <v>3935</v>
      </c>
      <c r="B907" t="s">
        <v>3936</v>
      </c>
      <c r="C907" t="s">
        <v>278</v>
      </c>
      <c r="D907" s="15" t="s">
        <v>273</v>
      </c>
      <c r="E907" t="s">
        <v>274</v>
      </c>
      <c r="F907" t="s">
        <v>3937</v>
      </c>
    </row>
    <row r="908" spans="1:6">
      <c r="A908" s="14" t="s">
        <v>2554</v>
      </c>
      <c r="B908" t="s">
        <v>2555</v>
      </c>
      <c r="C908" t="s">
        <v>2556</v>
      </c>
      <c r="D908" s="15" t="s">
        <v>2557</v>
      </c>
      <c r="E908" t="s">
        <v>274</v>
      </c>
      <c r="F908" t="s">
        <v>2558</v>
      </c>
    </row>
    <row r="909" spans="1:6">
      <c r="A909" s="14" t="s">
        <v>2559</v>
      </c>
      <c r="B909" t="s">
        <v>2560</v>
      </c>
      <c r="C909" t="s">
        <v>295</v>
      </c>
      <c r="D909" s="15" t="s">
        <v>34</v>
      </c>
      <c r="E909" t="s">
        <v>327</v>
      </c>
      <c r="F909" t="s">
        <v>2561</v>
      </c>
    </row>
    <row r="910" spans="1:6">
      <c r="A910" s="14" t="s">
        <v>2562</v>
      </c>
      <c r="B910" t="s">
        <v>2563</v>
      </c>
      <c r="C910" t="s">
        <v>2564</v>
      </c>
      <c r="D910" s="15" t="s">
        <v>34</v>
      </c>
      <c r="E910" t="s">
        <v>327</v>
      </c>
      <c r="F910" t="s">
        <v>2565</v>
      </c>
    </row>
    <row r="911" spans="1:6">
      <c r="A911" s="14" t="s">
        <v>2566</v>
      </c>
      <c r="B911" t="s">
        <v>2567</v>
      </c>
      <c r="C911" t="s">
        <v>278</v>
      </c>
      <c r="D911" s="15" t="s">
        <v>34</v>
      </c>
      <c r="E911" t="s">
        <v>327</v>
      </c>
      <c r="F911" t="s">
        <v>2568</v>
      </c>
    </row>
    <row r="912" spans="1:6">
      <c r="A912" s="14" t="s">
        <v>2569</v>
      </c>
      <c r="B912" t="s">
        <v>2570</v>
      </c>
      <c r="C912" t="s">
        <v>2571</v>
      </c>
      <c r="D912" s="15" t="s">
        <v>34</v>
      </c>
      <c r="E912" t="s">
        <v>274</v>
      </c>
      <c r="F912" t="s">
        <v>2572</v>
      </c>
    </row>
    <row r="913" spans="1:6">
      <c r="A913" s="14" t="s">
        <v>2573</v>
      </c>
      <c r="B913" t="s">
        <v>2574</v>
      </c>
      <c r="C913" t="s">
        <v>2575</v>
      </c>
      <c r="D913" s="15" t="s">
        <v>34</v>
      </c>
      <c r="E913" t="s">
        <v>274</v>
      </c>
      <c r="F913" t="s">
        <v>2576</v>
      </c>
    </row>
    <row r="914" spans="1:6">
      <c r="A914" s="14" t="s">
        <v>2577</v>
      </c>
      <c r="B914" t="s">
        <v>2578</v>
      </c>
      <c r="C914" t="s">
        <v>278</v>
      </c>
      <c r="D914" s="15" t="s">
        <v>273</v>
      </c>
      <c r="E914" t="s">
        <v>274</v>
      </c>
      <c r="F914" t="s">
        <v>2579</v>
      </c>
    </row>
    <row r="915" spans="1:6">
      <c r="A915" s="14" t="s">
        <v>2580</v>
      </c>
      <c r="B915" t="s">
        <v>2581</v>
      </c>
      <c r="C915" t="s">
        <v>2582</v>
      </c>
      <c r="D915" s="15" t="s">
        <v>273</v>
      </c>
      <c r="E915" t="s">
        <v>274</v>
      </c>
      <c r="F915" t="s">
        <v>2583</v>
      </c>
    </row>
    <row r="916" spans="1:6">
      <c r="A916" s="14" t="s">
        <v>2584</v>
      </c>
      <c r="B916" t="s">
        <v>2585</v>
      </c>
      <c r="C916" t="s">
        <v>2586</v>
      </c>
      <c r="D916" s="15" t="s">
        <v>2587</v>
      </c>
      <c r="E916" t="s">
        <v>274</v>
      </c>
      <c r="F916" t="s">
        <v>2588</v>
      </c>
    </row>
    <row r="917" spans="1:6">
      <c r="A917" s="14" t="s">
        <v>2589</v>
      </c>
      <c r="B917" t="s">
        <v>790</v>
      </c>
      <c r="C917" t="s">
        <v>273</v>
      </c>
      <c r="D917" s="15" t="s">
        <v>34</v>
      </c>
      <c r="E917" t="s">
        <v>274</v>
      </c>
      <c r="F917" t="s">
        <v>2590</v>
      </c>
    </row>
    <row r="918" spans="1:6">
      <c r="A918" s="14" t="s">
        <v>2591</v>
      </c>
      <c r="B918" t="s">
        <v>2592</v>
      </c>
      <c r="C918" t="s">
        <v>911</v>
      </c>
      <c r="D918" s="15" t="s">
        <v>273</v>
      </c>
      <c r="E918" t="s">
        <v>274</v>
      </c>
      <c r="F918" t="s">
        <v>2593</v>
      </c>
    </row>
    <row r="919" spans="1:6">
      <c r="A919" s="14" t="s">
        <v>4168</v>
      </c>
      <c r="B919" s="14" t="s">
        <v>4169</v>
      </c>
      <c r="C919" s="14" t="s">
        <v>4170</v>
      </c>
      <c r="D919" s="15" t="s">
        <v>3736</v>
      </c>
      <c r="E919" s="14" t="s">
        <v>274</v>
      </c>
      <c r="F919" s="14" t="s">
        <v>4171</v>
      </c>
    </row>
    <row r="920" spans="1:6">
      <c r="A920" s="14" t="s">
        <v>2594</v>
      </c>
      <c r="B920" t="s">
        <v>2595</v>
      </c>
      <c r="C920" t="s">
        <v>911</v>
      </c>
      <c r="D920" s="15" t="s">
        <v>273</v>
      </c>
      <c r="E920" t="s">
        <v>274</v>
      </c>
      <c r="F920" t="s">
        <v>2596</v>
      </c>
    </row>
    <row r="921" spans="1:6">
      <c r="A921" s="14" t="s">
        <v>2597</v>
      </c>
      <c r="B921" t="s">
        <v>2598</v>
      </c>
      <c r="C921" t="s">
        <v>295</v>
      </c>
      <c r="D921" s="15" t="s">
        <v>34</v>
      </c>
      <c r="E921" t="s">
        <v>274</v>
      </c>
      <c r="F921" t="s">
        <v>2599</v>
      </c>
    </row>
    <row r="922" spans="1:6">
      <c r="A922" s="14" t="s">
        <v>2600</v>
      </c>
      <c r="B922" t="s">
        <v>2601</v>
      </c>
      <c r="C922" t="s">
        <v>911</v>
      </c>
      <c r="D922" s="15" t="s">
        <v>273</v>
      </c>
      <c r="E922" t="s">
        <v>2602</v>
      </c>
      <c r="F922" t="s">
        <v>2603</v>
      </c>
    </row>
    <row r="923" spans="1:6">
      <c r="A923" s="14" t="s">
        <v>2604</v>
      </c>
      <c r="B923" t="s">
        <v>2605</v>
      </c>
      <c r="C923" t="s">
        <v>278</v>
      </c>
      <c r="D923" s="15" t="s">
        <v>273</v>
      </c>
      <c r="E923" t="s">
        <v>274</v>
      </c>
      <c r="F923" t="s">
        <v>2606</v>
      </c>
    </row>
    <row r="924" spans="1:6">
      <c r="A924" s="14" t="s">
        <v>2607</v>
      </c>
      <c r="B924" t="s">
        <v>2608</v>
      </c>
      <c r="C924" t="s">
        <v>2609</v>
      </c>
      <c r="D924" s="15" t="s">
        <v>273</v>
      </c>
      <c r="E924" t="s">
        <v>274</v>
      </c>
      <c r="F924" t="s">
        <v>2610</v>
      </c>
    </row>
    <row r="925" spans="1:6">
      <c r="A925" s="14" t="s">
        <v>2611</v>
      </c>
      <c r="B925" t="s">
        <v>2612</v>
      </c>
      <c r="C925" t="s">
        <v>278</v>
      </c>
      <c r="D925" s="15" t="s">
        <v>34</v>
      </c>
      <c r="E925" t="s">
        <v>327</v>
      </c>
      <c r="F925" t="s">
        <v>2613</v>
      </c>
    </row>
    <row r="926" spans="1:6">
      <c r="A926" s="14" t="s">
        <v>2614</v>
      </c>
      <c r="B926" t="s">
        <v>2615</v>
      </c>
      <c r="C926" t="s">
        <v>295</v>
      </c>
      <c r="D926" s="15" t="s">
        <v>34</v>
      </c>
      <c r="E926" t="s">
        <v>274</v>
      </c>
      <c r="F926" t="s">
        <v>2616</v>
      </c>
    </row>
    <row r="927" spans="1:6">
      <c r="A927" s="14" t="s">
        <v>2617</v>
      </c>
      <c r="B927" t="s">
        <v>2618</v>
      </c>
      <c r="C927"/>
      <c r="D927" s="15" t="s">
        <v>273</v>
      </c>
      <c r="E927" t="s">
        <v>327</v>
      </c>
      <c r="F927" t="s">
        <v>2619</v>
      </c>
    </row>
    <row r="928" spans="1:6">
      <c r="A928" s="14" t="s">
        <v>2620</v>
      </c>
      <c r="B928" t="s">
        <v>2621</v>
      </c>
      <c r="C928" t="s">
        <v>366</v>
      </c>
      <c r="D928" s="15" t="s">
        <v>273</v>
      </c>
      <c r="E928" t="s">
        <v>274</v>
      </c>
      <c r="F928" t="s">
        <v>163</v>
      </c>
    </row>
    <row r="929" spans="1:6">
      <c r="A929" s="14" t="s">
        <v>5913</v>
      </c>
      <c r="B929" s="14" t="s">
        <v>5914</v>
      </c>
      <c r="C929" s="14" t="s">
        <v>278</v>
      </c>
      <c r="D929" s="15" t="s">
        <v>3736</v>
      </c>
      <c r="E929" s="14" t="s">
        <v>274</v>
      </c>
      <c r="F929">
        <v>20298051193</v>
      </c>
    </row>
    <row r="930" spans="1:6">
      <c r="A930" s="14" t="s">
        <v>2622</v>
      </c>
      <c r="B930" t="s">
        <v>2623</v>
      </c>
      <c r="C930" t="s">
        <v>278</v>
      </c>
      <c r="D930" s="15" t="s">
        <v>273</v>
      </c>
      <c r="E930" t="s">
        <v>274</v>
      </c>
      <c r="F930" t="s">
        <v>2624</v>
      </c>
    </row>
    <row r="931" spans="1:6">
      <c r="A931" s="14" t="s">
        <v>2625</v>
      </c>
      <c r="B931" t="s">
        <v>1749</v>
      </c>
      <c r="C931" t="s">
        <v>911</v>
      </c>
      <c r="D931" s="15" t="s">
        <v>273</v>
      </c>
      <c r="E931" t="s">
        <v>327</v>
      </c>
      <c r="F931" t="s">
        <v>2626</v>
      </c>
    </row>
    <row r="932" spans="1:6">
      <c r="A932" s="14" t="s">
        <v>2627</v>
      </c>
      <c r="B932" t="s">
        <v>2628</v>
      </c>
      <c r="C932" t="s">
        <v>278</v>
      </c>
      <c r="D932" s="15" t="s">
        <v>34</v>
      </c>
      <c r="E932" t="s">
        <v>327</v>
      </c>
      <c r="F932" t="s">
        <v>2629</v>
      </c>
    </row>
    <row r="933" spans="1:6">
      <c r="A933" s="14" t="s">
        <v>2630</v>
      </c>
      <c r="B933" t="s">
        <v>2631</v>
      </c>
      <c r="C933" t="s">
        <v>2632</v>
      </c>
      <c r="D933" s="15" t="s">
        <v>34</v>
      </c>
      <c r="E933" t="s">
        <v>274</v>
      </c>
      <c r="F933" t="s">
        <v>2633</v>
      </c>
    </row>
    <row r="934" spans="1:6">
      <c r="A934" s="14" t="s">
        <v>2634</v>
      </c>
      <c r="B934" t="s">
        <v>2635</v>
      </c>
      <c r="C934" t="s">
        <v>235</v>
      </c>
      <c r="D934" s="15" t="s">
        <v>273</v>
      </c>
      <c r="E934" t="s">
        <v>274</v>
      </c>
      <c r="F934" t="s">
        <v>2636</v>
      </c>
    </row>
    <row r="935" spans="1:6">
      <c r="A935" s="14" t="s">
        <v>2637</v>
      </c>
      <c r="B935" t="s">
        <v>2638</v>
      </c>
      <c r="C935" t="s">
        <v>911</v>
      </c>
      <c r="D935" s="15" t="s">
        <v>273</v>
      </c>
      <c r="E935" t="s">
        <v>274</v>
      </c>
      <c r="F935" t="s">
        <v>2639</v>
      </c>
    </row>
    <row r="936" spans="1:6">
      <c r="A936" s="14" t="s">
        <v>2640</v>
      </c>
      <c r="B936" t="s">
        <v>2641</v>
      </c>
      <c r="C936" t="s">
        <v>2642</v>
      </c>
      <c r="D936" s="15" t="s">
        <v>34</v>
      </c>
      <c r="E936" t="s">
        <v>274</v>
      </c>
      <c r="F936" t="s">
        <v>2643</v>
      </c>
    </row>
    <row r="937" spans="1:6">
      <c r="A937" s="14" t="s">
        <v>4043</v>
      </c>
      <c r="B937" t="s">
        <v>4044</v>
      </c>
      <c r="C937" t="s">
        <v>530</v>
      </c>
      <c r="D937" s="15" t="s">
        <v>3736</v>
      </c>
      <c r="E937" t="s">
        <v>274</v>
      </c>
      <c r="F937" t="s">
        <v>4045</v>
      </c>
    </row>
    <row r="938" spans="1:6">
      <c r="A938" s="14" t="s">
        <v>2644</v>
      </c>
      <c r="B938" t="s">
        <v>2645</v>
      </c>
      <c r="C938" t="s">
        <v>911</v>
      </c>
      <c r="D938" s="15" t="s">
        <v>273</v>
      </c>
      <c r="E938" t="s">
        <v>327</v>
      </c>
      <c r="F938" t="s">
        <v>2646</v>
      </c>
    </row>
    <row r="939" spans="1:6">
      <c r="A939" s="14" t="s">
        <v>2647</v>
      </c>
      <c r="B939" t="s">
        <v>2648</v>
      </c>
      <c r="C939" t="s">
        <v>278</v>
      </c>
      <c r="D939" s="15" t="s">
        <v>273</v>
      </c>
      <c r="E939" t="s">
        <v>274</v>
      </c>
      <c r="F939" t="s">
        <v>2649</v>
      </c>
    </row>
    <row r="940" spans="1:6">
      <c r="A940" s="14" t="s">
        <v>2650</v>
      </c>
      <c r="B940" t="s">
        <v>2651</v>
      </c>
      <c r="C940" t="s">
        <v>2652</v>
      </c>
      <c r="D940" s="15" t="s">
        <v>34</v>
      </c>
      <c r="E940" t="s">
        <v>327</v>
      </c>
      <c r="F940" t="s">
        <v>2653</v>
      </c>
    </row>
    <row r="941" spans="1:6" ht="13.5" customHeight="1">
      <c r="A941" s="14" t="s">
        <v>3903</v>
      </c>
      <c r="B941" t="s">
        <v>2655</v>
      </c>
      <c r="C941" t="s">
        <v>273</v>
      </c>
      <c r="D941" s="15" t="s">
        <v>273</v>
      </c>
      <c r="E941" t="s">
        <v>274</v>
      </c>
      <c r="F941" t="s">
        <v>3904</v>
      </c>
    </row>
    <row r="942" spans="1:6" ht="13.5" customHeight="1">
      <c r="A942" s="14" t="s">
        <v>2654</v>
      </c>
      <c r="B942" t="s">
        <v>2655</v>
      </c>
      <c r="C942" t="s">
        <v>2656</v>
      </c>
      <c r="D942" s="15" t="s">
        <v>273</v>
      </c>
      <c r="E942" t="s">
        <v>274</v>
      </c>
      <c r="F942" t="s">
        <v>164</v>
      </c>
    </row>
    <row r="943" spans="1:6">
      <c r="A943" s="14" t="s">
        <v>4092</v>
      </c>
      <c r="B943" t="s">
        <v>4093</v>
      </c>
      <c r="C943" t="s">
        <v>278</v>
      </c>
      <c r="D943" s="15" t="s">
        <v>273</v>
      </c>
      <c r="E943" t="s">
        <v>274</v>
      </c>
      <c r="F943" t="s">
        <v>4094</v>
      </c>
    </row>
    <row r="944" spans="1:6">
      <c r="A944" s="14" t="s">
        <v>2657</v>
      </c>
      <c r="B944" t="s">
        <v>2658</v>
      </c>
      <c r="C944" t="s">
        <v>278</v>
      </c>
      <c r="D944" s="15" t="s">
        <v>273</v>
      </c>
      <c r="E944" t="s">
        <v>274</v>
      </c>
      <c r="F944" t="s">
        <v>165</v>
      </c>
    </row>
    <row r="945" spans="1:6">
      <c r="A945" s="14" t="s">
        <v>2659</v>
      </c>
      <c r="B945" t="s">
        <v>2660</v>
      </c>
      <c r="C945" t="s">
        <v>34</v>
      </c>
      <c r="D945" s="15" t="s">
        <v>273</v>
      </c>
      <c r="E945" t="s">
        <v>274</v>
      </c>
      <c r="F945" t="s">
        <v>2661</v>
      </c>
    </row>
    <row r="946" spans="1:6">
      <c r="A946" s="14" t="s">
        <v>2662</v>
      </c>
      <c r="B946" t="s">
        <v>2663</v>
      </c>
      <c r="C946" t="s">
        <v>278</v>
      </c>
      <c r="D946" s="15" t="s">
        <v>34</v>
      </c>
      <c r="E946" t="s">
        <v>274</v>
      </c>
      <c r="F946" t="s">
        <v>2664</v>
      </c>
    </row>
    <row r="947" spans="1:6">
      <c r="A947" s="14" t="s">
        <v>2665</v>
      </c>
      <c r="B947" t="s">
        <v>2666</v>
      </c>
      <c r="C947" t="s">
        <v>278</v>
      </c>
      <c r="D947" s="15" t="s">
        <v>273</v>
      </c>
      <c r="E947" t="s">
        <v>327</v>
      </c>
      <c r="F947" t="s">
        <v>2667</v>
      </c>
    </row>
    <row r="948" spans="1:6">
      <c r="A948" s="14" t="s">
        <v>3870</v>
      </c>
      <c r="B948"/>
      <c r="C948"/>
      <c r="E948" t="s">
        <v>274</v>
      </c>
      <c r="F948" t="s">
        <v>3871</v>
      </c>
    </row>
    <row r="949" spans="1:6">
      <c r="A949" s="14" t="s">
        <v>2668</v>
      </c>
      <c r="B949" t="s">
        <v>166</v>
      </c>
      <c r="C949" t="s">
        <v>978</v>
      </c>
      <c r="D949" s="15" t="s">
        <v>34</v>
      </c>
      <c r="E949" t="s">
        <v>274</v>
      </c>
      <c r="F949" t="s">
        <v>167</v>
      </c>
    </row>
    <row r="950" spans="1:6">
      <c r="A950" s="14" t="s">
        <v>2669</v>
      </c>
      <c r="B950" t="s">
        <v>2670</v>
      </c>
      <c r="C950" t="s">
        <v>2671</v>
      </c>
      <c r="D950" s="15" t="s">
        <v>295</v>
      </c>
      <c r="E950" t="s">
        <v>274</v>
      </c>
      <c r="F950" t="s">
        <v>2672</v>
      </c>
    </row>
    <row r="951" spans="1:6">
      <c r="A951" s="14" t="s">
        <v>2673</v>
      </c>
      <c r="B951" t="s">
        <v>2674</v>
      </c>
      <c r="C951" t="s">
        <v>34</v>
      </c>
      <c r="D951" s="15" t="s">
        <v>273</v>
      </c>
      <c r="E951" t="s">
        <v>274</v>
      </c>
      <c r="F951" t="s">
        <v>168</v>
      </c>
    </row>
    <row r="952" spans="1:6">
      <c r="A952" s="14" t="s">
        <v>2675</v>
      </c>
      <c r="B952" t="s">
        <v>2676</v>
      </c>
      <c r="C952" t="s">
        <v>2677</v>
      </c>
      <c r="D952" s="15" t="s">
        <v>34</v>
      </c>
      <c r="E952" t="s">
        <v>274</v>
      </c>
      <c r="F952" t="s">
        <v>169</v>
      </c>
    </row>
    <row r="953" spans="1:6">
      <c r="A953" s="14" t="s">
        <v>2678</v>
      </c>
      <c r="B953" t="s">
        <v>2679</v>
      </c>
      <c r="C953" t="s">
        <v>2269</v>
      </c>
      <c r="D953" s="15" t="s">
        <v>273</v>
      </c>
      <c r="E953" t="s">
        <v>274</v>
      </c>
      <c r="F953" t="s">
        <v>2680</v>
      </c>
    </row>
    <row r="954" spans="1:6">
      <c r="A954" s="14" t="s">
        <v>2681</v>
      </c>
      <c r="B954" t="s">
        <v>2682</v>
      </c>
      <c r="C954" t="s">
        <v>273</v>
      </c>
      <c r="D954" s="15" t="s">
        <v>273</v>
      </c>
      <c r="E954" t="s">
        <v>274</v>
      </c>
      <c r="F954" t="s">
        <v>2683</v>
      </c>
    </row>
    <row r="955" spans="1:6">
      <c r="A955" s="14" t="s">
        <v>3787</v>
      </c>
      <c r="B955" t="s">
        <v>3788</v>
      </c>
      <c r="C955" t="s">
        <v>273</v>
      </c>
      <c r="D955" s="15" t="s">
        <v>273</v>
      </c>
      <c r="E955" t="s">
        <v>274</v>
      </c>
      <c r="F955" t="s">
        <v>3789</v>
      </c>
    </row>
    <row r="956" spans="1:6">
      <c r="A956" s="14" t="s">
        <v>2684</v>
      </c>
      <c r="B956" t="s">
        <v>2685</v>
      </c>
      <c r="C956" t="s">
        <v>2686</v>
      </c>
      <c r="D956" s="15" t="s">
        <v>2687</v>
      </c>
      <c r="E956" t="s">
        <v>274</v>
      </c>
      <c r="F956" t="s">
        <v>170</v>
      </c>
    </row>
    <row r="957" spans="1:6">
      <c r="A957" s="14" t="s">
        <v>2688</v>
      </c>
      <c r="B957" t="s">
        <v>2689</v>
      </c>
      <c r="C957" t="s">
        <v>237</v>
      </c>
      <c r="D957" s="15" t="s">
        <v>273</v>
      </c>
      <c r="E957" t="s">
        <v>274</v>
      </c>
      <c r="F957" t="s">
        <v>2690</v>
      </c>
    </row>
    <row r="958" spans="1:6">
      <c r="A958" s="14" t="s">
        <v>2691</v>
      </c>
      <c r="B958" t="s">
        <v>264</v>
      </c>
      <c r="C958" t="s">
        <v>285</v>
      </c>
      <c r="D958" s="15" t="s">
        <v>34</v>
      </c>
      <c r="E958" t="s">
        <v>274</v>
      </c>
      <c r="F958" t="s">
        <v>171</v>
      </c>
    </row>
    <row r="959" spans="1:6">
      <c r="A959" s="14" t="s">
        <v>2692</v>
      </c>
      <c r="B959" t="s">
        <v>2693</v>
      </c>
      <c r="C959" t="s">
        <v>2694</v>
      </c>
      <c r="D959" s="15" t="s">
        <v>34</v>
      </c>
      <c r="E959" t="s">
        <v>274</v>
      </c>
      <c r="F959" t="s">
        <v>172</v>
      </c>
    </row>
    <row r="960" spans="1:6">
      <c r="A960" s="14" t="s">
        <v>2695</v>
      </c>
      <c r="B960" t="s">
        <v>2696</v>
      </c>
      <c r="C960" t="s">
        <v>472</v>
      </c>
      <c r="D960" s="15" t="s">
        <v>273</v>
      </c>
      <c r="E960" t="s">
        <v>274</v>
      </c>
      <c r="F960" t="s">
        <v>2697</v>
      </c>
    </row>
    <row r="961" spans="1:6">
      <c r="A961" s="14" t="s">
        <v>2698</v>
      </c>
      <c r="B961" t="s">
        <v>2699</v>
      </c>
      <c r="C961" t="s">
        <v>278</v>
      </c>
      <c r="D961" s="15" t="s">
        <v>273</v>
      </c>
      <c r="E961" t="s">
        <v>274</v>
      </c>
      <c r="F961" t="s">
        <v>2700</v>
      </c>
    </row>
    <row r="962" spans="1:6">
      <c r="A962" s="14" t="s">
        <v>2701</v>
      </c>
      <c r="B962" t="s">
        <v>2702</v>
      </c>
      <c r="C962" t="s">
        <v>911</v>
      </c>
      <c r="D962" s="15" t="s">
        <v>273</v>
      </c>
      <c r="E962" t="s">
        <v>274</v>
      </c>
      <c r="F962" t="s">
        <v>2703</v>
      </c>
    </row>
    <row r="963" spans="1:6">
      <c r="A963" s="14" t="s">
        <v>2704</v>
      </c>
      <c r="B963" t="s">
        <v>2705</v>
      </c>
      <c r="C963" t="s">
        <v>34</v>
      </c>
      <c r="D963" s="15" t="s">
        <v>273</v>
      </c>
      <c r="E963" t="s">
        <v>274</v>
      </c>
      <c r="F963" t="s">
        <v>2706</v>
      </c>
    </row>
    <row r="964" spans="1:6">
      <c r="A964" s="14" t="s">
        <v>3689</v>
      </c>
      <c r="B964" t="s">
        <v>3690</v>
      </c>
      <c r="C964" t="s">
        <v>278</v>
      </c>
      <c r="D964" s="15" t="s">
        <v>273</v>
      </c>
      <c r="E964" t="s">
        <v>274</v>
      </c>
      <c r="F964" t="s">
        <v>3691</v>
      </c>
    </row>
    <row r="965" spans="1:6">
      <c r="A965" s="14" t="s">
        <v>5378</v>
      </c>
      <c r="D965" s="15" t="s">
        <v>3736</v>
      </c>
      <c r="E965" t="s">
        <v>5379</v>
      </c>
      <c r="F965" s="14" t="s">
        <v>5380</v>
      </c>
    </row>
    <row r="966" spans="1:6">
      <c r="A966" s="14" t="s">
        <v>2707</v>
      </c>
      <c r="B966" t="s">
        <v>2708</v>
      </c>
      <c r="C966" t="s">
        <v>911</v>
      </c>
      <c r="D966" s="15" t="s">
        <v>273</v>
      </c>
      <c r="E966" t="s">
        <v>274</v>
      </c>
      <c r="F966" t="s">
        <v>2709</v>
      </c>
    </row>
    <row r="967" spans="1:6">
      <c r="A967" s="14" t="s">
        <v>2710</v>
      </c>
      <c r="B967" t="s">
        <v>2711</v>
      </c>
      <c r="C967" t="s">
        <v>2712</v>
      </c>
      <c r="D967" s="15" t="s">
        <v>273</v>
      </c>
      <c r="E967" t="s">
        <v>274</v>
      </c>
      <c r="F967" t="s">
        <v>173</v>
      </c>
    </row>
    <row r="968" spans="1:6">
      <c r="A968" s="14" t="s">
        <v>2713</v>
      </c>
      <c r="B968" t="s">
        <v>174</v>
      </c>
      <c r="C968" t="s">
        <v>244</v>
      </c>
      <c r="D968" s="15" t="s">
        <v>273</v>
      </c>
      <c r="E968" t="s">
        <v>274</v>
      </c>
      <c r="F968" t="s">
        <v>175</v>
      </c>
    </row>
    <row r="969" spans="1:6">
      <c r="A969" s="14" t="s">
        <v>4056</v>
      </c>
      <c r="B969" t="s">
        <v>4057</v>
      </c>
      <c r="C969" t="s">
        <v>288</v>
      </c>
      <c r="D969" s="15" t="s">
        <v>3683</v>
      </c>
      <c r="E969" t="s">
        <v>274</v>
      </c>
      <c r="F969" t="s">
        <v>4058</v>
      </c>
    </row>
    <row r="970" spans="1:6">
      <c r="A970" s="14" t="s">
        <v>2714</v>
      </c>
      <c r="B970" t="s">
        <v>2715</v>
      </c>
      <c r="C970" t="s">
        <v>684</v>
      </c>
      <c r="D970" s="15" t="s">
        <v>34</v>
      </c>
      <c r="E970" t="s">
        <v>274</v>
      </c>
      <c r="F970" t="s">
        <v>2716</v>
      </c>
    </row>
    <row r="971" spans="1:6">
      <c r="A971" s="14" t="s">
        <v>2717</v>
      </c>
      <c r="B971" t="s">
        <v>2718</v>
      </c>
      <c r="C971" t="s">
        <v>617</v>
      </c>
      <c r="D971" s="15" t="s">
        <v>34</v>
      </c>
      <c r="E971" t="s">
        <v>274</v>
      </c>
      <c r="F971" t="s">
        <v>2719</v>
      </c>
    </row>
    <row r="972" spans="1:6">
      <c r="A972" s="14" t="s">
        <v>2720</v>
      </c>
      <c r="B972" t="s">
        <v>2721</v>
      </c>
      <c r="C972" t="s">
        <v>336</v>
      </c>
      <c r="D972" s="15" t="s">
        <v>34</v>
      </c>
      <c r="E972" t="s">
        <v>274</v>
      </c>
      <c r="F972" t="s">
        <v>2722</v>
      </c>
    </row>
    <row r="973" spans="1:6">
      <c r="A973" s="14" t="s">
        <v>2723</v>
      </c>
      <c r="B973" t="s">
        <v>2724</v>
      </c>
      <c r="C973" t="s">
        <v>2725</v>
      </c>
      <c r="D973" s="15" t="s">
        <v>273</v>
      </c>
      <c r="E973" t="s">
        <v>274</v>
      </c>
      <c r="F973" t="s">
        <v>2726</v>
      </c>
    </row>
    <row r="974" spans="1:6">
      <c r="A974" s="14" t="s">
        <v>2727</v>
      </c>
      <c r="B974" t="s">
        <v>2728</v>
      </c>
      <c r="C974" t="s">
        <v>2371</v>
      </c>
      <c r="D974" s="15" t="s">
        <v>34</v>
      </c>
      <c r="E974" t="s">
        <v>274</v>
      </c>
      <c r="F974" t="s">
        <v>2729</v>
      </c>
    </row>
    <row r="975" spans="1:6">
      <c r="A975" s="14" t="s">
        <v>2730</v>
      </c>
      <c r="B975" t="s">
        <v>2731</v>
      </c>
      <c r="C975" t="s">
        <v>2732</v>
      </c>
      <c r="D975" s="15" t="s">
        <v>34</v>
      </c>
      <c r="E975" t="s">
        <v>274</v>
      </c>
      <c r="F975" t="s">
        <v>2733</v>
      </c>
    </row>
    <row r="976" spans="1:6">
      <c r="A976" s="14" t="s">
        <v>2734</v>
      </c>
      <c r="B976" t="s">
        <v>2735</v>
      </c>
      <c r="C976" t="s">
        <v>273</v>
      </c>
      <c r="D976" s="15" t="s">
        <v>34</v>
      </c>
      <c r="E976" t="s">
        <v>274</v>
      </c>
      <c r="F976" t="s">
        <v>2736</v>
      </c>
    </row>
    <row r="977" spans="1:6">
      <c r="A977" s="14" t="s">
        <v>2737</v>
      </c>
      <c r="B977" t="s">
        <v>2738</v>
      </c>
      <c r="C977" t="s">
        <v>2739</v>
      </c>
      <c r="D977" s="15" t="s">
        <v>34</v>
      </c>
      <c r="E977" t="s">
        <v>274</v>
      </c>
      <c r="F977" t="s">
        <v>2740</v>
      </c>
    </row>
    <row r="978" spans="1:6">
      <c r="A978" s="14" t="s">
        <v>2741</v>
      </c>
      <c r="B978" t="s">
        <v>2742</v>
      </c>
      <c r="C978" t="s">
        <v>295</v>
      </c>
      <c r="D978" s="15" t="s">
        <v>34</v>
      </c>
      <c r="E978" t="s">
        <v>274</v>
      </c>
      <c r="F978" t="s">
        <v>2743</v>
      </c>
    </row>
    <row r="979" spans="1:6">
      <c r="A979" s="14" t="s">
        <v>2744</v>
      </c>
      <c r="B979" t="s">
        <v>2745</v>
      </c>
      <c r="C979" t="s">
        <v>911</v>
      </c>
      <c r="D979" s="15" t="s">
        <v>273</v>
      </c>
      <c r="E979" t="s">
        <v>274</v>
      </c>
      <c r="F979" t="s">
        <v>2746</v>
      </c>
    </row>
    <row r="980" spans="1:6">
      <c r="A980" s="14" t="s">
        <v>2747</v>
      </c>
      <c r="B980" t="s">
        <v>2748</v>
      </c>
      <c r="C980" t="s">
        <v>285</v>
      </c>
      <c r="D980" s="15" t="s">
        <v>236</v>
      </c>
      <c r="E980" t="s">
        <v>274</v>
      </c>
      <c r="F980" t="s">
        <v>2749</v>
      </c>
    </row>
    <row r="981" spans="1:6">
      <c r="A981" s="14" t="s">
        <v>2750</v>
      </c>
      <c r="B981" t="s">
        <v>2751</v>
      </c>
      <c r="C981" t="s">
        <v>288</v>
      </c>
      <c r="D981" s="15" t="s">
        <v>273</v>
      </c>
      <c r="E981" t="s">
        <v>274</v>
      </c>
      <c r="F981" t="s">
        <v>2752</v>
      </c>
    </row>
    <row r="982" spans="1:6">
      <c r="A982" s="14" t="s">
        <v>176</v>
      </c>
      <c r="B982" t="s">
        <v>263</v>
      </c>
      <c r="C982" t="s">
        <v>278</v>
      </c>
      <c r="D982" s="15" t="s">
        <v>273</v>
      </c>
      <c r="E982" t="s">
        <v>274</v>
      </c>
      <c r="F982" t="s">
        <v>177</v>
      </c>
    </row>
    <row r="983" spans="1:6">
      <c r="A983" s="14" t="s">
        <v>2753</v>
      </c>
      <c r="B983" t="s">
        <v>2754</v>
      </c>
      <c r="C983" t="s">
        <v>273</v>
      </c>
      <c r="D983" s="15" t="s">
        <v>34</v>
      </c>
      <c r="E983" t="s">
        <v>274</v>
      </c>
      <c r="F983" t="s">
        <v>178</v>
      </c>
    </row>
    <row r="984" spans="1:6">
      <c r="A984" s="14" t="s">
        <v>4005</v>
      </c>
      <c r="B984" t="s">
        <v>4006</v>
      </c>
      <c r="C984" t="s">
        <v>288</v>
      </c>
      <c r="D984" s="15" t="s">
        <v>273</v>
      </c>
      <c r="E984" t="s">
        <v>274</v>
      </c>
      <c r="F984" t="s">
        <v>4007</v>
      </c>
    </row>
    <row r="985" spans="1:6">
      <c r="A985" s="14" t="s">
        <v>2755</v>
      </c>
      <c r="B985" t="s">
        <v>2756</v>
      </c>
      <c r="C985" t="s">
        <v>2757</v>
      </c>
      <c r="D985" s="15" t="s">
        <v>273</v>
      </c>
      <c r="E985" t="s">
        <v>274</v>
      </c>
      <c r="F985" t="s">
        <v>2758</v>
      </c>
    </row>
    <row r="986" spans="1:6">
      <c r="A986" s="14" t="s">
        <v>2759</v>
      </c>
      <c r="B986" t="s">
        <v>2760</v>
      </c>
      <c r="C986" t="s">
        <v>34</v>
      </c>
      <c r="D986" s="15" t="s">
        <v>273</v>
      </c>
      <c r="E986" t="s">
        <v>274</v>
      </c>
      <c r="F986" t="s">
        <v>2761</v>
      </c>
    </row>
    <row r="987" spans="1:6">
      <c r="A987" s="14" t="s">
        <v>2762</v>
      </c>
      <c r="B987" t="s">
        <v>2763</v>
      </c>
      <c r="C987" t="s">
        <v>2764</v>
      </c>
      <c r="D987" s="15" t="s">
        <v>34</v>
      </c>
      <c r="E987" t="s">
        <v>274</v>
      </c>
      <c r="F987" t="s">
        <v>179</v>
      </c>
    </row>
    <row r="988" spans="1:6">
      <c r="A988" s="14" t="s">
        <v>2765</v>
      </c>
      <c r="B988" t="s">
        <v>2766</v>
      </c>
      <c r="C988" t="s">
        <v>278</v>
      </c>
      <c r="D988" s="15" t="s">
        <v>34</v>
      </c>
      <c r="E988" t="s">
        <v>274</v>
      </c>
      <c r="F988" t="s">
        <v>2767</v>
      </c>
    </row>
    <row r="989" spans="1:6">
      <c r="A989" s="14" t="s">
        <v>2768</v>
      </c>
      <c r="B989" t="s">
        <v>2769</v>
      </c>
      <c r="C989" t="s">
        <v>285</v>
      </c>
      <c r="D989" s="15" t="s">
        <v>34</v>
      </c>
      <c r="E989" t="s">
        <v>274</v>
      </c>
      <c r="F989" t="s">
        <v>2770</v>
      </c>
    </row>
    <row r="990" spans="1:6">
      <c r="A990" s="14" t="s">
        <v>2771</v>
      </c>
      <c r="B990" t="s">
        <v>2772</v>
      </c>
      <c r="C990" t="s">
        <v>243</v>
      </c>
      <c r="D990" s="15" t="s">
        <v>273</v>
      </c>
      <c r="E990" t="s">
        <v>274</v>
      </c>
      <c r="F990" t="s">
        <v>2773</v>
      </c>
    </row>
    <row r="991" spans="1:6">
      <c r="A991" s="14" t="s">
        <v>2774</v>
      </c>
      <c r="B991" t="s">
        <v>2775</v>
      </c>
      <c r="C991" t="s">
        <v>718</v>
      </c>
      <c r="D991" s="15" t="s">
        <v>34</v>
      </c>
      <c r="E991" t="s">
        <v>274</v>
      </c>
      <c r="F991" t="s">
        <v>180</v>
      </c>
    </row>
    <row r="992" spans="1:6">
      <c r="A992" s="14" t="s">
        <v>2776</v>
      </c>
      <c r="B992" t="s">
        <v>2777</v>
      </c>
      <c r="C992" t="s">
        <v>374</v>
      </c>
      <c r="D992" s="15" t="s">
        <v>236</v>
      </c>
      <c r="E992" t="s">
        <v>274</v>
      </c>
      <c r="F992" t="s">
        <v>181</v>
      </c>
    </row>
    <row r="993" spans="1:6">
      <c r="A993" s="14" t="s">
        <v>2778</v>
      </c>
      <c r="B993" t="s">
        <v>2779</v>
      </c>
      <c r="C993" t="s">
        <v>2780</v>
      </c>
      <c r="D993" s="15" t="s">
        <v>273</v>
      </c>
      <c r="E993" t="s">
        <v>327</v>
      </c>
      <c r="F993" t="s">
        <v>2781</v>
      </c>
    </row>
    <row r="994" spans="1:6">
      <c r="A994" s="14" t="s">
        <v>2782</v>
      </c>
      <c r="B994" t="s">
        <v>2783</v>
      </c>
      <c r="C994" t="s">
        <v>1244</v>
      </c>
      <c r="D994" s="15" t="s">
        <v>34</v>
      </c>
      <c r="E994" t="s">
        <v>274</v>
      </c>
      <c r="F994" t="s">
        <v>2784</v>
      </c>
    </row>
    <row r="995" spans="1:6">
      <c r="A995" s="14" t="s">
        <v>2785</v>
      </c>
      <c r="B995" t="s">
        <v>2786</v>
      </c>
      <c r="C995" t="s">
        <v>273</v>
      </c>
      <c r="D995" s="15" t="s">
        <v>34</v>
      </c>
      <c r="E995" t="s">
        <v>274</v>
      </c>
      <c r="F995" t="s">
        <v>2787</v>
      </c>
    </row>
    <row r="996" spans="1:6">
      <c r="A996" s="14" t="s">
        <v>2788</v>
      </c>
      <c r="B996" t="s">
        <v>2789</v>
      </c>
      <c r="C996" t="s">
        <v>278</v>
      </c>
      <c r="D996" s="15" t="s">
        <v>273</v>
      </c>
      <c r="E996" t="s">
        <v>274</v>
      </c>
      <c r="F996" t="s">
        <v>2790</v>
      </c>
    </row>
    <row r="997" spans="1:6">
      <c r="A997" s="14" t="s">
        <v>2791</v>
      </c>
      <c r="B997" t="s">
        <v>2792</v>
      </c>
      <c r="C997" t="s">
        <v>273</v>
      </c>
      <c r="D997" s="15" t="s">
        <v>34</v>
      </c>
      <c r="E997" t="s">
        <v>327</v>
      </c>
      <c r="F997" t="s">
        <v>2793</v>
      </c>
    </row>
    <row r="998" spans="1:6">
      <c r="A998" s="14" t="s">
        <v>2794</v>
      </c>
      <c r="B998" t="s">
        <v>2795</v>
      </c>
      <c r="C998" t="s">
        <v>911</v>
      </c>
      <c r="D998" s="15" t="s">
        <v>273</v>
      </c>
      <c r="E998" t="s">
        <v>274</v>
      </c>
      <c r="F998" t="s">
        <v>2796</v>
      </c>
    </row>
    <row r="999" spans="1:6">
      <c r="A999" s="14" t="s">
        <v>2797</v>
      </c>
      <c r="B999" t="s">
        <v>2798</v>
      </c>
      <c r="C999" t="s">
        <v>2799</v>
      </c>
      <c r="D999" s="15" t="s">
        <v>273</v>
      </c>
      <c r="E999" t="s">
        <v>274</v>
      </c>
      <c r="F999" t="s">
        <v>2800</v>
      </c>
    </row>
    <row r="1000" spans="1:6">
      <c r="A1000" s="14" t="s">
        <v>2801</v>
      </c>
      <c r="B1000" t="s">
        <v>262</v>
      </c>
      <c r="C1000" t="s">
        <v>278</v>
      </c>
      <c r="D1000" s="15" t="s">
        <v>34</v>
      </c>
      <c r="E1000" t="s">
        <v>274</v>
      </c>
      <c r="F1000" t="s">
        <v>182</v>
      </c>
    </row>
    <row r="1001" spans="1:6">
      <c r="A1001" s="14" t="s">
        <v>2802</v>
      </c>
      <c r="B1001" t="s">
        <v>2803</v>
      </c>
      <c r="C1001" t="s">
        <v>273</v>
      </c>
      <c r="D1001" s="15" t="s">
        <v>34</v>
      </c>
      <c r="E1001" t="s">
        <v>274</v>
      </c>
      <c r="F1001" t="s">
        <v>2804</v>
      </c>
    </row>
    <row r="1002" spans="1:6">
      <c r="A1002" s="14" t="s">
        <v>2805</v>
      </c>
      <c r="B1002" t="s">
        <v>2806</v>
      </c>
      <c r="C1002" t="s">
        <v>295</v>
      </c>
      <c r="D1002" s="15" t="s">
        <v>34</v>
      </c>
      <c r="E1002" t="s">
        <v>274</v>
      </c>
      <c r="F1002" t="s">
        <v>2807</v>
      </c>
    </row>
    <row r="1003" spans="1:6">
      <c r="A1003" s="14" t="s">
        <v>2808</v>
      </c>
      <c r="B1003" t="s">
        <v>1956</v>
      </c>
      <c r="C1003" t="s">
        <v>1200</v>
      </c>
      <c r="D1003" s="15" t="s">
        <v>34</v>
      </c>
      <c r="E1003" t="s">
        <v>274</v>
      </c>
      <c r="F1003" t="s">
        <v>2809</v>
      </c>
    </row>
    <row r="1004" spans="1:6">
      <c r="A1004" s="14" t="s">
        <v>2810</v>
      </c>
      <c r="B1004" t="s">
        <v>2811</v>
      </c>
      <c r="C1004" t="s">
        <v>911</v>
      </c>
      <c r="D1004" s="15" t="s">
        <v>273</v>
      </c>
      <c r="E1004" t="s">
        <v>274</v>
      </c>
      <c r="F1004" t="s">
        <v>2812</v>
      </c>
    </row>
    <row r="1005" spans="1:6">
      <c r="A1005" s="14" t="s">
        <v>2813</v>
      </c>
      <c r="B1005" t="s">
        <v>2814</v>
      </c>
      <c r="C1005" t="s">
        <v>273</v>
      </c>
      <c r="D1005" s="15" t="s">
        <v>34</v>
      </c>
      <c r="E1005" t="s">
        <v>274</v>
      </c>
      <c r="F1005" t="s">
        <v>2815</v>
      </c>
    </row>
    <row r="1006" spans="1:6">
      <c r="A1006" s="14" t="s">
        <v>2816</v>
      </c>
      <c r="B1006" t="s">
        <v>2817</v>
      </c>
      <c r="C1006" t="s">
        <v>911</v>
      </c>
      <c r="D1006" s="15" t="s">
        <v>273</v>
      </c>
      <c r="E1006" t="s">
        <v>274</v>
      </c>
      <c r="F1006" t="s">
        <v>2818</v>
      </c>
    </row>
    <row r="1007" spans="1:6">
      <c r="A1007" s="14" t="s">
        <v>2819</v>
      </c>
      <c r="B1007" t="s">
        <v>2820</v>
      </c>
      <c r="C1007" t="s">
        <v>278</v>
      </c>
      <c r="D1007" s="15" t="s">
        <v>273</v>
      </c>
      <c r="E1007" t="s">
        <v>274</v>
      </c>
      <c r="F1007" t="s">
        <v>2821</v>
      </c>
    </row>
    <row r="1008" spans="1:6">
      <c r="A1008" s="14" t="s">
        <v>2822</v>
      </c>
      <c r="B1008" t="s">
        <v>2823</v>
      </c>
      <c r="C1008" t="s">
        <v>278</v>
      </c>
      <c r="D1008" s="15" t="s">
        <v>34</v>
      </c>
      <c r="E1008" t="s">
        <v>327</v>
      </c>
      <c r="F1008" t="s">
        <v>2824</v>
      </c>
    </row>
    <row r="1009" spans="1:6">
      <c r="A1009" s="14" t="s">
        <v>2825</v>
      </c>
      <c r="B1009" t="s">
        <v>2826</v>
      </c>
      <c r="C1009" t="s">
        <v>273</v>
      </c>
      <c r="D1009" s="15" t="s">
        <v>34</v>
      </c>
      <c r="E1009" t="s">
        <v>274</v>
      </c>
      <c r="F1009" t="s">
        <v>2827</v>
      </c>
    </row>
    <row r="1010" spans="1:6">
      <c r="A1010" s="14" t="s">
        <v>4856</v>
      </c>
      <c r="B1010" s="14" t="s">
        <v>4857</v>
      </c>
      <c r="C1010" s="14" t="s">
        <v>4858</v>
      </c>
      <c r="D1010" s="15" t="s">
        <v>3736</v>
      </c>
      <c r="E1010" s="14" t="s">
        <v>274</v>
      </c>
      <c r="F1010" t="s">
        <v>4859</v>
      </c>
    </row>
    <row r="1011" spans="1:6">
      <c r="A1011" s="14" t="s">
        <v>2828</v>
      </c>
      <c r="B1011" t="s">
        <v>2829</v>
      </c>
      <c r="C1011" t="s">
        <v>2830</v>
      </c>
      <c r="D1011" s="15" t="s">
        <v>34</v>
      </c>
      <c r="E1011" t="s">
        <v>274</v>
      </c>
      <c r="F1011" t="s">
        <v>2831</v>
      </c>
    </row>
    <row r="1012" spans="1:6">
      <c r="A1012" s="14" t="s">
        <v>2832</v>
      </c>
      <c r="B1012" t="s">
        <v>2833</v>
      </c>
      <c r="C1012" t="s">
        <v>2834</v>
      </c>
      <c r="D1012" s="15" t="s">
        <v>34</v>
      </c>
      <c r="E1012" t="s">
        <v>274</v>
      </c>
      <c r="F1012" t="s">
        <v>183</v>
      </c>
    </row>
    <row r="1013" spans="1:6">
      <c r="A1013" s="14" t="s">
        <v>2835</v>
      </c>
      <c r="B1013" t="s">
        <v>2836</v>
      </c>
      <c r="C1013" t="s">
        <v>278</v>
      </c>
      <c r="D1013" s="15" t="s">
        <v>273</v>
      </c>
      <c r="E1013" t="s">
        <v>274</v>
      </c>
      <c r="F1013" t="s">
        <v>2837</v>
      </c>
    </row>
    <row r="1014" spans="1:6">
      <c r="A1014" s="14" t="s">
        <v>2838</v>
      </c>
      <c r="B1014" t="s">
        <v>2839</v>
      </c>
      <c r="C1014" t="s">
        <v>2840</v>
      </c>
      <c r="D1014" s="15" t="s">
        <v>34</v>
      </c>
      <c r="E1014" t="s">
        <v>274</v>
      </c>
      <c r="F1014" t="s">
        <v>2841</v>
      </c>
    </row>
    <row r="1015" spans="1:6">
      <c r="A1015" s="14" t="s">
        <v>3778</v>
      </c>
      <c r="B1015" t="s">
        <v>3779</v>
      </c>
      <c r="C1015" t="s">
        <v>278</v>
      </c>
      <c r="D1015" s="15" t="s">
        <v>273</v>
      </c>
      <c r="E1015" t="s">
        <v>274</v>
      </c>
      <c r="F1015" t="s">
        <v>3780</v>
      </c>
    </row>
    <row r="1016" spans="1:6">
      <c r="A1016" s="14" t="s">
        <v>2842</v>
      </c>
      <c r="B1016" t="s">
        <v>2843</v>
      </c>
      <c r="C1016" t="s">
        <v>433</v>
      </c>
      <c r="D1016" s="15" t="s">
        <v>273</v>
      </c>
      <c r="E1016" t="s">
        <v>274</v>
      </c>
      <c r="F1016" t="s">
        <v>2844</v>
      </c>
    </row>
    <row r="1017" spans="1:6">
      <c r="A1017" s="14" t="s">
        <v>2845</v>
      </c>
      <c r="B1017" t="s">
        <v>2846</v>
      </c>
      <c r="C1017" t="s">
        <v>882</v>
      </c>
      <c r="D1017" s="15" t="s">
        <v>273</v>
      </c>
      <c r="E1017" t="s">
        <v>274</v>
      </c>
      <c r="F1017" t="s">
        <v>2847</v>
      </c>
    </row>
    <row r="1018" spans="1:6">
      <c r="A1018" s="14" t="s">
        <v>4084</v>
      </c>
      <c r="B1018" t="s">
        <v>4085</v>
      </c>
      <c r="C1018" t="s">
        <v>4086</v>
      </c>
      <c r="D1018" s="15" t="s">
        <v>3736</v>
      </c>
      <c r="E1018" t="s">
        <v>274</v>
      </c>
      <c r="F1018" t="s">
        <v>4087</v>
      </c>
    </row>
    <row r="1019" spans="1:6">
      <c r="A1019" s="14" t="s">
        <v>5869</v>
      </c>
      <c r="B1019" s="14" t="s">
        <v>5870</v>
      </c>
      <c r="C1019" s="14" t="s">
        <v>278</v>
      </c>
      <c r="D1019" s="15" t="s">
        <v>3736</v>
      </c>
      <c r="E1019" s="14" t="s">
        <v>274</v>
      </c>
      <c r="F1019" s="14" t="s">
        <v>5871</v>
      </c>
    </row>
    <row r="1020" spans="1:6">
      <c r="A1020" s="14" t="s">
        <v>2848</v>
      </c>
      <c r="B1020" t="s">
        <v>2849</v>
      </c>
      <c r="C1020" t="s">
        <v>235</v>
      </c>
      <c r="D1020" s="15" t="s">
        <v>273</v>
      </c>
      <c r="E1020" t="s">
        <v>274</v>
      </c>
      <c r="F1020" t="s">
        <v>2850</v>
      </c>
    </row>
    <row r="1021" spans="1:6">
      <c r="A1021" s="14" t="s">
        <v>2851</v>
      </c>
      <c r="B1021" t="s">
        <v>2447</v>
      </c>
      <c r="C1021" t="s">
        <v>278</v>
      </c>
      <c r="D1021" s="15" t="s">
        <v>273</v>
      </c>
      <c r="E1021" t="s">
        <v>274</v>
      </c>
      <c r="F1021" t="s">
        <v>2448</v>
      </c>
    </row>
    <row r="1022" spans="1:6">
      <c r="A1022" s="14" t="s">
        <v>2852</v>
      </c>
      <c r="B1022" t="s">
        <v>2853</v>
      </c>
      <c r="C1022" t="s">
        <v>278</v>
      </c>
      <c r="D1022" s="15" t="s">
        <v>273</v>
      </c>
      <c r="E1022" t="s">
        <v>274</v>
      </c>
      <c r="F1022" t="s">
        <v>2854</v>
      </c>
    </row>
    <row r="1023" spans="1:6">
      <c r="A1023" s="14" t="s">
        <v>2855</v>
      </c>
      <c r="B1023" t="s">
        <v>2856</v>
      </c>
      <c r="C1023" t="s">
        <v>2120</v>
      </c>
      <c r="D1023" s="15" t="s">
        <v>34</v>
      </c>
      <c r="E1023" t="s">
        <v>274</v>
      </c>
      <c r="F1023" t="s">
        <v>2857</v>
      </c>
    </row>
    <row r="1024" spans="1:6">
      <c r="A1024" s="14" t="s">
        <v>2858</v>
      </c>
      <c r="B1024" t="s">
        <v>2859</v>
      </c>
      <c r="C1024" t="s">
        <v>718</v>
      </c>
      <c r="D1024" s="15" t="s">
        <v>34</v>
      </c>
      <c r="E1024" t="s">
        <v>274</v>
      </c>
      <c r="F1024" t="s">
        <v>2860</v>
      </c>
    </row>
    <row r="1025" spans="1:6">
      <c r="A1025" s="14" t="s">
        <v>2861</v>
      </c>
      <c r="B1025" t="s">
        <v>2862</v>
      </c>
      <c r="C1025" t="s">
        <v>295</v>
      </c>
      <c r="D1025" s="15" t="s">
        <v>34</v>
      </c>
      <c r="E1025" t="s">
        <v>274</v>
      </c>
      <c r="F1025" t="s">
        <v>2863</v>
      </c>
    </row>
    <row r="1026" spans="1:6">
      <c r="A1026" s="14" t="s">
        <v>5643</v>
      </c>
      <c r="B1026" s="14" t="s">
        <v>5644</v>
      </c>
      <c r="C1026" s="14" t="s">
        <v>366</v>
      </c>
      <c r="D1026" s="15" t="s">
        <v>273</v>
      </c>
      <c r="E1026" t="s">
        <v>274</v>
      </c>
      <c r="F1026" s="14" t="s">
        <v>5645</v>
      </c>
    </row>
    <row r="1027" spans="1:6">
      <c r="A1027" s="14" t="s">
        <v>2864</v>
      </c>
      <c r="B1027" t="s">
        <v>34</v>
      </c>
      <c r="C1027" t="s">
        <v>285</v>
      </c>
      <c r="D1027" s="15" t="s">
        <v>374</v>
      </c>
      <c r="E1027" t="s">
        <v>274</v>
      </c>
      <c r="F1027" t="s">
        <v>2865</v>
      </c>
    </row>
    <row r="1028" spans="1:6">
      <c r="A1028" s="14" t="s">
        <v>2866</v>
      </c>
      <c r="B1028" t="s">
        <v>2867</v>
      </c>
      <c r="C1028" t="s">
        <v>278</v>
      </c>
      <c r="D1028" s="15" t="s">
        <v>273</v>
      </c>
      <c r="E1028" t="s">
        <v>274</v>
      </c>
      <c r="F1028" t="s">
        <v>185</v>
      </c>
    </row>
    <row r="1029" spans="1:6">
      <c r="A1029" s="14" t="s">
        <v>2868</v>
      </c>
      <c r="B1029" t="s">
        <v>2869</v>
      </c>
      <c r="C1029" t="s">
        <v>278</v>
      </c>
      <c r="D1029" s="15" t="s">
        <v>273</v>
      </c>
      <c r="E1029" t="s">
        <v>274</v>
      </c>
      <c r="F1029" t="s">
        <v>2870</v>
      </c>
    </row>
    <row r="1030" spans="1:6">
      <c r="A1030" s="14" t="s">
        <v>2871</v>
      </c>
      <c r="B1030" t="s">
        <v>2872</v>
      </c>
      <c r="C1030" t="s">
        <v>882</v>
      </c>
      <c r="D1030" s="15" t="s">
        <v>273</v>
      </c>
      <c r="E1030" t="s">
        <v>274</v>
      </c>
      <c r="F1030" t="s">
        <v>2873</v>
      </c>
    </row>
    <row r="1031" spans="1:6">
      <c r="A1031" s="14" t="s">
        <v>2874</v>
      </c>
      <c r="B1031" t="s">
        <v>2875</v>
      </c>
      <c r="C1031" t="s">
        <v>235</v>
      </c>
      <c r="D1031" s="15" t="s">
        <v>34</v>
      </c>
      <c r="E1031" t="s">
        <v>274</v>
      </c>
      <c r="F1031" t="s">
        <v>2876</v>
      </c>
    </row>
    <row r="1032" spans="1:6">
      <c r="A1032" s="14" t="s">
        <v>4273</v>
      </c>
      <c r="B1032" s="14" t="s">
        <v>2209</v>
      </c>
      <c r="C1032" s="14" t="s">
        <v>278</v>
      </c>
      <c r="D1032" s="15" t="s">
        <v>3736</v>
      </c>
      <c r="E1032" s="14" t="s">
        <v>274</v>
      </c>
      <c r="F1032" s="14" t="s">
        <v>4274</v>
      </c>
    </row>
    <row r="1033" spans="1:6">
      <c r="A1033" s="14" t="s">
        <v>2877</v>
      </c>
      <c r="B1033" t="s">
        <v>2878</v>
      </c>
      <c r="C1033" t="s">
        <v>239</v>
      </c>
      <c r="D1033" s="15" t="s">
        <v>273</v>
      </c>
      <c r="E1033" t="s">
        <v>274</v>
      </c>
      <c r="F1033" t="s">
        <v>2879</v>
      </c>
    </row>
    <row r="1034" spans="1:6">
      <c r="A1034" s="14" t="s">
        <v>2880</v>
      </c>
      <c r="B1034" t="s">
        <v>2881</v>
      </c>
      <c r="C1034" t="s">
        <v>278</v>
      </c>
      <c r="D1034" s="15" t="s">
        <v>273</v>
      </c>
      <c r="E1034" t="s">
        <v>274</v>
      </c>
      <c r="F1034" t="s">
        <v>2882</v>
      </c>
    </row>
    <row r="1035" spans="1:6">
      <c r="A1035" s="14" t="s">
        <v>2883</v>
      </c>
      <c r="B1035" t="s">
        <v>2884</v>
      </c>
      <c r="C1035" t="s">
        <v>2491</v>
      </c>
      <c r="D1035" s="15" t="s">
        <v>34</v>
      </c>
      <c r="E1035" t="s">
        <v>274</v>
      </c>
      <c r="F1035" t="s">
        <v>2885</v>
      </c>
    </row>
    <row r="1036" spans="1:6">
      <c r="A1036" s="14" t="s">
        <v>2886</v>
      </c>
      <c r="B1036" t="s">
        <v>2887</v>
      </c>
      <c r="C1036" t="s">
        <v>295</v>
      </c>
      <c r="D1036" s="15" t="s">
        <v>34</v>
      </c>
      <c r="E1036" t="s">
        <v>274</v>
      </c>
      <c r="F1036" t="s">
        <v>2888</v>
      </c>
    </row>
    <row r="1037" spans="1:6">
      <c r="A1037" s="14" t="s">
        <v>2889</v>
      </c>
      <c r="B1037" t="s">
        <v>2890</v>
      </c>
      <c r="C1037" t="s">
        <v>2891</v>
      </c>
      <c r="D1037" s="15" t="s">
        <v>273</v>
      </c>
      <c r="E1037" t="s">
        <v>274</v>
      </c>
      <c r="F1037" t="s">
        <v>2892</v>
      </c>
    </row>
    <row r="1038" spans="1:6">
      <c r="A1038" s="14" t="s">
        <v>2893</v>
      </c>
      <c r="B1038" t="s">
        <v>2894</v>
      </c>
      <c r="C1038" t="s">
        <v>278</v>
      </c>
      <c r="D1038" s="15" t="s">
        <v>273</v>
      </c>
      <c r="E1038" t="s">
        <v>279</v>
      </c>
      <c r="F1038" t="s">
        <v>2895</v>
      </c>
    </row>
    <row r="1039" spans="1:6">
      <c r="A1039" s="14" t="s">
        <v>2896</v>
      </c>
      <c r="B1039" t="s">
        <v>2897</v>
      </c>
      <c r="C1039" t="s">
        <v>278</v>
      </c>
      <c r="D1039" s="15" t="s">
        <v>34</v>
      </c>
      <c r="E1039" t="s">
        <v>327</v>
      </c>
      <c r="F1039" t="s">
        <v>2898</v>
      </c>
    </row>
    <row r="1040" spans="1:6">
      <c r="A1040" s="14" t="s">
        <v>2899</v>
      </c>
      <c r="B1040" t="s">
        <v>2900</v>
      </c>
      <c r="C1040" t="s">
        <v>278</v>
      </c>
      <c r="D1040" s="15" t="s">
        <v>273</v>
      </c>
      <c r="E1040" t="s">
        <v>327</v>
      </c>
      <c r="F1040" t="s">
        <v>2901</v>
      </c>
    </row>
    <row r="1041" spans="1:6">
      <c r="A1041" s="14" t="s">
        <v>2902</v>
      </c>
      <c r="B1041" t="s">
        <v>2903</v>
      </c>
      <c r="C1041" t="s">
        <v>278</v>
      </c>
      <c r="D1041" s="15" t="s">
        <v>273</v>
      </c>
      <c r="E1041" t="s">
        <v>274</v>
      </c>
      <c r="F1041" t="s">
        <v>2904</v>
      </c>
    </row>
    <row r="1042" spans="1:6">
      <c r="A1042" s="14" t="s">
        <v>2905</v>
      </c>
      <c r="B1042" t="s">
        <v>2906</v>
      </c>
      <c r="C1042" t="s">
        <v>273</v>
      </c>
      <c r="D1042" s="15" t="s">
        <v>34</v>
      </c>
      <c r="E1042" t="s">
        <v>327</v>
      </c>
      <c r="F1042" t="s">
        <v>2907</v>
      </c>
    </row>
    <row r="1043" spans="1:6">
      <c r="A1043" s="14" t="s">
        <v>2909</v>
      </c>
      <c r="B1043" t="s">
        <v>2910</v>
      </c>
      <c r="C1043" t="s">
        <v>285</v>
      </c>
      <c r="D1043" s="15" t="s">
        <v>34</v>
      </c>
      <c r="E1043" t="s">
        <v>274</v>
      </c>
      <c r="F1043" t="s">
        <v>2911</v>
      </c>
    </row>
    <row r="1044" spans="1:6">
      <c r="A1044" s="14" t="s">
        <v>2912</v>
      </c>
      <c r="B1044" t="s">
        <v>2913</v>
      </c>
      <c r="C1044" t="s">
        <v>278</v>
      </c>
      <c r="D1044" s="15" t="s">
        <v>34</v>
      </c>
      <c r="E1044" t="s">
        <v>274</v>
      </c>
      <c r="F1044" t="s">
        <v>2914</v>
      </c>
    </row>
    <row r="1045" spans="1:6">
      <c r="A1045" s="14" t="s">
        <v>2915</v>
      </c>
      <c r="B1045" t="s">
        <v>2916</v>
      </c>
      <c r="C1045" t="s">
        <v>2917</v>
      </c>
      <c r="D1045" s="15" t="s">
        <v>273</v>
      </c>
      <c r="E1045" t="s">
        <v>274</v>
      </c>
      <c r="F1045" t="s">
        <v>2918</v>
      </c>
    </row>
    <row r="1046" spans="1:6">
      <c r="A1046" s="14" t="s">
        <v>2919</v>
      </c>
      <c r="B1046" t="s">
        <v>2920</v>
      </c>
      <c r="C1046" t="s">
        <v>594</v>
      </c>
      <c r="D1046" s="15" t="s">
        <v>273</v>
      </c>
      <c r="E1046" t="s">
        <v>274</v>
      </c>
      <c r="F1046" t="s">
        <v>2921</v>
      </c>
    </row>
    <row r="1047" spans="1:6">
      <c r="A1047" s="14" t="s">
        <v>2922</v>
      </c>
      <c r="B1047" t="s">
        <v>34</v>
      </c>
      <c r="C1047" t="s">
        <v>288</v>
      </c>
      <c r="D1047" s="15" t="s">
        <v>273</v>
      </c>
      <c r="E1047" t="s">
        <v>274</v>
      </c>
      <c r="F1047" t="s">
        <v>187</v>
      </c>
    </row>
    <row r="1048" spans="1:6">
      <c r="A1048" s="14" t="s">
        <v>5310</v>
      </c>
      <c r="B1048" s="14" t="s">
        <v>5311</v>
      </c>
      <c r="C1048" s="14" t="s">
        <v>278</v>
      </c>
      <c r="D1048" s="15" t="s">
        <v>3736</v>
      </c>
      <c r="E1048" s="14" t="s">
        <v>274</v>
      </c>
      <c r="F1048" s="14" t="s">
        <v>5312</v>
      </c>
    </row>
    <row r="1049" spans="1:6">
      <c r="A1049" s="14" t="s">
        <v>2923</v>
      </c>
      <c r="B1049" t="s">
        <v>2924</v>
      </c>
      <c r="C1049" t="s">
        <v>237</v>
      </c>
      <c r="D1049" s="15" t="s">
        <v>273</v>
      </c>
      <c r="E1049" t="s">
        <v>274</v>
      </c>
      <c r="F1049" t="s">
        <v>2925</v>
      </c>
    </row>
    <row r="1050" spans="1:6">
      <c r="A1050" s="14" t="s">
        <v>2926</v>
      </c>
      <c r="B1050" t="s">
        <v>2927</v>
      </c>
      <c r="C1050" t="s">
        <v>285</v>
      </c>
      <c r="D1050" s="15" t="s">
        <v>374</v>
      </c>
      <c r="E1050" t="s">
        <v>274</v>
      </c>
      <c r="F1050" t="s">
        <v>2928</v>
      </c>
    </row>
    <row r="1051" spans="1:6">
      <c r="A1051" s="14" t="s">
        <v>2929</v>
      </c>
      <c r="B1051" t="s">
        <v>2930</v>
      </c>
      <c r="C1051" t="s">
        <v>285</v>
      </c>
      <c r="D1051" s="15" t="s">
        <v>34</v>
      </c>
      <c r="E1051" t="s">
        <v>274</v>
      </c>
      <c r="F1051" t="s">
        <v>2931</v>
      </c>
    </row>
    <row r="1052" spans="1:6">
      <c r="A1052" s="14" t="s">
        <v>2932</v>
      </c>
      <c r="B1052" t="s">
        <v>34</v>
      </c>
      <c r="C1052" t="s">
        <v>288</v>
      </c>
      <c r="D1052" s="15" t="s">
        <v>273</v>
      </c>
      <c r="E1052" t="s">
        <v>274</v>
      </c>
      <c r="F1052" t="s">
        <v>2933</v>
      </c>
    </row>
    <row r="1053" spans="1:6">
      <c r="A1053" s="14" t="s">
        <v>2934</v>
      </c>
      <c r="B1053" t="s">
        <v>2935</v>
      </c>
      <c r="C1053" t="s">
        <v>278</v>
      </c>
      <c r="D1053" s="15" t="s">
        <v>273</v>
      </c>
      <c r="E1053" t="s">
        <v>274</v>
      </c>
      <c r="F1053" t="s">
        <v>2936</v>
      </c>
    </row>
    <row r="1054" spans="1:6">
      <c r="A1054" s="14" t="s">
        <v>2937</v>
      </c>
      <c r="B1054" t="s">
        <v>2938</v>
      </c>
      <c r="C1054" t="s">
        <v>268</v>
      </c>
      <c r="D1054" s="15" t="s">
        <v>273</v>
      </c>
      <c r="E1054" t="s">
        <v>274</v>
      </c>
      <c r="F1054" t="s">
        <v>2939</v>
      </c>
    </row>
    <row r="1055" spans="1:6">
      <c r="A1055" s="14" t="s">
        <v>2940</v>
      </c>
      <c r="B1055" t="s">
        <v>188</v>
      </c>
      <c r="C1055" t="s">
        <v>240</v>
      </c>
      <c r="D1055" s="15" t="s">
        <v>273</v>
      </c>
      <c r="E1055" t="s">
        <v>274</v>
      </c>
      <c r="F1055" t="s">
        <v>189</v>
      </c>
    </row>
    <row r="1056" spans="1:6">
      <c r="A1056" s="14" t="s">
        <v>2941</v>
      </c>
      <c r="B1056" t="s">
        <v>190</v>
      </c>
      <c r="C1056" t="s">
        <v>273</v>
      </c>
      <c r="D1056" s="15" t="s">
        <v>34</v>
      </c>
      <c r="E1056" t="s">
        <v>274</v>
      </c>
      <c r="F1056" t="s">
        <v>191</v>
      </c>
    </row>
    <row r="1057" spans="1:6">
      <c r="A1057" s="14" t="s">
        <v>4146</v>
      </c>
      <c r="B1057" s="14" t="s">
        <v>4147</v>
      </c>
      <c r="C1057" s="14" t="s">
        <v>1455</v>
      </c>
      <c r="D1057" s="15" t="s">
        <v>3736</v>
      </c>
      <c r="E1057" s="14" t="s">
        <v>327</v>
      </c>
      <c r="F1057" s="14" t="s">
        <v>4148</v>
      </c>
    </row>
    <row r="1058" spans="1:6">
      <c r="A1058" s="14" t="s">
        <v>2942</v>
      </c>
      <c r="B1058" t="s">
        <v>2943</v>
      </c>
      <c r="C1058" t="s">
        <v>2944</v>
      </c>
      <c r="D1058" s="15" t="s">
        <v>34</v>
      </c>
      <c r="E1058" t="s">
        <v>274</v>
      </c>
      <c r="F1058" t="s">
        <v>2945</v>
      </c>
    </row>
    <row r="1059" spans="1:6">
      <c r="A1059" s="14" t="s">
        <v>2946</v>
      </c>
      <c r="B1059" t="s">
        <v>2947</v>
      </c>
      <c r="C1059" t="s">
        <v>278</v>
      </c>
      <c r="D1059" s="15" t="s">
        <v>273</v>
      </c>
      <c r="E1059" t="s">
        <v>274</v>
      </c>
      <c r="F1059" t="s">
        <v>2948</v>
      </c>
    </row>
    <row r="1060" spans="1:6">
      <c r="A1060" s="14" t="s">
        <v>2949</v>
      </c>
      <c r="B1060" t="s">
        <v>2950</v>
      </c>
      <c r="C1060" t="s">
        <v>2951</v>
      </c>
      <c r="D1060" s="15" t="s">
        <v>34</v>
      </c>
      <c r="E1060" t="s">
        <v>327</v>
      </c>
      <c r="F1060" t="s">
        <v>2952</v>
      </c>
    </row>
    <row r="1061" spans="1:6">
      <c r="A1061" s="14" t="s">
        <v>2953</v>
      </c>
      <c r="B1061" t="s">
        <v>2954</v>
      </c>
      <c r="C1061" t="s">
        <v>295</v>
      </c>
      <c r="D1061" s="15" t="s">
        <v>34</v>
      </c>
      <c r="E1061" t="s">
        <v>274</v>
      </c>
      <c r="F1061" t="s">
        <v>2955</v>
      </c>
    </row>
    <row r="1062" spans="1:6">
      <c r="A1062" s="14" t="s">
        <v>2956</v>
      </c>
      <c r="B1062" t="s">
        <v>2957</v>
      </c>
      <c r="C1062" t="s">
        <v>278</v>
      </c>
      <c r="D1062" s="15" t="s">
        <v>273</v>
      </c>
      <c r="E1062" t="s">
        <v>274</v>
      </c>
      <c r="F1062" t="s">
        <v>3879</v>
      </c>
    </row>
    <row r="1063" spans="1:6">
      <c r="A1063" s="14" t="s">
        <v>3875</v>
      </c>
      <c r="B1063" t="s">
        <v>3876</v>
      </c>
      <c r="C1063" t="s">
        <v>3877</v>
      </c>
      <c r="D1063" s="15" t="s">
        <v>273</v>
      </c>
      <c r="E1063" t="s">
        <v>327</v>
      </c>
      <c r="F1063" t="s">
        <v>3878</v>
      </c>
    </row>
    <row r="1064" spans="1:6">
      <c r="A1064" s="14" t="s">
        <v>2958</v>
      </c>
      <c r="B1064" t="s">
        <v>2959</v>
      </c>
      <c r="C1064" t="s">
        <v>2960</v>
      </c>
      <c r="D1064" s="15" t="s">
        <v>34</v>
      </c>
      <c r="E1064" t="s">
        <v>274</v>
      </c>
      <c r="F1064" t="s">
        <v>2961</v>
      </c>
    </row>
    <row r="1065" spans="1:6">
      <c r="A1065" s="14" t="s">
        <v>2962</v>
      </c>
      <c r="B1065" t="s">
        <v>2963</v>
      </c>
      <c r="C1065" t="s">
        <v>278</v>
      </c>
      <c r="D1065" s="15" t="s">
        <v>273</v>
      </c>
      <c r="E1065" t="s">
        <v>274</v>
      </c>
      <c r="F1065" t="s">
        <v>2964</v>
      </c>
    </row>
    <row r="1066" spans="1:6">
      <c r="A1066" s="14" t="s">
        <v>2965</v>
      </c>
      <c r="B1066" t="s">
        <v>2966</v>
      </c>
      <c r="C1066" t="s">
        <v>278</v>
      </c>
      <c r="D1066" s="15" t="s">
        <v>273</v>
      </c>
      <c r="E1066" t="s">
        <v>327</v>
      </c>
      <c r="F1066" t="s">
        <v>2967</v>
      </c>
    </row>
    <row r="1067" spans="1:6">
      <c r="A1067" s="14" t="s">
        <v>2968</v>
      </c>
      <c r="B1067" t="s">
        <v>2969</v>
      </c>
      <c r="C1067" t="s">
        <v>295</v>
      </c>
      <c r="D1067" s="15" t="s">
        <v>34</v>
      </c>
      <c r="E1067" t="s">
        <v>274</v>
      </c>
      <c r="F1067" t="s">
        <v>2970</v>
      </c>
    </row>
    <row r="1068" spans="1:6">
      <c r="A1068" s="14" t="s">
        <v>4133</v>
      </c>
      <c r="B1068" s="14" t="s">
        <v>4134</v>
      </c>
      <c r="C1068" s="14" t="s">
        <v>278</v>
      </c>
      <c r="D1068" s="15" t="s">
        <v>3736</v>
      </c>
      <c r="E1068" s="14" t="s">
        <v>274</v>
      </c>
      <c r="F1068" s="14" t="s">
        <v>4135</v>
      </c>
    </row>
    <row r="1069" spans="1:6">
      <c r="A1069" s="14" t="s">
        <v>2971</v>
      </c>
      <c r="B1069" t="s">
        <v>2972</v>
      </c>
      <c r="C1069" t="s">
        <v>2973</v>
      </c>
      <c r="D1069" s="15" t="s">
        <v>34</v>
      </c>
      <c r="E1069" t="s">
        <v>274</v>
      </c>
      <c r="F1069" t="s">
        <v>2974</v>
      </c>
    </row>
    <row r="1070" spans="1:6">
      <c r="A1070" s="14" t="s">
        <v>2975</v>
      </c>
      <c r="B1070" t="s">
        <v>2976</v>
      </c>
      <c r="C1070" t="s">
        <v>2977</v>
      </c>
      <c r="D1070" s="15" t="s">
        <v>34</v>
      </c>
      <c r="E1070" t="s">
        <v>274</v>
      </c>
      <c r="F1070" t="s">
        <v>192</v>
      </c>
    </row>
    <row r="1071" spans="1:6">
      <c r="A1071" s="14" t="s">
        <v>2978</v>
      </c>
      <c r="B1071" t="s">
        <v>2979</v>
      </c>
      <c r="C1071" t="s">
        <v>273</v>
      </c>
      <c r="D1071" s="15" t="s">
        <v>34</v>
      </c>
      <c r="E1071" t="s">
        <v>274</v>
      </c>
      <c r="F1071" t="s">
        <v>2980</v>
      </c>
    </row>
    <row r="1072" spans="1:6">
      <c r="A1072" s="14" t="s">
        <v>2981</v>
      </c>
      <c r="B1072" t="s">
        <v>2982</v>
      </c>
      <c r="C1072" t="s">
        <v>278</v>
      </c>
      <c r="D1072" s="15" t="s">
        <v>273</v>
      </c>
      <c r="E1072" t="s">
        <v>274</v>
      </c>
      <c r="F1072" t="s">
        <v>2983</v>
      </c>
    </row>
    <row r="1073" spans="1:6">
      <c r="A1073" s="14" t="s">
        <v>2984</v>
      </c>
      <c r="B1073" t="s">
        <v>2985</v>
      </c>
      <c r="C1073" t="s">
        <v>278</v>
      </c>
      <c r="D1073" s="15" t="s">
        <v>273</v>
      </c>
      <c r="E1073" t="s">
        <v>327</v>
      </c>
      <c r="F1073" t="s">
        <v>2986</v>
      </c>
    </row>
    <row r="1074" spans="1:6">
      <c r="A1074" s="14" t="s">
        <v>2987</v>
      </c>
      <c r="B1074" t="s">
        <v>2988</v>
      </c>
      <c r="C1074" t="s">
        <v>278</v>
      </c>
      <c r="D1074" s="15" t="s">
        <v>273</v>
      </c>
      <c r="E1074" t="s">
        <v>274</v>
      </c>
      <c r="F1074" t="s">
        <v>2989</v>
      </c>
    </row>
    <row r="1075" spans="1:6">
      <c r="A1075" s="14" t="s">
        <v>2990</v>
      </c>
      <c r="B1075" t="s">
        <v>2991</v>
      </c>
      <c r="C1075" t="s">
        <v>278</v>
      </c>
      <c r="D1075" s="15" t="s">
        <v>273</v>
      </c>
      <c r="E1075" t="s">
        <v>327</v>
      </c>
      <c r="F1075" t="s">
        <v>2992</v>
      </c>
    </row>
    <row r="1076" spans="1:6">
      <c r="A1076" s="14" t="s">
        <v>2993</v>
      </c>
      <c r="B1076" t="s">
        <v>2994</v>
      </c>
      <c r="C1076" t="s">
        <v>601</v>
      </c>
      <c r="D1076" s="15" t="s">
        <v>374</v>
      </c>
      <c r="E1076" t="s">
        <v>274</v>
      </c>
      <c r="F1076" t="s">
        <v>2995</v>
      </c>
    </row>
    <row r="1077" spans="1:6">
      <c r="A1077" s="14" t="s">
        <v>2996</v>
      </c>
      <c r="B1077" t="s">
        <v>2997</v>
      </c>
      <c r="C1077" t="s">
        <v>278</v>
      </c>
      <c r="D1077" s="15" t="s">
        <v>273</v>
      </c>
      <c r="E1077" t="s">
        <v>327</v>
      </c>
      <c r="F1077" t="s">
        <v>1921</v>
      </c>
    </row>
    <row r="1078" spans="1:6">
      <c r="A1078" s="14" t="s">
        <v>2998</v>
      </c>
      <c r="B1078" t="s">
        <v>2999</v>
      </c>
      <c r="C1078" t="s">
        <v>1413</v>
      </c>
      <c r="D1078" s="15" t="s">
        <v>34</v>
      </c>
      <c r="E1078" t="s">
        <v>274</v>
      </c>
      <c r="F1078" t="s">
        <v>193</v>
      </c>
    </row>
    <row r="1079" spans="1:6">
      <c r="A1079" s="14" t="s">
        <v>3000</v>
      </c>
      <c r="B1079" t="s">
        <v>3001</v>
      </c>
      <c r="C1079" t="s">
        <v>278</v>
      </c>
      <c r="D1079" s="15" t="s">
        <v>273</v>
      </c>
      <c r="E1079" t="s">
        <v>327</v>
      </c>
      <c r="F1079" t="s">
        <v>3002</v>
      </c>
    </row>
    <row r="1080" spans="1:6">
      <c r="A1080" s="14" t="s">
        <v>3003</v>
      </c>
      <c r="B1080" t="s">
        <v>194</v>
      </c>
      <c r="C1080" t="s">
        <v>237</v>
      </c>
      <c r="D1080" s="15" t="s">
        <v>273</v>
      </c>
      <c r="E1080" t="s">
        <v>274</v>
      </c>
      <c r="F1080" t="s">
        <v>195</v>
      </c>
    </row>
    <row r="1081" spans="1:6">
      <c r="A1081" s="14" t="s">
        <v>3932</v>
      </c>
      <c r="B1081" t="s">
        <v>3933</v>
      </c>
      <c r="C1081" t="s">
        <v>2780</v>
      </c>
      <c r="D1081" s="15" t="s">
        <v>273</v>
      </c>
      <c r="E1081" t="s">
        <v>274</v>
      </c>
      <c r="F1081" t="s">
        <v>3934</v>
      </c>
    </row>
    <row r="1082" spans="1:6">
      <c r="A1082" s="14" t="s">
        <v>3004</v>
      </c>
      <c r="B1082" t="s">
        <v>3005</v>
      </c>
      <c r="C1082" t="s">
        <v>1244</v>
      </c>
      <c r="D1082" s="15" t="s">
        <v>34</v>
      </c>
      <c r="E1082" t="s">
        <v>274</v>
      </c>
      <c r="F1082" t="s">
        <v>3006</v>
      </c>
    </row>
    <row r="1083" spans="1:6">
      <c r="A1083" s="14" t="s">
        <v>3007</v>
      </c>
      <c r="B1083" t="s">
        <v>3008</v>
      </c>
      <c r="C1083" t="s">
        <v>278</v>
      </c>
      <c r="D1083" s="15" t="s">
        <v>273</v>
      </c>
      <c r="E1083" t="s">
        <v>274</v>
      </c>
      <c r="F1083" t="s">
        <v>3009</v>
      </c>
    </row>
    <row r="1084" spans="1:6">
      <c r="A1084" s="14" t="s">
        <v>3738</v>
      </c>
      <c r="B1084" t="s">
        <v>3010</v>
      </c>
      <c r="C1084" t="s">
        <v>288</v>
      </c>
      <c r="D1084" s="15" t="s">
        <v>273</v>
      </c>
      <c r="E1084" t="s">
        <v>274</v>
      </c>
      <c r="F1084" t="s">
        <v>196</v>
      </c>
    </row>
    <row r="1085" spans="1:6">
      <c r="A1085" s="14" t="s">
        <v>3963</v>
      </c>
      <c r="B1085" t="s">
        <v>3965</v>
      </c>
      <c r="C1085" t="s">
        <v>288</v>
      </c>
      <c r="D1085" s="15" t="s">
        <v>273</v>
      </c>
      <c r="E1085" t="s">
        <v>274</v>
      </c>
      <c r="F1085" t="s">
        <v>3964</v>
      </c>
    </row>
    <row r="1086" spans="1:6">
      <c r="A1086" s="14" t="s">
        <v>3011</v>
      </c>
      <c r="B1086" t="s">
        <v>3012</v>
      </c>
      <c r="C1086" t="s">
        <v>3013</v>
      </c>
      <c r="D1086" s="15" t="s">
        <v>34</v>
      </c>
      <c r="E1086" t="s">
        <v>274</v>
      </c>
      <c r="F1086" t="s">
        <v>3014</v>
      </c>
    </row>
    <row r="1087" spans="1:6">
      <c r="A1087" s="14" t="s">
        <v>3015</v>
      </c>
      <c r="B1087" t="s">
        <v>3016</v>
      </c>
      <c r="C1087" t="s">
        <v>285</v>
      </c>
      <c r="D1087" s="15" t="s">
        <v>34</v>
      </c>
      <c r="E1087" t="s">
        <v>274</v>
      </c>
      <c r="F1087" t="s">
        <v>3017</v>
      </c>
    </row>
    <row r="1088" spans="1:6">
      <c r="A1088" s="14" t="s">
        <v>3018</v>
      </c>
      <c r="B1088" t="s">
        <v>3019</v>
      </c>
      <c r="C1088" t="s">
        <v>374</v>
      </c>
      <c r="D1088" s="15" t="s">
        <v>236</v>
      </c>
      <c r="E1088" t="s">
        <v>274</v>
      </c>
      <c r="F1088" t="s">
        <v>3020</v>
      </c>
    </row>
    <row r="1089" spans="1:6">
      <c r="A1089" s="14" t="s">
        <v>3021</v>
      </c>
      <c r="B1089" t="s">
        <v>3022</v>
      </c>
      <c r="C1089" t="s">
        <v>278</v>
      </c>
      <c r="D1089" s="15" t="s">
        <v>2283</v>
      </c>
      <c r="E1089" t="s">
        <v>274</v>
      </c>
      <c r="F1089" t="s">
        <v>3023</v>
      </c>
    </row>
    <row r="1090" spans="1:6">
      <c r="A1090" s="14" t="s">
        <v>3024</v>
      </c>
      <c r="B1090" t="s">
        <v>3025</v>
      </c>
      <c r="C1090" t="s">
        <v>273</v>
      </c>
      <c r="D1090" s="15" t="s">
        <v>34</v>
      </c>
      <c r="E1090" t="s">
        <v>274</v>
      </c>
      <c r="F1090" t="s">
        <v>3026</v>
      </c>
    </row>
    <row r="1091" spans="1:6">
      <c r="A1091" s="14" t="s">
        <v>3027</v>
      </c>
      <c r="B1091" t="s">
        <v>3028</v>
      </c>
      <c r="C1091" t="s">
        <v>278</v>
      </c>
      <c r="D1091" s="15" t="s">
        <v>273</v>
      </c>
      <c r="E1091" t="s">
        <v>274</v>
      </c>
      <c r="F1091" t="s">
        <v>3029</v>
      </c>
    </row>
    <row r="1092" spans="1:6">
      <c r="A1092" s="14" t="s">
        <v>3030</v>
      </c>
      <c r="B1092" t="s">
        <v>3031</v>
      </c>
      <c r="C1092" t="s">
        <v>3032</v>
      </c>
      <c r="D1092" s="15" t="s">
        <v>273</v>
      </c>
      <c r="E1092" t="s">
        <v>274</v>
      </c>
      <c r="F1092" t="s">
        <v>3033</v>
      </c>
    </row>
    <row r="1093" spans="1:6">
      <c r="A1093" s="14" t="s">
        <v>3034</v>
      </c>
      <c r="B1093" t="s">
        <v>3035</v>
      </c>
      <c r="C1093" t="s">
        <v>273</v>
      </c>
      <c r="D1093" s="15" t="s">
        <v>34</v>
      </c>
      <c r="E1093" t="s">
        <v>274</v>
      </c>
      <c r="F1093" t="s">
        <v>3036</v>
      </c>
    </row>
    <row r="1094" spans="1:6">
      <c r="A1094" s="14" t="s">
        <v>3037</v>
      </c>
      <c r="B1094" t="s">
        <v>3038</v>
      </c>
      <c r="C1094" t="s">
        <v>278</v>
      </c>
      <c r="D1094" s="15" t="s">
        <v>273</v>
      </c>
      <c r="E1094" t="s">
        <v>274</v>
      </c>
      <c r="F1094" t="s">
        <v>3039</v>
      </c>
    </row>
    <row r="1095" spans="1:6">
      <c r="A1095" s="14" t="s">
        <v>3040</v>
      </c>
      <c r="B1095" t="s">
        <v>3041</v>
      </c>
      <c r="C1095" t="s">
        <v>278</v>
      </c>
      <c r="D1095" s="15" t="s">
        <v>34</v>
      </c>
      <c r="E1095" t="s">
        <v>274</v>
      </c>
      <c r="F1095" t="s">
        <v>3042</v>
      </c>
    </row>
    <row r="1096" spans="1:6">
      <c r="A1096" s="14" t="s">
        <v>3043</v>
      </c>
      <c r="B1096" t="s">
        <v>3044</v>
      </c>
      <c r="C1096" t="s">
        <v>243</v>
      </c>
      <c r="D1096" s="15" t="s">
        <v>273</v>
      </c>
      <c r="E1096" t="s">
        <v>274</v>
      </c>
      <c r="F1096" t="s">
        <v>3045</v>
      </c>
    </row>
    <row r="1097" spans="1:6">
      <c r="A1097" s="14" t="s">
        <v>3046</v>
      </c>
      <c r="B1097" t="s">
        <v>3047</v>
      </c>
      <c r="C1097" t="s">
        <v>2317</v>
      </c>
      <c r="D1097" s="15" t="s">
        <v>34</v>
      </c>
      <c r="E1097" t="s">
        <v>274</v>
      </c>
      <c r="F1097" t="s">
        <v>3048</v>
      </c>
    </row>
    <row r="1098" spans="1:6">
      <c r="A1098" s="14" t="s">
        <v>3049</v>
      </c>
      <c r="B1098" t="s">
        <v>3050</v>
      </c>
      <c r="C1098" t="s">
        <v>285</v>
      </c>
      <c r="D1098" s="15" t="s">
        <v>34</v>
      </c>
      <c r="E1098" t="s">
        <v>274</v>
      </c>
      <c r="F1098" t="s">
        <v>3051</v>
      </c>
    </row>
    <row r="1099" spans="1:6">
      <c r="A1099" s="14" t="s">
        <v>3052</v>
      </c>
      <c r="B1099" t="s">
        <v>3053</v>
      </c>
      <c r="C1099" t="s">
        <v>3054</v>
      </c>
      <c r="D1099" s="15" t="s">
        <v>3055</v>
      </c>
      <c r="E1099" t="s">
        <v>274</v>
      </c>
      <c r="F1099" t="s">
        <v>3056</v>
      </c>
    </row>
    <row r="1100" spans="1:6">
      <c r="A1100" s="14" t="s">
        <v>3057</v>
      </c>
      <c r="B1100" t="s">
        <v>3058</v>
      </c>
      <c r="C1100" t="s">
        <v>278</v>
      </c>
      <c r="D1100" s="15" t="s">
        <v>273</v>
      </c>
      <c r="E1100" t="s">
        <v>274</v>
      </c>
      <c r="F1100" t="s">
        <v>3059</v>
      </c>
    </row>
    <row r="1101" spans="1:6">
      <c r="A1101" s="14" t="s">
        <v>3060</v>
      </c>
      <c r="B1101" t="s">
        <v>3061</v>
      </c>
      <c r="C1101" t="s">
        <v>288</v>
      </c>
      <c r="D1101" s="15" t="s">
        <v>273</v>
      </c>
      <c r="E1101" t="s">
        <v>274</v>
      </c>
      <c r="F1101" t="s">
        <v>3062</v>
      </c>
    </row>
    <row r="1102" spans="1:6">
      <c r="A1102" s="14" t="s">
        <v>3063</v>
      </c>
      <c r="B1102" t="s">
        <v>3064</v>
      </c>
      <c r="C1102" t="s">
        <v>278</v>
      </c>
      <c r="D1102" s="15" t="s">
        <v>34</v>
      </c>
      <c r="E1102" t="s">
        <v>274</v>
      </c>
      <c r="F1102" t="s">
        <v>3065</v>
      </c>
    </row>
    <row r="1103" spans="1:6">
      <c r="A1103" s="14" t="s">
        <v>3066</v>
      </c>
      <c r="B1103" t="s">
        <v>3067</v>
      </c>
      <c r="C1103" t="s">
        <v>288</v>
      </c>
      <c r="D1103" s="15" t="s">
        <v>273</v>
      </c>
      <c r="E1103" t="s">
        <v>274</v>
      </c>
      <c r="F1103" t="s">
        <v>3068</v>
      </c>
    </row>
    <row r="1104" spans="1:6">
      <c r="A1104" s="14" t="s">
        <v>3069</v>
      </c>
      <c r="B1104" t="s">
        <v>3070</v>
      </c>
      <c r="C1104" t="s">
        <v>273</v>
      </c>
      <c r="D1104" s="15" t="s">
        <v>34</v>
      </c>
      <c r="E1104" t="s">
        <v>274</v>
      </c>
      <c r="F1104" t="s">
        <v>3071</v>
      </c>
    </row>
    <row r="1105" spans="1:6">
      <c r="A1105" s="14" t="s">
        <v>3072</v>
      </c>
      <c r="B1105" t="s">
        <v>3073</v>
      </c>
      <c r="C1105" t="s">
        <v>3074</v>
      </c>
      <c r="D1105" s="15" t="s">
        <v>34</v>
      </c>
      <c r="E1105" t="s">
        <v>274</v>
      </c>
      <c r="F1105" t="s">
        <v>3790</v>
      </c>
    </row>
    <row r="1106" spans="1:6">
      <c r="A1106" s="14" t="s">
        <v>3075</v>
      </c>
      <c r="B1106" t="s">
        <v>3076</v>
      </c>
      <c r="C1106" t="s">
        <v>3077</v>
      </c>
      <c r="D1106" s="15" t="s">
        <v>273</v>
      </c>
      <c r="E1106" t="s">
        <v>274</v>
      </c>
      <c r="F1106" t="s">
        <v>3078</v>
      </c>
    </row>
    <row r="1107" spans="1:6">
      <c r="A1107" s="14" t="s">
        <v>3810</v>
      </c>
      <c r="B1107" t="s">
        <v>3811</v>
      </c>
      <c r="C1107" t="s">
        <v>288</v>
      </c>
      <c r="D1107" s="15" t="s">
        <v>273</v>
      </c>
      <c r="E1107" t="s">
        <v>274</v>
      </c>
      <c r="F1107" t="s">
        <v>3812</v>
      </c>
    </row>
    <row r="1108" spans="1:6">
      <c r="A1108" s="14" t="s">
        <v>3079</v>
      </c>
      <c r="B1108" t="s">
        <v>3080</v>
      </c>
      <c r="C1108" t="s">
        <v>237</v>
      </c>
      <c r="D1108" s="15" t="s">
        <v>273</v>
      </c>
      <c r="E1108" t="s">
        <v>274</v>
      </c>
      <c r="F1108" t="s">
        <v>3081</v>
      </c>
    </row>
    <row r="1109" spans="1:6">
      <c r="A1109" s="14" t="s">
        <v>3082</v>
      </c>
      <c r="B1109" t="s">
        <v>3083</v>
      </c>
      <c r="C1109" t="s">
        <v>285</v>
      </c>
      <c r="D1109" s="15" t="s">
        <v>34</v>
      </c>
      <c r="E1109" t="s">
        <v>274</v>
      </c>
      <c r="F1109" t="s">
        <v>3084</v>
      </c>
    </row>
    <row r="1110" spans="1:6">
      <c r="A1110" s="14" t="s">
        <v>3085</v>
      </c>
      <c r="B1110" t="s">
        <v>3086</v>
      </c>
      <c r="C1110" t="s">
        <v>1413</v>
      </c>
      <c r="D1110" s="15" t="s">
        <v>34</v>
      </c>
      <c r="E1110" t="s">
        <v>274</v>
      </c>
      <c r="F1110" t="s">
        <v>3087</v>
      </c>
    </row>
    <row r="1111" spans="1:6">
      <c r="A1111" s="14" t="s">
        <v>3088</v>
      </c>
      <c r="B1111" t="s">
        <v>3089</v>
      </c>
      <c r="C1111" t="s">
        <v>278</v>
      </c>
      <c r="D1111" s="15" t="s">
        <v>273</v>
      </c>
      <c r="E1111" t="s">
        <v>274</v>
      </c>
      <c r="F1111" t="s">
        <v>2796</v>
      </c>
    </row>
    <row r="1112" spans="1:6">
      <c r="A1112" s="14" t="s">
        <v>3090</v>
      </c>
      <c r="B1112" t="s">
        <v>3091</v>
      </c>
      <c r="C1112" t="s">
        <v>3092</v>
      </c>
      <c r="D1112" s="15" t="s">
        <v>273</v>
      </c>
      <c r="E1112" t="s">
        <v>274</v>
      </c>
      <c r="F1112" t="s">
        <v>3093</v>
      </c>
    </row>
    <row r="1113" spans="1:6">
      <c r="A1113" s="14" t="s">
        <v>4124</v>
      </c>
      <c r="B1113" s="14" t="s">
        <v>4125</v>
      </c>
      <c r="C1113" s="14" t="s">
        <v>1455</v>
      </c>
      <c r="D1113" s="15" t="s">
        <v>3736</v>
      </c>
      <c r="E1113" s="14" t="s">
        <v>274</v>
      </c>
      <c r="F1113" s="14" t="s">
        <v>4126</v>
      </c>
    </row>
    <row r="1114" spans="1:6">
      <c r="A1114" s="14" t="s">
        <v>3094</v>
      </c>
      <c r="B1114" t="s">
        <v>3095</v>
      </c>
      <c r="C1114" t="s">
        <v>2757</v>
      </c>
      <c r="D1114" s="15" t="s">
        <v>273</v>
      </c>
      <c r="E1114" t="s">
        <v>274</v>
      </c>
      <c r="F1114" t="s">
        <v>3096</v>
      </c>
    </row>
    <row r="1115" spans="1:6">
      <c r="A1115" s="14" t="s">
        <v>3097</v>
      </c>
      <c r="B1115" t="s">
        <v>3098</v>
      </c>
      <c r="C1115" t="s">
        <v>1540</v>
      </c>
      <c r="D1115" s="15" t="s">
        <v>273</v>
      </c>
      <c r="E1115" t="s">
        <v>274</v>
      </c>
      <c r="F1115" t="s">
        <v>3099</v>
      </c>
    </row>
    <row r="1116" spans="1:6">
      <c r="A1116" s="14" t="s">
        <v>3100</v>
      </c>
      <c r="B1116" t="s">
        <v>3101</v>
      </c>
      <c r="C1116" t="s">
        <v>278</v>
      </c>
      <c r="D1116" s="15" t="s">
        <v>273</v>
      </c>
      <c r="E1116" t="s">
        <v>274</v>
      </c>
      <c r="F1116" t="s">
        <v>3102</v>
      </c>
    </row>
    <row r="1117" spans="1:6">
      <c r="A1117" s="14" t="s">
        <v>3103</v>
      </c>
      <c r="B1117" t="s">
        <v>3104</v>
      </c>
      <c r="C1117" t="s">
        <v>278</v>
      </c>
      <c r="D1117" s="15" t="s">
        <v>273</v>
      </c>
      <c r="E1117" t="s">
        <v>274</v>
      </c>
      <c r="F1117" t="s">
        <v>3105</v>
      </c>
    </row>
    <row r="1118" spans="1:6">
      <c r="A1118" s="14" t="s">
        <v>3106</v>
      </c>
      <c r="B1118" t="s">
        <v>3107</v>
      </c>
      <c r="C1118" t="s">
        <v>285</v>
      </c>
      <c r="D1118" s="15" t="s">
        <v>374</v>
      </c>
      <c r="E1118" t="s">
        <v>274</v>
      </c>
      <c r="F1118" t="s">
        <v>3108</v>
      </c>
    </row>
    <row r="1119" spans="1:6">
      <c r="A1119" s="14" t="s">
        <v>3109</v>
      </c>
      <c r="B1119" t="s">
        <v>3110</v>
      </c>
      <c r="C1119" t="s">
        <v>278</v>
      </c>
      <c r="D1119" s="15" t="s">
        <v>273</v>
      </c>
      <c r="E1119" t="s">
        <v>274</v>
      </c>
      <c r="F1119" t="s">
        <v>3111</v>
      </c>
    </row>
    <row r="1120" spans="1:6">
      <c r="A1120" s="14" t="s">
        <v>3112</v>
      </c>
      <c r="B1120" t="s">
        <v>3113</v>
      </c>
      <c r="C1120" t="s">
        <v>278</v>
      </c>
      <c r="D1120" s="15" t="s">
        <v>273</v>
      </c>
      <c r="E1120" t="s">
        <v>274</v>
      </c>
      <c r="F1120" t="s">
        <v>3114</v>
      </c>
    </row>
    <row r="1121" spans="1:6">
      <c r="A1121" s="14" t="s">
        <v>3115</v>
      </c>
      <c r="B1121" t="s">
        <v>3116</v>
      </c>
      <c r="C1121" t="s">
        <v>278</v>
      </c>
      <c r="D1121" s="15" t="s">
        <v>273</v>
      </c>
      <c r="E1121" t="s">
        <v>274</v>
      </c>
      <c r="F1121" t="s">
        <v>3117</v>
      </c>
    </row>
    <row r="1122" spans="1:6">
      <c r="A1122" s="14" t="s">
        <v>3118</v>
      </c>
      <c r="B1122" t="s">
        <v>3119</v>
      </c>
      <c r="C1122" t="s">
        <v>273</v>
      </c>
      <c r="D1122" s="15" t="s">
        <v>3120</v>
      </c>
      <c r="E1122" t="s">
        <v>274</v>
      </c>
      <c r="F1122" t="s">
        <v>3121</v>
      </c>
    </row>
    <row r="1123" spans="1:6">
      <c r="A1123" s="14" t="s">
        <v>5705</v>
      </c>
      <c r="B1123" t="s">
        <v>5706</v>
      </c>
      <c r="C1123" t="s">
        <v>5707</v>
      </c>
      <c r="D1123" s="15" t="s">
        <v>295</v>
      </c>
      <c r="E1123" t="s">
        <v>274</v>
      </c>
      <c r="F1123" t="s">
        <v>5708</v>
      </c>
    </row>
    <row r="1124" spans="1:6">
      <c r="A1124" s="14" t="s">
        <v>3122</v>
      </c>
      <c r="B1124" t="s">
        <v>3123</v>
      </c>
      <c r="C1124" t="s">
        <v>3124</v>
      </c>
      <c r="D1124" s="15" t="s">
        <v>34</v>
      </c>
      <c r="E1124" t="s">
        <v>274</v>
      </c>
      <c r="F1124" t="s">
        <v>3125</v>
      </c>
    </row>
    <row r="1125" spans="1:6">
      <c r="A1125" s="14" t="s">
        <v>4095</v>
      </c>
      <c r="B1125" t="s">
        <v>4096</v>
      </c>
      <c r="C1125" t="s">
        <v>278</v>
      </c>
      <c r="D1125" s="15" t="s">
        <v>273</v>
      </c>
      <c r="E1125" t="s">
        <v>274</v>
      </c>
      <c r="F1125" t="s">
        <v>4097</v>
      </c>
    </row>
    <row r="1126" spans="1:6">
      <c r="A1126" s="14" t="s">
        <v>3126</v>
      </c>
      <c r="B1126" t="s">
        <v>3127</v>
      </c>
      <c r="C1126" t="s">
        <v>3032</v>
      </c>
      <c r="D1126" s="15" t="s">
        <v>273</v>
      </c>
      <c r="E1126" t="s">
        <v>274</v>
      </c>
      <c r="F1126" t="s">
        <v>3128</v>
      </c>
    </row>
    <row r="1127" spans="1:6">
      <c r="A1127" s="14" t="s">
        <v>3129</v>
      </c>
      <c r="B1127" t="s">
        <v>3130</v>
      </c>
      <c r="C1127" t="s">
        <v>278</v>
      </c>
      <c r="D1127" s="15" t="s">
        <v>273</v>
      </c>
      <c r="E1127" t="s">
        <v>274</v>
      </c>
      <c r="F1127" t="s">
        <v>3131</v>
      </c>
    </row>
    <row r="1128" spans="1:6">
      <c r="A1128" s="14" t="s">
        <v>4019</v>
      </c>
      <c r="B1128" t="s">
        <v>4021</v>
      </c>
      <c r="C1128" t="s">
        <v>878</v>
      </c>
      <c r="D1128" s="15" t="s">
        <v>273</v>
      </c>
      <c r="E1128" t="s">
        <v>274</v>
      </c>
      <c r="F1128" t="s">
        <v>4020</v>
      </c>
    </row>
    <row r="1129" spans="1:6">
      <c r="A1129" s="14" t="s">
        <v>3960</v>
      </c>
      <c r="B1129" t="s">
        <v>3961</v>
      </c>
      <c r="C1129" t="s">
        <v>278</v>
      </c>
      <c r="D1129" s="15" t="s">
        <v>273</v>
      </c>
      <c r="E1129" t="s">
        <v>274</v>
      </c>
      <c r="F1129" t="s">
        <v>3962</v>
      </c>
    </row>
    <row r="1130" spans="1:6">
      <c r="A1130" s="14" t="s">
        <v>3132</v>
      </c>
      <c r="B1130" t="s">
        <v>3133</v>
      </c>
      <c r="C1130" t="s">
        <v>246</v>
      </c>
      <c r="D1130" s="15" t="s">
        <v>273</v>
      </c>
      <c r="E1130" t="s">
        <v>274</v>
      </c>
      <c r="F1130" t="s">
        <v>3134</v>
      </c>
    </row>
    <row r="1131" spans="1:6">
      <c r="A1131" s="14" t="s">
        <v>3739</v>
      </c>
      <c r="B1131" t="s">
        <v>3740</v>
      </c>
      <c r="C1131" t="s">
        <v>3687</v>
      </c>
      <c r="D1131" s="15" t="s">
        <v>273</v>
      </c>
      <c r="E1131" t="s">
        <v>274</v>
      </c>
      <c r="F1131" t="s">
        <v>3741</v>
      </c>
    </row>
    <row r="1132" spans="1:6">
      <c r="A1132" s="14" t="s">
        <v>3135</v>
      </c>
      <c r="B1132" t="s">
        <v>197</v>
      </c>
      <c r="C1132" t="s">
        <v>249</v>
      </c>
      <c r="D1132" s="15" t="s">
        <v>273</v>
      </c>
      <c r="E1132" t="s">
        <v>274</v>
      </c>
      <c r="F1132" t="s">
        <v>198</v>
      </c>
    </row>
    <row r="1133" spans="1:6">
      <c r="A1133" s="14" t="s">
        <v>3136</v>
      </c>
      <c r="B1133" t="s">
        <v>3137</v>
      </c>
      <c r="C1133" t="s">
        <v>374</v>
      </c>
      <c r="D1133" s="15" t="s">
        <v>236</v>
      </c>
      <c r="E1133" t="s">
        <v>327</v>
      </c>
      <c r="F1133" t="s">
        <v>3138</v>
      </c>
    </row>
    <row r="1134" spans="1:6">
      <c r="A1134" s="14" t="s">
        <v>3139</v>
      </c>
      <c r="B1134" t="s">
        <v>3140</v>
      </c>
      <c r="C1134" t="s">
        <v>1297</v>
      </c>
      <c r="D1134" s="15" t="s">
        <v>34</v>
      </c>
      <c r="E1134" t="s">
        <v>274</v>
      </c>
      <c r="F1134" t="s">
        <v>3141</v>
      </c>
    </row>
    <row r="1135" spans="1:6">
      <c r="A1135" s="14" t="s">
        <v>3142</v>
      </c>
      <c r="B1135" t="s">
        <v>3143</v>
      </c>
      <c r="C1135" t="s">
        <v>1455</v>
      </c>
      <c r="D1135" s="15" t="s">
        <v>273</v>
      </c>
      <c r="E1135" t="s">
        <v>274</v>
      </c>
      <c r="F1135" t="s">
        <v>3144</v>
      </c>
    </row>
    <row r="1136" spans="1:6">
      <c r="A1136" s="14" t="s">
        <v>3145</v>
      </c>
      <c r="B1136" t="s">
        <v>3146</v>
      </c>
      <c r="C1136" t="s">
        <v>3147</v>
      </c>
      <c r="D1136" s="15" t="s">
        <v>34</v>
      </c>
      <c r="E1136" t="s">
        <v>274</v>
      </c>
      <c r="F1136" t="s">
        <v>3148</v>
      </c>
    </row>
    <row r="1137" spans="1:6">
      <c r="A1137" s="14" t="s">
        <v>3988</v>
      </c>
      <c r="B1137" t="s">
        <v>3989</v>
      </c>
      <c r="C1137" t="s">
        <v>278</v>
      </c>
      <c r="D1137" s="15" t="s">
        <v>273</v>
      </c>
      <c r="E1137" t="s">
        <v>274</v>
      </c>
      <c r="F1137" t="s">
        <v>3990</v>
      </c>
    </row>
    <row r="1138" spans="1:6">
      <c r="A1138" s="14" t="s">
        <v>5508</v>
      </c>
      <c r="B1138" s="14" t="s">
        <v>5509</v>
      </c>
      <c r="C1138" t="s">
        <v>278</v>
      </c>
      <c r="D1138" s="15" t="s">
        <v>273</v>
      </c>
      <c r="E1138" t="s">
        <v>274</v>
      </c>
      <c r="F1138" t="s">
        <v>5510</v>
      </c>
    </row>
    <row r="1139" spans="1:6">
      <c r="A1139" s="14" t="s">
        <v>3149</v>
      </c>
      <c r="B1139" t="s">
        <v>3150</v>
      </c>
      <c r="C1139" t="s">
        <v>295</v>
      </c>
      <c r="D1139" s="15" t="s">
        <v>34</v>
      </c>
      <c r="E1139" t="s">
        <v>274</v>
      </c>
      <c r="F1139" t="s">
        <v>3151</v>
      </c>
    </row>
    <row r="1140" spans="1:6">
      <c r="A1140" s="14" t="s">
        <v>3152</v>
      </c>
      <c r="B1140" t="s">
        <v>251</v>
      </c>
      <c r="C1140" t="s">
        <v>285</v>
      </c>
      <c r="D1140" s="15" t="s">
        <v>374</v>
      </c>
      <c r="E1140" t="s">
        <v>274</v>
      </c>
      <c r="F1140" t="s">
        <v>199</v>
      </c>
    </row>
    <row r="1141" spans="1:6">
      <c r="A1141" s="14" t="s">
        <v>3153</v>
      </c>
      <c r="B1141" t="s">
        <v>3154</v>
      </c>
      <c r="C1141" t="s">
        <v>253</v>
      </c>
      <c r="D1141" s="15" t="s">
        <v>273</v>
      </c>
      <c r="E1141" t="s">
        <v>274</v>
      </c>
      <c r="F1141" t="s">
        <v>200</v>
      </c>
    </row>
    <row r="1142" spans="1:6">
      <c r="A1142" s="14" t="s">
        <v>3155</v>
      </c>
      <c r="B1142" t="s">
        <v>3156</v>
      </c>
      <c r="C1142" t="s">
        <v>3157</v>
      </c>
      <c r="D1142" s="15" t="s">
        <v>34</v>
      </c>
      <c r="E1142" t="s">
        <v>274</v>
      </c>
      <c r="F1142" t="s">
        <v>3158</v>
      </c>
    </row>
    <row r="1143" spans="1:6">
      <c r="A1143" s="14" t="s">
        <v>3159</v>
      </c>
      <c r="B1143" t="s">
        <v>3160</v>
      </c>
      <c r="C1143" t="s">
        <v>1097</v>
      </c>
      <c r="D1143" s="15" t="s">
        <v>273</v>
      </c>
      <c r="E1143" t="s">
        <v>274</v>
      </c>
      <c r="F1143" t="s">
        <v>3161</v>
      </c>
    </row>
    <row r="1144" spans="1:6">
      <c r="A1144" s="14" t="s">
        <v>3162</v>
      </c>
      <c r="B1144" t="s">
        <v>201</v>
      </c>
      <c r="C1144" t="s">
        <v>278</v>
      </c>
      <c r="D1144" s="15" t="s">
        <v>34</v>
      </c>
      <c r="E1144" t="s">
        <v>274</v>
      </c>
      <c r="F1144" t="s">
        <v>202</v>
      </c>
    </row>
    <row r="1145" spans="1:6">
      <c r="A1145" s="14" t="s">
        <v>3163</v>
      </c>
      <c r="B1145" t="s">
        <v>3164</v>
      </c>
      <c r="C1145" t="s">
        <v>288</v>
      </c>
      <c r="D1145" s="15" t="s">
        <v>273</v>
      </c>
      <c r="E1145" t="s">
        <v>274</v>
      </c>
      <c r="F1145" t="s">
        <v>3165</v>
      </c>
    </row>
    <row r="1146" spans="1:6">
      <c r="A1146" s="14" t="s">
        <v>3166</v>
      </c>
      <c r="B1146" t="s">
        <v>3167</v>
      </c>
      <c r="C1146" t="s">
        <v>684</v>
      </c>
      <c r="D1146" s="15" t="s">
        <v>34</v>
      </c>
      <c r="E1146" t="s">
        <v>274</v>
      </c>
      <c r="F1146" t="s">
        <v>3168</v>
      </c>
    </row>
    <row r="1147" spans="1:6">
      <c r="A1147" s="14" t="s">
        <v>3752</v>
      </c>
      <c r="B1147" t="s">
        <v>3753</v>
      </c>
      <c r="C1147" t="s">
        <v>313</v>
      </c>
      <c r="D1147" s="15" t="s">
        <v>273</v>
      </c>
      <c r="E1147" t="s">
        <v>274</v>
      </c>
      <c r="F1147" t="s">
        <v>3754</v>
      </c>
    </row>
    <row r="1148" spans="1:6">
      <c r="A1148" s="14" t="s">
        <v>3169</v>
      </c>
      <c r="B1148" t="s">
        <v>3170</v>
      </c>
      <c r="C1148" t="s">
        <v>2677</v>
      </c>
      <c r="D1148" s="15" t="s">
        <v>34</v>
      </c>
      <c r="E1148" t="s">
        <v>274</v>
      </c>
      <c r="F1148" t="s">
        <v>3171</v>
      </c>
    </row>
    <row r="1149" spans="1:6">
      <c r="A1149" s="14" t="s">
        <v>3172</v>
      </c>
      <c r="B1149" t="s">
        <v>3173</v>
      </c>
      <c r="C1149" t="s">
        <v>374</v>
      </c>
      <c r="D1149" s="15" t="s">
        <v>236</v>
      </c>
      <c r="E1149" t="s">
        <v>274</v>
      </c>
      <c r="F1149" t="s">
        <v>3174</v>
      </c>
    </row>
    <row r="1150" spans="1:6">
      <c r="A1150" s="14" t="s">
        <v>3175</v>
      </c>
      <c r="B1150" t="s">
        <v>3176</v>
      </c>
      <c r="C1150" t="s">
        <v>288</v>
      </c>
      <c r="D1150" s="15" t="s">
        <v>273</v>
      </c>
      <c r="E1150" t="s">
        <v>274</v>
      </c>
      <c r="F1150" t="s">
        <v>3177</v>
      </c>
    </row>
    <row r="1151" spans="1:6">
      <c r="A1151" s="14" t="s">
        <v>3178</v>
      </c>
      <c r="B1151" t="s">
        <v>3179</v>
      </c>
      <c r="C1151" t="s">
        <v>273</v>
      </c>
      <c r="D1151" s="15" t="s">
        <v>34</v>
      </c>
      <c r="E1151" t="s">
        <v>274</v>
      </c>
      <c r="F1151" t="s">
        <v>3180</v>
      </c>
    </row>
    <row r="1152" spans="1:6">
      <c r="A1152" s="14" t="s">
        <v>3181</v>
      </c>
      <c r="B1152" t="s">
        <v>3182</v>
      </c>
      <c r="C1152" t="s">
        <v>278</v>
      </c>
      <c r="D1152" s="15" t="s">
        <v>273</v>
      </c>
      <c r="E1152" t="s">
        <v>274</v>
      </c>
      <c r="F1152" t="s">
        <v>3183</v>
      </c>
    </row>
    <row r="1153" spans="1:6">
      <c r="A1153" s="14" t="s">
        <v>3184</v>
      </c>
      <c r="B1153" t="s">
        <v>3185</v>
      </c>
      <c r="C1153" t="s">
        <v>278</v>
      </c>
      <c r="D1153" s="15" t="s">
        <v>273</v>
      </c>
      <c r="E1153" t="s">
        <v>327</v>
      </c>
      <c r="F1153" t="s">
        <v>3186</v>
      </c>
    </row>
    <row r="1154" spans="1:6">
      <c r="A1154" s="14" t="s">
        <v>3187</v>
      </c>
      <c r="B1154" t="s">
        <v>3188</v>
      </c>
      <c r="C1154" t="s">
        <v>237</v>
      </c>
      <c r="D1154" s="15" t="s">
        <v>34</v>
      </c>
      <c r="E1154" t="s">
        <v>274</v>
      </c>
      <c r="F1154" t="s">
        <v>3189</v>
      </c>
    </row>
    <row r="1155" spans="1:6">
      <c r="A1155" s="14" t="s">
        <v>3190</v>
      </c>
      <c r="B1155" t="s">
        <v>3191</v>
      </c>
      <c r="C1155" t="s">
        <v>278</v>
      </c>
      <c r="D1155" s="15" t="s">
        <v>273</v>
      </c>
      <c r="E1155" t="s">
        <v>274</v>
      </c>
      <c r="F1155" t="s">
        <v>3192</v>
      </c>
    </row>
    <row r="1156" spans="1:6">
      <c r="A1156" s="14" t="s">
        <v>3193</v>
      </c>
      <c r="B1156" t="s">
        <v>3194</v>
      </c>
      <c r="C1156" t="s">
        <v>278</v>
      </c>
      <c r="D1156" s="15" t="s">
        <v>273</v>
      </c>
      <c r="E1156" t="s">
        <v>274</v>
      </c>
      <c r="F1156" t="s">
        <v>3195</v>
      </c>
    </row>
    <row r="1157" spans="1:6">
      <c r="A1157" s="14" t="s">
        <v>4077</v>
      </c>
      <c r="B1157" t="s">
        <v>4078</v>
      </c>
      <c r="C1157" t="s">
        <v>4080</v>
      </c>
      <c r="D1157" s="15" t="s">
        <v>295</v>
      </c>
      <c r="E1157" t="s">
        <v>274</v>
      </c>
      <c r="F1157" t="s">
        <v>4079</v>
      </c>
    </row>
    <row r="1158" spans="1:6">
      <c r="A1158" s="14" t="s">
        <v>3196</v>
      </c>
      <c r="B1158" t="s">
        <v>3197</v>
      </c>
      <c r="C1158" t="s">
        <v>273</v>
      </c>
      <c r="D1158" s="15" t="s">
        <v>273</v>
      </c>
      <c r="E1158" t="s">
        <v>274</v>
      </c>
      <c r="F1158" t="s">
        <v>3198</v>
      </c>
    </row>
    <row r="1159" spans="1:6">
      <c r="A1159" s="14" t="s">
        <v>3199</v>
      </c>
      <c r="B1159" t="s">
        <v>3200</v>
      </c>
      <c r="C1159" t="s">
        <v>278</v>
      </c>
      <c r="D1159" s="15" t="s">
        <v>273</v>
      </c>
      <c r="E1159" t="s">
        <v>274</v>
      </c>
      <c r="F1159" t="s">
        <v>3201</v>
      </c>
    </row>
    <row r="1160" spans="1:6">
      <c r="A1160" s="14" t="s">
        <v>3202</v>
      </c>
      <c r="B1160" t="s">
        <v>3203</v>
      </c>
      <c r="C1160" t="s">
        <v>273</v>
      </c>
      <c r="D1160" s="15" t="s">
        <v>34</v>
      </c>
      <c r="E1160" t="s">
        <v>327</v>
      </c>
      <c r="F1160" t="s">
        <v>3204</v>
      </c>
    </row>
    <row r="1161" spans="1:6">
      <c r="A1161" s="14" t="s">
        <v>3205</v>
      </c>
      <c r="B1161" t="s">
        <v>3206</v>
      </c>
      <c r="C1161" t="s">
        <v>3207</v>
      </c>
      <c r="D1161" s="15" t="s">
        <v>273</v>
      </c>
      <c r="E1161" t="s">
        <v>274</v>
      </c>
      <c r="F1161" t="s">
        <v>3208</v>
      </c>
    </row>
    <row r="1162" spans="1:6">
      <c r="A1162" s="14" t="s">
        <v>3209</v>
      </c>
      <c r="B1162" t="s">
        <v>3210</v>
      </c>
      <c r="C1162" t="s">
        <v>285</v>
      </c>
      <c r="D1162" s="15" t="s">
        <v>236</v>
      </c>
      <c r="E1162" t="s">
        <v>274</v>
      </c>
      <c r="F1162" t="s">
        <v>3211</v>
      </c>
    </row>
    <row r="1163" spans="1:6">
      <c r="A1163" s="14" t="s">
        <v>3212</v>
      </c>
      <c r="B1163" t="s">
        <v>3213</v>
      </c>
      <c r="C1163" t="s">
        <v>273</v>
      </c>
      <c r="D1163" s="15" t="s">
        <v>34</v>
      </c>
      <c r="E1163" t="s">
        <v>274</v>
      </c>
      <c r="F1163" t="s">
        <v>3214</v>
      </c>
    </row>
    <row r="1164" spans="1:6">
      <c r="A1164" s="14" t="s">
        <v>3215</v>
      </c>
      <c r="B1164" t="s">
        <v>3216</v>
      </c>
      <c r="C1164" t="s">
        <v>278</v>
      </c>
      <c r="D1164" s="15" t="s">
        <v>34</v>
      </c>
      <c r="E1164" t="s">
        <v>274</v>
      </c>
      <c r="F1164" t="s">
        <v>203</v>
      </c>
    </row>
    <row r="1165" spans="1:6">
      <c r="A1165" s="14" t="s">
        <v>3217</v>
      </c>
      <c r="B1165" t="s">
        <v>3218</v>
      </c>
      <c r="C1165" t="s">
        <v>1266</v>
      </c>
      <c r="D1165" s="15" t="s">
        <v>34</v>
      </c>
      <c r="E1165" t="s">
        <v>274</v>
      </c>
      <c r="F1165" t="s">
        <v>3219</v>
      </c>
    </row>
    <row r="1166" spans="1:6">
      <c r="A1166" s="14" t="s">
        <v>3220</v>
      </c>
      <c r="B1166" t="s">
        <v>3221</v>
      </c>
      <c r="C1166" t="s">
        <v>990</v>
      </c>
      <c r="E1166" t="s">
        <v>274</v>
      </c>
      <c r="F1166" t="s">
        <v>3222</v>
      </c>
    </row>
    <row r="1167" spans="1:6">
      <c r="A1167" s="14" t="s">
        <v>3223</v>
      </c>
      <c r="B1167" t="s">
        <v>3224</v>
      </c>
      <c r="C1167" t="s">
        <v>278</v>
      </c>
      <c r="D1167" s="15" t="s">
        <v>34</v>
      </c>
      <c r="E1167" t="s">
        <v>327</v>
      </c>
      <c r="F1167" t="s">
        <v>3225</v>
      </c>
    </row>
    <row r="1168" spans="1:6">
      <c r="A1168" s="14" t="s">
        <v>3226</v>
      </c>
      <c r="B1168" t="s">
        <v>3227</v>
      </c>
      <c r="C1168" t="s">
        <v>273</v>
      </c>
      <c r="D1168" s="15" t="s">
        <v>34</v>
      </c>
      <c r="E1168" t="s">
        <v>274</v>
      </c>
      <c r="F1168" t="s">
        <v>204</v>
      </c>
    </row>
    <row r="1169" spans="1:6">
      <c r="A1169" s="14" t="s">
        <v>3228</v>
      </c>
      <c r="B1169" t="s">
        <v>3229</v>
      </c>
      <c r="C1169" t="s">
        <v>237</v>
      </c>
      <c r="D1169" s="15" t="s">
        <v>273</v>
      </c>
      <c r="E1169" t="s">
        <v>274</v>
      </c>
      <c r="F1169" t="s">
        <v>3230</v>
      </c>
    </row>
    <row r="1170" spans="1:6">
      <c r="A1170" s="14" t="s">
        <v>4661</v>
      </c>
      <c r="B1170" s="14" t="s">
        <v>4662</v>
      </c>
      <c r="C1170" s="14" t="s">
        <v>288</v>
      </c>
      <c r="D1170" s="15" t="s">
        <v>3736</v>
      </c>
      <c r="E1170" s="14" t="s">
        <v>274</v>
      </c>
      <c r="F1170" s="14" t="s">
        <v>4663</v>
      </c>
    </row>
    <row r="1171" spans="1:6">
      <c r="A1171" s="14" t="s">
        <v>3231</v>
      </c>
      <c r="B1171" t="s">
        <v>3232</v>
      </c>
      <c r="C1171" t="s">
        <v>3233</v>
      </c>
      <c r="D1171" s="15" t="s">
        <v>374</v>
      </c>
      <c r="E1171" t="s">
        <v>274</v>
      </c>
      <c r="F1171" t="s">
        <v>3234</v>
      </c>
    </row>
    <row r="1172" spans="1:6">
      <c r="A1172" s="14" t="s">
        <v>3235</v>
      </c>
      <c r="B1172" t="s">
        <v>3236</v>
      </c>
      <c r="C1172" t="s">
        <v>374</v>
      </c>
      <c r="D1172" s="15" t="s">
        <v>236</v>
      </c>
      <c r="E1172" t="s">
        <v>274</v>
      </c>
      <c r="F1172" t="s">
        <v>3237</v>
      </c>
    </row>
    <row r="1173" spans="1:6">
      <c r="A1173" s="14" t="s">
        <v>3238</v>
      </c>
      <c r="B1173" t="s">
        <v>3239</v>
      </c>
      <c r="C1173" t="s">
        <v>288</v>
      </c>
      <c r="D1173" s="15" t="s">
        <v>273</v>
      </c>
      <c r="E1173" t="s">
        <v>274</v>
      </c>
      <c r="F1173" t="s">
        <v>3240</v>
      </c>
    </row>
    <row r="1174" spans="1:6">
      <c r="A1174" s="14" t="s">
        <v>3241</v>
      </c>
      <c r="B1174" t="s">
        <v>3242</v>
      </c>
      <c r="C1174" t="s">
        <v>273</v>
      </c>
      <c r="D1174" s="15" t="s">
        <v>34</v>
      </c>
      <c r="E1174" t="s">
        <v>274</v>
      </c>
      <c r="F1174" t="s">
        <v>3243</v>
      </c>
    </row>
    <row r="1175" spans="1:6">
      <c r="A1175" s="14" t="s">
        <v>3244</v>
      </c>
      <c r="B1175" t="s">
        <v>3245</v>
      </c>
      <c r="C1175" t="s">
        <v>278</v>
      </c>
      <c r="D1175" s="15" t="s">
        <v>273</v>
      </c>
      <c r="E1175" t="s">
        <v>274</v>
      </c>
      <c r="F1175" t="s">
        <v>3246</v>
      </c>
    </row>
    <row r="1176" spans="1:6">
      <c r="A1176" s="14" t="s">
        <v>3247</v>
      </c>
      <c r="B1176" t="s">
        <v>3248</v>
      </c>
      <c r="C1176" t="s">
        <v>374</v>
      </c>
      <c r="D1176" s="15" t="s">
        <v>236</v>
      </c>
      <c r="E1176" t="s">
        <v>274</v>
      </c>
      <c r="F1176" t="s">
        <v>3249</v>
      </c>
    </row>
    <row r="1177" spans="1:6">
      <c r="A1177" s="14" t="s">
        <v>3250</v>
      </c>
      <c r="B1177" t="s">
        <v>3251</v>
      </c>
      <c r="C1177" t="s">
        <v>3252</v>
      </c>
      <c r="D1177" s="15" t="s">
        <v>273</v>
      </c>
      <c r="E1177" t="s">
        <v>274</v>
      </c>
      <c r="F1177" t="s">
        <v>205</v>
      </c>
    </row>
    <row r="1178" spans="1:6">
      <c r="A1178" s="14" t="s">
        <v>3253</v>
      </c>
      <c r="B1178" t="s">
        <v>3254</v>
      </c>
      <c r="C1178" t="s">
        <v>285</v>
      </c>
      <c r="D1178" s="15" t="s">
        <v>34</v>
      </c>
      <c r="E1178" t="s">
        <v>274</v>
      </c>
      <c r="F1178" t="s">
        <v>3255</v>
      </c>
    </row>
    <row r="1179" spans="1:6">
      <c r="A1179" s="14" t="s">
        <v>3256</v>
      </c>
      <c r="B1179" t="s">
        <v>3257</v>
      </c>
      <c r="C1179" t="s">
        <v>237</v>
      </c>
      <c r="D1179" s="15" t="s">
        <v>273</v>
      </c>
      <c r="E1179" t="s">
        <v>274</v>
      </c>
      <c r="F1179" t="s">
        <v>3258</v>
      </c>
    </row>
    <row r="1180" spans="1:6">
      <c r="A1180" s="14" t="s">
        <v>3259</v>
      </c>
      <c r="B1180" t="s">
        <v>3260</v>
      </c>
      <c r="C1180" t="s">
        <v>288</v>
      </c>
      <c r="D1180" s="15" t="s">
        <v>273</v>
      </c>
      <c r="E1180" t="s">
        <v>274</v>
      </c>
      <c r="F1180" t="s">
        <v>3261</v>
      </c>
    </row>
    <row r="1181" spans="1:6">
      <c r="A1181" s="14" t="s">
        <v>3262</v>
      </c>
      <c r="B1181" t="s">
        <v>3263</v>
      </c>
      <c r="C1181" t="s">
        <v>273</v>
      </c>
      <c r="D1181" s="15" t="s">
        <v>34</v>
      </c>
      <c r="E1181" t="s">
        <v>274</v>
      </c>
      <c r="F1181" t="s">
        <v>3264</v>
      </c>
    </row>
    <row r="1182" spans="1:6">
      <c r="A1182" s="14" t="s">
        <v>3265</v>
      </c>
      <c r="B1182" t="s">
        <v>3038</v>
      </c>
      <c r="C1182" t="s">
        <v>278</v>
      </c>
      <c r="D1182" s="15" t="s">
        <v>273</v>
      </c>
      <c r="E1182" t="s">
        <v>274</v>
      </c>
      <c r="F1182" t="s">
        <v>206</v>
      </c>
    </row>
    <row r="1183" spans="1:6">
      <c r="A1183" s="14" t="s">
        <v>3266</v>
      </c>
      <c r="B1183" t="s">
        <v>3267</v>
      </c>
      <c r="C1183" t="s">
        <v>3268</v>
      </c>
      <c r="D1183" s="15" t="s">
        <v>273</v>
      </c>
      <c r="E1183" t="s">
        <v>274</v>
      </c>
      <c r="F1183" t="s">
        <v>3269</v>
      </c>
    </row>
    <row r="1184" spans="1:6">
      <c r="A1184" s="14" t="s">
        <v>3270</v>
      </c>
      <c r="B1184" t="s">
        <v>3271</v>
      </c>
      <c r="C1184" t="s">
        <v>3272</v>
      </c>
      <c r="D1184" s="15" t="s">
        <v>34</v>
      </c>
      <c r="E1184" t="s">
        <v>274</v>
      </c>
      <c r="F1184" t="s">
        <v>3273</v>
      </c>
    </row>
    <row r="1185" spans="1:6">
      <c r="A1185" s="14" t="s">
        <v>3274</v>
      </c>
      <c r="B1185" t="s">
        <v>3275</v>
      </c>
      <c r="C1185" t="s">
        <v>278</v>
      </c>
      <c r="D1185" s="15" t="s">
        <v>273</v>
      </c>
      <c r="E1185" t="s">
        <v>274</v>
      </c>
      <c r="F1185" t="s">
        <v>207</v>
      </c>
    </row>
    <row r="1186" spans="1:6">
      <c r="A1186" s="14" t="s">
        <v>5629</v>
      </c>
      <c r="B1186" s="14" t="s">
        <v>5627</v>
      </c>
      <c r="C1186" s="14" t="s">
        <v>366</v>
      </c>
      <c r="D1186" s="15" t="s">
        <v>273</v>
      </c>
      <c r="E1186" t="s">
        <v>274</v>
      </c>
      <c r="F1186" s="14" t="s">
        <v>5628</v>
      </c>
    </row>
    <row r="1187" spans="1:6">
      <c r="A1187" s="14" t="s">
        <v>3276</v>
      </c>
      <c r="B1187" t="s">
        <v>3277</v>
      </c>
      <c r="C1187" t="s">
        <v>3278</v>
      </c>
      <c r="D1187" s="15" t="s">
        <v>34</v>
      </c>
      <c r="E1187" t="s">
        <v>274</v>
      </c>
      <c r="F1187" t="s">
        <v>208</v>
      </c>
    </row>
    <row r="1188" spans="1:6">
      <c r="A1188" s="14" t="s">
        <v>3279</v>
      </c>
      <c r="B1188" t="s">
        <v>3280</v>
      </c>
      <c r="C1188" t="s">
        <v>3281</v>
      </c>
      <c r="D1188" s="15" t="s">
        <v>34</v>
      </c>
      <c r="E1188" t="s">
        <v>274</v>
      </c>
      <c r="F1188" t="s">
        <v>3282</v>
      </c>
    </row>
    <row r="1189" spans="1:6">
      <c r="A1189" s="14" t="s">
        <v>3283</v>
      </c>
      <c r="B1189" t="s">
        <v>3284</v>
      </c>
      <c r="C1189" t="s">
        <v>366</v>
      </c>
      <c r="D1189" s="15" t="s">
        <v>273</v>
      </c>
      <c r="E1189" t="s">
        <v>274</v>
      </c>
      <c r="F1189" t="s">
        <v>3285</v>
      </c>
    </row>
    <row r="1190" spans="1:6">
      <c r="A1190" s="14" t="s">
        <v>3286</v>
      </c>
      <c r="B1190" t="s">
        <v>3287</v>
      </c>
      <c r="C1190" t="s">
        <v>911</v>
      </c>
      <c r="D1190" s="15" t="s">
        <v>273</v>
      </c>
      <c r="E1190" t="s">
        <v>274</v>
      </c>
      <c r="F1190" t="s">
        <v>3288</v>
      </c>
    </row>
    <row r="1191" spans="1:6">
      <c r="A1191" s="14" t="s">
        <v>3289</v>
      </c>
      <c r="B1191" t="s">
        <v>3290</v>
      </c>
      <c r="C1191" t="s">
        <v>273</v>
      </c>
      <c r="D1191" s="15" t="s">
        <v>34</v>
      </c>
      <c r="E1191" t="s">
        <v>274</v>
      </c>
      <c r="F1191" t="s">
        <v>3291</v>
      </c>
    </row>
    <row r="1192" spans="1:6">
      <c r="A1192" s="14" t="s">
        <v>3292</v>
      </c>
      <c r="B1192" t="s">
        <v>3293</v>
      </c>
      <c r="C1192" t="s">
        <v>285</v>
      </c>
      <c r="D1192" s="15" t="s">
        <v>34</v>
      </c>
      <c r="E1192" t="s">
        <v>274</v>
      </c>
      <c r="F1192" t="s">
        <v>3294</v>
      </c>
    </row>
    <row r="1193" spans="1:6">
      <c r="A1193" s="14" t="s">
        <v>3295</v>
      </c>
      <c r="B1193" t="s">
        <v>3296</v>
      </c>
      <c r="C1193" t="s">
        <v>278</v>
      </c>
      <c r="D1193" s="15" t="s">
        <v>273</v>
      </c>
      <c r="E1193" t="s">
        <v>274</v>
      </c>
      <c r="F1193" t="s">
        <v>209</v>
      </c>
    </row>
    <row r="1194" spans="1:6">
      <c r="A1194" s="14" t="s">
        <v>3297</v>
      </c>
      <c r="B1194" t="s">
        <v>3298</v>
      </c>
      <c r="C1194" t="s">
        <v>278</v>
      </c>
      <c r="D1194" s="15" t="s">
        <v>34</v>
      </c>
      <c r="E1194" t="s">
        <v>274</v>
      </c>
      <c r="F1194" t="s">
        <v>3299</v>
      </c>
    </row>
    <row r="1195" spans="1:6">
      <c r="A1195" s="14" t="s">
        <v>3300</v>
      </c>
      <c r="B1195" t="s">
        <v>3301</v>
      </c>
      <c r="C1195" t="s">
        <v>273</v>
      </c>
      <c r="D1195" s="15" t="s">
        <v>34</v>
      </c>
      <c r="E1195" t="s">
        <v>274</v>
      </c>
      <c r="F1195" t="s">
        <v>3302</v>
      </c>
    </row>
    <row r="1196" spans="1:6">
      <c r="A1196" s="14" t="s">
        <v>3303</v>
      </c>
      <c r="B1196" t="s">
        <v>2913</v>
      </c>
      <c r="C1196" t="s">
        <v>278</v>
      </c>
      <c r="D1196" s="15" t="s">
        <v>34</v>
      </c>
      <c r="E1196" t="s">
        <v>327</v>
      </c>
      <c r="F1196" t="s">
        <v>3304</v>
      </c>
    </row>
    <row r="1197" spans="1:6">
      <c r="A1197" s="14" t="s">
        <v>3305</v>
      </c>
      <c r="B1197" t="s">
        <v>3306</v>
      </c>
      <c r="C1197" t="s">
        <v>911</v>
      </c>
      <c r="D1197" s="15" t="s">
        <v>273</v>
      </c>
      <c r="E1197" t="s">
        <v>274</v>
      </c>
      <c r="F1197" t="s">
        <v>3307</v>
      </c>
    </row>
    <row r="1198" spans="1:6">
      <c r="A1198" s="14" t="s">
        <v>3308</v>
      </c>
      <c r="B1198" t="s">
        <v>3309</v>
      </c>
      <c r="C1198" t="s">
        <v>1413</v>
      </c>
      <c r="D1198" s="15" t="s">
        <v>34</v>
      </c>
      <c r="E1198" t="s">
        <v>274</v>
      </c>
      <c r="F1198" t="s">
        <v>3310</v>
      </c>
    </row>
    <row r="1199" spans="1:6">
      <c r="A1199" s="14" t="s">
        <v>3311</v>
      </c>
      <c r="B1199" t="s">
        <v>3312</v>
      </c>
      <c r="C1199" t="s">
        <v>3313</v>
      </c>
      <c r="D1199" s="15" t="s">
        <v>3314</v>
      </c>
      <c r="E1199" t="s">
        <v>327</v>
      </c>
      <c r="F1199" t="s">
        <v>3315</v>
      </c>
    </row>
    <row r="1200" spans="1:6">
      <c r="A1200" s="14" t="s">
        <v>3316</v>
      </c>
      <c r="B1200" t="s">
        <v>3317</v>
      </c>
      <c r="C1200" t="s">
        <v>911</v>
      </c>
      <c r="D1200" s="15" t="s">
        <v>273</v>
      </c>
      <c r="E1200" t="s">
        <v>327</v>
      </c>
      <c r="F1200" t="s">
        <v>3318</v>
      </c>
    </row>
    <row r="1201" spans="1:6">
      <c r="A1201" s="14" t="s">
        <v>3319</v>
      </c>
      <c r="B1201" t="s">
        <v>3320</v>
      </c>
      <c r="C1201" t="s">
        <v>285</v>
      </c>
      <c r="D1201" s="15" t="s">
        <v>34</v>
      </c>
      <c r="E1201" t="s">
        <v>274</v>
      </c>
      <c r="F1201" t="s">
        <v>3321</v>
      </c>
    </row>
    <row r="1202" spans="1:6">
      <c r="A1202" s="14" t="s">
        <v>3322</v>
      </c>
      <c r="B1202" t="s">
        <v>3323</v>
      </c>
      <c r="C1202" t="s">
        <v>911</v>
      </c>
      <c r="D1202" s="15" t="s">
        <v>273</v>
      </c>
      <c r="E1202" t="s">
        <v>327</v>
      </c>
      <c r="F1202" t="s">
        <v>3324</v>
      </c>
    </row>
    <row r="1203" spans="1:6">
      <c r="A1203" s="14" t="s">
        <v>3325</v>
      </c>
      <c r="B1203" t="s">
        <v>3326</v>
      </c>
      <c r="C1203" t="s">
        <v>3327</v>
      </c>
      <c r="D1203" s="15" t="s">
        <v>273</v>
      </c>
      <c r="E1203" t="s">
        <v>274</v>
      </c>
      <c r="F1203" t="s">
        <v>3328</v>
      </c>
    </row>
    <row r="1204" spans="1:6">
      <c r="A1204" s="14" t="s">
        <v>3329</v>
      </c>
      <c r="B1204" t="s">
        <v>3330</v>
      </c>
      <c r="C1204" t="s">
        <v>278</v>
      </c>
      <c r="D1204" s="15" t="s">
        <v>273</v>
      </c>
      <c r="E1204" t="s">
        <v>274</v>
      </c>
      <c r="F1204" t="s">
        <v>3331</v>
      </c>
    </row>
    <row r="1205" spans="1:6">
      <c r="A1205" s="14" t="s">
        <v>3332</v>
      </c>
      <c r="B1205" t="s">
        <v>3333</v>
      </c>
      <c r="C1205" t="s">
        <v>3327</v>
      </c>
      <c r="D1205" s="15" t="s">
        <v>273</v>
      </c>
      <c r="E1205" t="s">
        <v>274</v>
      </c>
      <c r="F1205" t="s">
        <v>3334</v>
      </c>
    </row>
    <row r="1206" spans="1:6">
      <c r="A1206" s="14" t="s">
        <v>3335</v>
      </c>
      <c r="B1206" t="s">
        <v>3336</v>
      </c>
      <c r="C1206" t="s">
        <v>278</v>
      </c>
      <c r="D1206" s="15" t="s">
        <v>273</v>
      </c>
      <c r="E1206" t="s">
        <v>274</v>
      </c>
      <c r="F1206" t="s">
        <v>3337</v>
      </c>
    </row>
    <row r="1207" spans="1:6">
      <c r="A1207" s="14" t="s">
        <v>3338</v>
      </c>
      <c r="B1207" t="s">
        <v>3339</v>
      </c>
      <c r="C1207" t="s">
        <v>911</v>
      </c>
      <c r="D1207" s="15" t="s">
        <v>273</v>
      </c>
      <c r="E1207" t="s">
        <v>274</v>
      </c>
      <c r="F1207" t="s">
        <v>3340</v>
      </c>
    </row>
    <row r="1208" spans="1:6">
      <c r="A1208" s="14" t="s">
        <v>3341</v>
      </c>
      <c r="B1208" t="s">
        <v>3342</v>
      </c>
      <c r="C1208" t="s">
        <v>436</v>
      </c>
      <c r="D1208" s="15" t="s">
        <v>273</v>
      </c>
      <c r="E1208" t="s">
        <v>327</v>
      </c>
      <c r="F1208" t="s">
        <v>3343</v>
      </c>
    </row>
    <row r="1209" spans="1:6">
      <c r="A1209" s="14" t="s">
        <v>3344</v>
      </c>
      <c r="B1209" t="s">
        <v>3345</v>
      </c>
      <c r="C1209" t="s">
        <v>911</v>
      </c>
      <c r="D1209" s="15" t="s">
        <v>273</v>
      </c>
      <c r="E1209" t="s">
        <v>274</v>
      </c>
      <c r="F1209" t="s">
        <v>3346</v>
      </c>
    </row>
    <row r="1210" spans="1:6">
      <c r="A1210" s="14" t="s">
        <v>3347</v>
      </c>
      <c r="B1210" t="s">
        <v>3348</v>
      </c>
      <c r="C1210" t="s">
        <v>1540</v>
      </c>
      <c r="D1210" s="15" t="s">
        <v>273</v>
      </c>
      <c r="E1210" t="s">
        <v>274</v>
      </c>
      <c r="F1210" t="s">
        <v>3349</v>
      </c>
    </row>
    <row r="1211" spans="1:6">
      <c r="A1211" s="14" t="s">
        <v>3350</v>
      </c>
      <c r="B1211" t="s">
        <v>3351</v>
      </c>
      <c r="C1211" t="s">
        <v>2134</v>
      </c>
      <c r="D1211" s="15" t="s">
        <v>273</v>
      </c>
      <c r="E1211" t="s">
        <v>274</v>
      </c>
      <c r="F1211" t="s">
        <v>3352</v>
      </c>
    </row>
    <row r="1212" spans="1:6">
      <c r="A1212" s="14" t="s">
        <v>3353</v>
      </c>
      <c r="B1212" t="s">
        <v>3354</v>
      </c>
      <c r="C1212" t="s">
        <v>3355</v>
      </c>
      <c r="D1212" s="15" t="s">
        <v>273</v>
      </c>
      <c r="E1212" t="s">
        <v>274</v>
      </c>
      <c r="F1212" t="s">
        <v>3356</v>
      </c>
    </row>
    <row r="1213" spans="1:6">
      <c r="A1213" s="14" t="s">
        <v>3357</v>
      </c>
      <c r="B1213" t="s">
        <v>3358</v>
      </c>
      <c r="C1213" t="s">
        <v>436</v>
      </c>
      <c r="D1213" s="15" t="s">
        <v>273</v>
      </c>
      <c r="E1213" t="s">
        <v>327</v>
      </c>
      <c r="F1213" t="s">
        <v>3359</v>
      </c>
    </row>
    <row r="1214" spans="1:6">
      <c r="A1214" s="14" t="s">
        <v>3360</v>
      </c>
      <c r="B1214" t="s">
        <v>3361</v>
      </c>
      <c r="C1214" t="s">
        <v>278</v>
      </c>
      <c r="D1214" s="15" t="s">
        <v>273</v>
      </c>
      <c r="E1214" t="s">
        <v>327</v>
      </c>
      <c r="F1214" t="s">
        <v>3362</v>
      </c>
    </row>
    <row r="1215" spans="1:6">
      <c r="A1215" s="14" t="s">
        <v>3363</v>
      </c>
      <c r="B1215" t="s">
        <v>3364</v>
      </c>
      <c r="C1215" t="s">
        <v>1413</v>
      </c>
      <c r="D1215" s="15" t="s">
        <v>273</v>
      </c>
      <c r="E1215" t="s">
        <v>327</v>
      </c>
      <c r="F1215" t="s">
        <v>3365</v>
      </c>
    </row>
    <row r="1216" spans="1:6">
      <c r="A1216" s="14" t="s">
        <v>3366</v>
      </c>
      <c r="B1216" t="s">
        <v>3323</v>
      </c>
      <c r="C1216" t="s">
        <v>911</v>
      </c>
      <c r="D1216" s="15" t="s">
        <v>273</v>
      </c>
      <c r="E1216" t="s">
        <v>327</v>
      </c>
      <c r="F1216" t="s">
        <v>3367</v>
      </c>
    </row>
    <row r="1217" spans="1:6">
      <c r="A1217" s="14" t="s">
        <v>3368</v>
      </c>
      <c r="B1217" t="s">
        <v>3369</v>
      </c>
      <c r="C1217" t="s">
        <v>1840</v>
      </c>
      <c r="D1217" s="15" t="s">
        <v>273</v>
      </c>
      <c r="E1217" t="s">
        <v>274</v>
      </c>
      <c r="F1217" t="s">
        <v>3370</v>
      </c>
    </row>
    <row r="1218" spans="1:6">
      <c r="A1218" s="14" t="s">
        <v>3371</v>
      </c>
      <c r="B1218" t="s">
        <v>3372</v>
      </c>
      <c r="C1218" t="s">
        <v>911</v>
      </c>
      <c r="D1218" s="15" t="s">
        <v>273</v>
      </c>
      <c r="E1218" t="s">
        <v>327</v>
      </c>
      <c r="F1218" t="s">
        <v>3373</v>
      </c>
    </row>
    <row r="1219" spans="1:6">
      <c r="A1219" s="14" t="s">
        <v>3374</v>
      </c>
      <c r="B1219" t="s">
        <v>3375</v>
      </c>
      <c r="C1219" t="s">
        <v>313</v>
      </c>
      <c r="D1219" s="15" t="s">
        <v>273</v>
      </c>
      <c r="E1219" t="s">
        <v>274</v>
      </c>
      <c r="F1219" t="s">
        <v>3376</v>
      </c>
    </row>
    <row r="1220" spans="1:6">
      <c r="A1220" s="14" t="s">
        <v>3377</v>
      </c>
      <c r="B1220" t="s">
        <v>3378</v>
      </c>
      <c r="C1220" t="s">
        <v>291</v>
      </c>
      <c r="D1220" s="15" t="s">
        <v>273</v>
      </c>
      <c r="E1220" t="s">
        <v>274</v>
      </c>
      <c r="F1220" t="s">
        <v>3379</v>
      </c>
    </row>
    <row r="1221" spans="1:6">
      <c r="A1221" s="14" t="s">
        <v>3380</v>
      </c>
      <c r="B1221" t="s">
        <v>3381</v>
      </c>
      <c r="C1221" t="s">
        <v>911</v>
      </c>
      <c r="D1221" s="15" t="s">
        <v>273</v>
      </c>
      <c r="E1221" t="s">
        <v>274</v>
      </c>
      <c r="F1221" t="s">
        <v>3382</v>
      </c>
    </row>
    <row r="1222" spans="1:6">
      <c r="A1222" s="14" t="s">
        <v>3383</v>
      </c>
      <c r="B1222" t="s">
        <v>3384</v>
      </c>
      <c r="C1222" t="s">
        <v>911</v>
      </c>
      <c r="D1222" s="15" t="s">
        <v>273</v>
      </c>
      <c r="E1222" t="s">
        <v>327</v>
      </c>
      <c r="F1222" t="s">
        <v>3385</v>
      </c>
    </row>
    <row r="1223" spans="1:6">
      <c r="A1223" s="14" t="s">
        <v>3386</v>
      </c>
      <c r="B1223" t="s">
        <v>3387</v>
      </c>
      <c r="C1223" t="s">
        <v>2757</v>
      </c>
      <c r="D1223" s="15" t="s">
        <v>273</v>
      </c>
      <c r="E1223" t="s">
        <v>327</v>
      </c>
      <c r="F1223" t="s">
        <v>3388</v>
      </c>
    </row>
    <row r="1224" spans="1:6">
      <c r="A1224" s="14" t="s">
        <v>3389</v>
      </c>
      <c r="B1224" t="s">
        <v>3390</v>
      </c>
      <c r="C1224" t="s">
        <v>273</v>
      </c>
      <c r="D1224" s="15" t="s">
        <v>273</v>
      </c>
      <c r="E1224" t="s">
        <v>327</v>
      </c>
      <c r="F1224" t="s">
        <v>3391</v>
      </c>
    </row>
    <row r="1225" spans="1:6">
      <c r="A1225" s="14" t="s">
        <v>3392</v>
      </c>
      <c r="B1225" t="s">
        <v>3393</v>
      </c>
      <c r="C1225" t="s">
        <v>911</v>
      </c>
      <c r="D1225" s="15" t="s">
        <v>273</v>
      </c>
      <c r="E1225" t="s">
        <v>327</v>
      </c>
      <c r="F1225" t="s">
        <v>3394</v>
      </c>
    </row>
    <row r="1226" spans="1:6">
      <c r="A1226" s="14" t="s">
        <v>3395</v>
      </c>
      <c r="B1226" t="s">
        <v>429</v>
      </c>
      <c r="C1226" t="s">
        <v>911</v>
      </c>
      <c r="D1226" s="15" t="s">
        <v>273</v>
      </c>
      <c r="E1226" t="s">
        <v>274</v>
      </c>
      <c r="F1226" t="s">
        <v>3396</v>
      </c>
    </row>
    <row r="1227" spans="1:6">
      <c r="A1227" s="14" t="s">
        <v>3397</v>
      </c>
      <c r="B1227" t="s">
        <v>3364</v>
      </c>
      <c r="C1227" t="s">
        <v>1413</v>
      </c>
      <c r="D1227" s="15" t="s">
        <v>273</v>
      </c>
      <c r="E1227" t="s">
        <v>274</v>
      </c>
      <c r="F1227" t="s">
        <v>3398</v>
      </c>
    </row>
    <row r="1228" spans="1:6">
      <c r="A1228" s="14" t="s">
        <v>3399</v>
      </c>
      <c r="B1228" t="s">
        <v>3400</v>
      </c>
      <c r="C1228" t="s">
        <v>1765</v>
      </c>
      <c r="D1228" s="15" t="s">
        <v>273</v>
      </c>
      <c r="E1228" t="s">
        <v>274</v>
      </c>
      <c r="F1228" t="s">
        <v>3401</v>
      </c>
    </row>
    <row r="1229" spans="1:6">
      <c r="A1229" s="14" t="s">
        <v>3402</v>
      </c>
      <c r="B1229" t="s">
        <v>3403</v>
      </c>
      <c r="C1229" t="s">
        <v>436</v>
      </c>
      <c r="D1229" s="15" t="s">
        <v>273</v>
      </c>
      <c r="E1229" t="s">
        <v>274</v>
      </c>
      <c r="F1229" t="s">
        <v>3404</v>
      </c>
    </row>
    <row r="1230" spans="1:6">
      <c r="A1230" s="14" t="s">
        <v>3405</v>
      </c>
      <c r="B1230" t="s">
        <v>3406</v>
      </c>
      <c r="C1230" t="s">
        <v>34</v>
      </c>
      <c r="D1230" s="15" t="s">
        <v>273</v>
      </c>
      <c r="E1230" t="s">
        <v>274</v>
      </c>
      <c r="F1230" t="s">
        <v>3407</v>
      </c>
    </row>
    <row r="1231" spans="1:6">
      <c r="A1231" s="14" t="s">
        <v>3408</v>
      </c>
      <c r="B1231" t="s">
        <v>3409</v>
      </c>
      <c r="C1231" t="s">
        <v>1266</v>
      </c>
      <c r="D1231" s="15" t="s">
        <v>273</v>
      </c>
      <c r="E1231" t="s">
        <v>274</v>
      </c>
      <c r="F1231" t="s">
        <v>3410</v>
      </c>
    </row>
    <row r="1232" spans="1:6">
      <c r="A1232" s="14" t="s">
        <v>3411</v>
      </c>
      <c r="B1232" t="s">
        <v>3412</v>
      </c>
      <c r="C1232" t="s">
        <v>3413</v>
      </c>
      <c r="D1232" s="15" t="s">
        <v>273</v>
      </c>
      <c r="E1232" t="s">
        <v>274</v>
      </c>
      <c r="F1232" t="s">
        <v>3414</v>
      </c>
    </row>
    <row r="1233" spans="1:6">
      <c r="A1233" s="14" t="s">
        <v>3743</v>
      </c>
      <c r="B1233" t="s">
        <v>3744</v>
      </c>
      <c r="C1233" t="s">
        <v>278</v>
      </c>
      <c r="D1233" s="15" t="s">
        <v>273</v>
      </c>
      <c r="E1233" t="s">
        <v>274</v>
      </c>
      <c r="F1233" t="s">
        <v>3745</v>
      </c>
    </row>
    <row r="1234" spans="1:6">
      <c r="A1234" s="14" t="s">
        <v>3415</v>
      </c>
      <c r="B1234" t="s">
        <v>3416</v>
      </c>
      <c r="C1234" t="s">
        <v>3417</v>
      </c>
      <c r="D1234" s="15" t="s">
        <v>273</v>
      </c>
      <c r="E1234" t="s">
        <v>274</v>
      </c>
      <c r="F1234" t="s">
        <v>3418</v>
      </c>
    </row>
    <row r="1235" spans="1:6">
      <c r="A1235" s="14" t="s">
        <v>3419</v>
      </c>
      <c r="B1235" t="s">
        <v>3420</v>
      </c>
      <c r="C1235" t="s">
        <v>3421</v>
      </c>
      <c r="D1235" s="15" t="s">
        <v>273</v>
      </c>
      <c r="E1235" t="s">
        <v>274</v>
      </c>
      <c r="F1235" t="s">
        <v>3422</v>
      </c>
    </row>
    <row r="1236" spans="1:6">
      <c r="A1236" s="14" t="s">
        <v>3423</v>
      </c>
      <c r="B1236" t="s">
        <v>3424</v>
      </c>
      <c r="C1236" t="s">
        <v>273</v>
      </c>
      <c r="D1236" s="15" t="s">
        <v>273</v>
      </c>
      <c r="E1236" t="s">
        <v>274</v>
      </c>
      <c r="F1236" t="s">
        <v>3425</v>
      </c>
    </row>
    <row r="1237" spans="1:6">
      <c r="A1237" s="14" t="s">
        <v>3426</v>
      </c>
      <c r="B1237" t="s">
        <v>3427</v>
      </c>
      <c r="C1237" t="s">
        <v>1413</v>
      </c>
      <c r="D1237" s="15" t="s">
        <v>273</v>
      </c>
      <c r="E1237" t="s">
        <v>274</v>
      </c>
      <c r="F1237" t="s">
        <v>3428</v>
      </c>
    </row>
    <row r="1238" spans="1:6">
      <c r="A1238" s="14" t="s">
        <v>3429</v>
      </c>
      <c r="B1238" t="s">
        <v>3430</v>
      </c>
      <c r="C1238" t="s">
        <v>3431</v>
      </c>
      <c r="D1238" s="15" t="s">
        <v>273</v>
      </c>
      <c r="E1238" t="s">
        <v>274</v>
      </c>
      <c r="F1238" t="s">
        <v>3432</v>
      </c>
    </row>
    <row r="1239" spans="1:6">
      <c r="A1239" s="14" t="s">
        <v>3433</v>
      </c>
      <c r="B1239" t="s">
        <v>3434</v>
      </c>
      <c r="C1239" t="s">
        <v>273</v>
      </c>
      <c r="D1239" s="15" t="s">
        <v>273</v>
      </c>
      <c r="E1239" t="s">
        <v>274</v>
      </c>
      <c r="F1239" t="s">
        <v>3435</v>
      </c>
    </row>
    <row r="1240" spans="1:6">
      <c r="A1240" s="14" t="s">
        <v>3436</v>
      </c>
      <c r="B1240" t="s">
        <v>3437</v>
      </c>
      <c r="C1240" t="s">
        <v>3438</v>
      </c>
      <c r="D1240" s="15" t="s">
        <v>273</v>
      </c>
      <c r="E1240" t="s">
        <v>274</v>
      </c>
      <c r="F1240" t="s">
        <v>3439</v>
      </c>
    </row>
    <row r="1241" spans="1:6">
      <c r="A1241" s="14" t="s">
        <v>4188</v>
      </c>
      <c r="B1241" s="14" t="s">
        <v>4189</v>
      </c>
      <c r="C1241" s="14" t="s">
        <v>530</v>
      </c>
      <c r="D1241" s="15" t="s">
        <v>3736</v>
      </c>
      <c r="E1241" s="14" t="s">
        <v>274</v>
      </c>
      <c r="F1241" t="s">
        <v>4190</v>
      </c>
    </row>
    <row r="1242" spans="1:6">
      <c r="A1242" s="14" t="s">
        <v>3440</v>
      </c>
      <c r="B1242" t="s">
        <v>3441</v>
      </c>
      <c r="C1242" t="s">
        <v>34</v>
      </c>
      <c r="D1242" s="15" t="s">
        <v>273</v>
      </c>
      <c r="E1242" t="s">
        <v>274</v>
      </c>
      <c r="F1242" t="s">
        <v>3442</v>
      </c>
    </row>
    <row r="1243" spans="1:6">
      <c r="A1243" s="14" t="s">
        <v>3443</v>
      </c>
      <c r="B1243" t="s">
        <v>3444</v>
      </c>
      <c r="C1243" t="s">
        <v>3445</v>
      </c>
      <c r="D1243" s="15" t="s">
        <v>273</v>
      </c>
      <c r="E1243" t="s">
        <v>274</v>
      </c>
      <c r="F1243" t="s">
        <v>3446</v>
      </c>
    </row>
    <row r="1244" spans="1:6">
      <c r="A1244" s="14" t="s">
        <v>3447</v>
      </c>
      <c r="B1244" t="s">
        <v>3448</v>
      </c>
      <c r="C1244" t="s">
        <v>3327</v>
      </c>
      <c r="D1244" s="15" t="s">
        <v>273</v>
      </c>
      <c r="E1244" t="s">
        <v>274</v>
      </c>
      <c r="F1244" t="s">
        <v>3449</v>
      </c>
    </row>
    <row r="1245" spans="1:6">
      <c r="A1245" s="14" t="s">
        <v>3450</v>
      </c>
      <c r="B1245" t="s">
        <v>3451</v>
      </c>
      <c r="C1245" t="s">
        <v>285</v>
      </c>
      <c r="D1245" s="15" t="s">
        <v>3683</v>
      </c>
      <c r="E1245" t="s">
        <v>274</v>
      </c>
      <c r="F1245" t="s">
        <v>3452</v>
      </c>
    </row>
    <row r="1246" spans="1:6">
      <c r="A1246" s="14" t="s">
        <v>3453</v>
      </c>
      <c r="B1246" t="s">
        <v>3454</v>
      </c>
      <c r="C1246" t="s">
        <v>911</v>
      </c>
      <c r="D1246" s="15" t="s">
        <v>273</v>
      </c>
      <c r="E1246" t="s">
        <v>274</v>
      </c>
      <c r="F1246" t="s">
        <v>210</v>
      </c>
    </row>
    <row r="1247" spans="1:6">
      <c r="A1247" s="14" t="s">
        <v>5241</v>
      </c>
      <c r="B1247" s="14" t="s">
        <v>5242</v>
      </c>
      <c r="C1247" s="14" t="s">
        <v>288</v>
      </c>
      <c r="D1247" s="15" t="s">
        <v>3736</v>
      </c>
      <c r="E1247" s="14" t="s">
        <v>274</v>
      </c>
      <c r="F1247" s="14" t="s">
        <v>5243</v>
      </c>
    </row>
    <row r="1248" spans="1:6">
      <c r="A1248" s="14" t="s">
        <v>3455</v>
      </c>
      <c r="B1248" t="s">
        <v>3456</v>
      </c>
      <c r="C1248" t="s">
        <v>285</v>
      </c>
      <c r="D1248" s="15" t="s">
        <v>3683</v>
      </c>
      <c r="E1248" t="s">
        <v>274</v>
      </c>
      <c r="F1248" t="s">
        <v>3457</v>
      </c>
    </row>
    <row r="1249" spans="1:6">
      <c r="A1249" s="14" t="s">
        <v>3458</v>
      </c>
      <c r="B1249" t="s">
        <v>3459</v>
      </c>
      <c r="C1249" t="s">
        <v>237</v>
      </c>
      <c r="D1249" s="15" t="s">
        <v>273</v>
      </c>
      <c r="E1249" t="s">
        <v>274</v>
      </c>
      <c r="F1249" t="s">
        <v>3460</v>
      </c>
    </row>
    <row r="1250" spans="1:6">
      <c r="A1250" s="14" t="s">
        <v>3461</v>
      </c>
      <c r="B1250" t="s">
        <v>3462</v>
      </c>
      <c r="C1250" t="s">
        <v>278</v>
      </c>
      <c r="D1250" s="15" t="s">
        <v>273</v>
      </c>
      <c r="E1250" t="s">
        <v>274</v>
      </c>
      <c r="F1250" t="s">
        <v>3463</v>
      </c>
    </row>
    <row r="1251" spans="1:6">
      <c r="A1251" s="14" t="s">
        <v>3464</v>
      </c>
      <c r="B1251" t="s">
        <v>3465</v>
      </c>
      <c r="C1251" t="s">
        <v>3466</v>
      </c>
      <c r="D1251" s="15" t="s">
        <v>273</v>
      </c>
      <c r="E1251" t="s">
        <v>274</v>
      </c>
      <c r="F1251" t="s">
        <v>3467</v>
      </c>
    </row>
    <row r="1252" spans="1:6">
      <c r="A1252" s="14" t="s">
        <v>3954</v>
      </c>
      <c r="B1252" t="s">
        <v>3955</v>
      </c>
      <c r="C1252" t="s">
        <v>366</v>
      </c>
      <c r="D1252" s="15" t="s">
        <v>3736</v>
      </c>
      <c r="E1252" t="s">
        <v>274</v>
      </c>
      <c r="F1252" t="s">
        <v>3956</v>
      </c>
    </row>
    <row r="1253" spans="1:6">
      <c r="A1253" s="14" t="s">
        <v>4732</v>
      </c>
      <c r="B1253" s="14" t="s">
        <v>4733</v>
      </c>
      <c r="C1253" s="14" t="s">
        <v>4734</v>
      </c>
      <c r="D1253" s="15" t="s">
        <v>273</v>
      </c>
      <c r="E1253" t="s">
        <v>274</v>
      </c>
      <c r="F1253" s="14" t="s">
        <v>4735</v>
      </c>
    </row>
    <row r="1254" spans="1:6">
      <c r="A1254" s="14" t="s">
        <v>3468</v>
      </c>
      <c r="B1254" t="s">
        <v>3469</v>
      </c>
      <c r="C1254" t="s">
        <v>366</v>
      </c>
      <c r="D1254" s="15" t="s">
        <v>273</v>
      </c>
      <c r="E1254" t="s">
        <v>274</v>
      </c>
      <c r="F1254" t="s">
        <v>3470</v>
      </c>
    </row>
    <row r="1255" spans="1:6">
      <c r="A1255" s="14" t="s">
        <v>3471</v>
      </c>
      <c r="B1255" t="s">
        <v>3472</v>
      </c>
      <c r="C1255" t="s">
        <v>273</v>
      </c>
      <c r="D1255" s="15" t="s">
        <v>273</v>
      </c>
      <c r="E1255" t="s">
        <v>274</v>
      </c>
      <c r="F1255" t="s">
        <v>211</v>
      </c>
    </row>
    <row r="1256" spans="1:6">
      <c r="A1256" s="14" t="s">
        <v>3836</v>
      </c>
      <c r="B1256" t="s">
        <v>262</v>
      </c>
      <c r="C1256" t="s">
        <v>278</v>
      </c>
      <c r="D1256" s="15" t="s">
        <v>273</v>
      </c>
      <c r="E1256" t="s">
        <v>274</v>
      </c>
      <c r="F1256" t="s">
        <v>3835</v>
      </c>
    </row>
    <row r="1257" spans="1:6">
      <c r="A1257" s="14" t="s">
        <v>3473</v>
      </c>
      <c r="B1257" t="s">
        <v>3474</v>
      </c>
      <c r="C1257" t="s">
        <v>278</v>
      </c>
      <c r="D1257" s="15" t="s">
        <v>273</v>
      </c>
      <c r="E1257" t="s">
        <v>327</v>
      </c>
      <c r="F1257" t="s">
        <v>3475</v>
      </c>
    </row>
    <row r="1258" spans="1:6">
      <c r="A1258" s="14" t="s">
        <v>3476</v>
      </c>
      <c r="B1258" t="s">
        <v>3477</v>
      </c>
      <c r="C1258" t="s">
        <v>285</v>
      </c>
      <c r="D1258" s="15" t="s">
        <v>3683</v>
      </c>
      <c r="E1258" t="s">
        <v>274</v>
      </c>
      <c r="F1258" t="s">
        <v>3478</v>
      </c>
    </row>
    <row r="1259" spans="1:6">
      <c r="A1259" s="14" t="s">
        <v>3479</v>
      </c>
      <c r="B1259" t="s">
        <v>3480</v>
      </c>
      <c r="C1259" t="s">
        <v>278</v>
      </c>
      <c r="D1259" s="15" t="s">
        <v>273</v>
      </c>
      <c r="E1259" t="s">
        <v>327</v>
      </c>
      <c r="F1259" t="s">
        <v>3481</v>
      </c>
    </row>
    <row r="1260" spans="1:6">
      <c r="A1260" s="14" t="s">
        <v>3482</v>
      </c>
      <c r="B1260" t="s">
        <v>3483</v>
      </c>
      <c r="C1260" t="s">
        <v>3484</v>
      </c>
      <c r="D1260" s="15" t="s">
        <v>273</v>
      </c>
      <c r="E1260" t="s">
        <v>274</v>
      </c>
      <c r="F1260" t="s">
        <v>3485</v>
      </c>
    </row>
    <row r="1261" spans="1:6">
      <c r="A1261" s="14" t="s">
        <v>3653</v>
      </c>
      <c r="B1261" t="s">
        <v>3906</v>
      </c>
      <c r="C1261" t="s">
        <v>278</v>
      </c>
      <c r="D1261" s="15" t="s">
        <v>273</v>
      </c>
      <c r="E1261" t="s">
        <v>274</v>
      </c>
      <c r="F1261" t="s">
        <v>212</v>
      </c>
    </row>
    <row r="1262" spans="1:6">
      <c r="A1262" s="14" t="s">
        <v>3486</v>
      </c>
      <c r="B1262" t="s">
        <v>3487</v>
      </c>
      <c r="C1262" t="s">
        <v>278</v>
      </c>
      <c r="D1262" s="15" t="s">
        <v>2283</v>
      </c>
      <c r="E1262" t="s">
        <v>274</v>
      </c>
      <c r="F1262" t="s">
        <v>3488</v>
      </c>
    </row>
    <row r="1263" spans="1:6">
      <c r="A1263" s="14" t="s">
        <v>3489</v>
      </c>
      <c r="B1263" t="s">
        <v>3490</v>
      </c>
      <c r="C1263" t="s">
        <v>278</v>
      </c>
      <c r="D1263" s="15" t="s">
        <v>273</v>
      </c>
      <c r="E1263" t="s">
        <v>327</v>
      </c>
      <c r="F1263" t="s">
        <v>3491</v>
      </c>
    </row>
    <row r="1264" spans="1:6">
      <c r="A1264" s="14" t="s">
        <v>3492</v>
      </c>
      <c r="B1264" t="s">
        <v>3493</v>
      </c>
      <c r="C1264" t="s">
        <v>278</v>
      </c>
      <c r="D1264" s="15" t="s">
        <v>273</v>
      </c>
      <c r="E1264" t="s">
        <v>274</v>
      </c>
      <c r="F1264" t="s">
        <v>3494</v>
      </c>
    </row>
    <row r="1265" spans="1:6">
      <c r="A1265" s="14" t="s">
        <v>3495</v>
      </c>
      <c r="B1265" t="s">
        <v>3496</v>
      </c>
      <c r="C1265" t="s">
        <v>278</v>
      </c>
      <c r="D1265" s="15" t="s">
        <v>273</v>
      </c>
      <c r="E1265" t="s">
        <v>327</v>
      </c>
      <c r="F1265" t="s">
        <v>3497</v>
      </c>
    </row>
    <row r="1266" spans="1:6">
      <c r="A1266" s="14" t="s">
        <v>3498</v>
      </c>
      <c r="B1266" t="s">
        <v>213</v>
      </c>
      <c r="C1266" t="s">
        <v>278</v>
      </c>
      <c r="D1266" s="15" t="s">
        <v>273</v>
      </c>
      <c r="E1266" t="s">
        <v>274</v>
      </c>
      <c r="F1266" t="s">
        <v>214</v>
      </c>
    </row>
    <row r="1267" spans="1:6">
      <c r="A1267" s="14" t="s">
        <v>3499</v>
      </c>
      <c r="B1267" t="s">
        <v>3500</v>
      </c>
      <c r="C1267" t="s">
        <v>278</v>
      </c>
      <c r="D1267" s="15" t="s">
        <v>273</v>
      </c>
      <c r="E1267" t="s">
        <v>327</v>
      </c>
      <c r="F1267" t="s">
        <v>3897</v>
      </c>
    </row>
    <row r="1268" spans="1:6">
      <c r="A1268" s="14" t="s">
        <v>3896</v>
      </c>
      <c r="B1268" t="s">
        <v>2413</v>
      </c>
      <c r="C1268" t="s">
        <v>278</v>
      </c>
      <c r="D1268" s="15" t="s">
        <v>273</v>
      </c>
      <c r="E1268" t="s">
        <v>274</v>
      </c>
      <c r="F1268" t="s">
        <v>3898</v>
      </c>
    </row>
    <row r="1269" spans="1:6">
      <c r="A1269" s="14" t="s">
        <v>3501</v>
      </c>
      <c r="B1269" t="s">
        <v>3502</v>
      </c>
      <c r="C1269" t="s">
        <v>278</v>
      </c>
      <c r="D1269" s="15" t="s">
        <v>273</v>
      </c>
      <c r="E1269" t="s">
        <v>274</v>
      </c>
      <c r="F1269" t="s">
        <v>3503</v>
      </c>
    </row>
    <row r="1270" spans="1:6">
      <c r="A1270" s="14" t="s">
        <v>5027</v>
      </c>
      <c r="B1270" s="14" t="s">
        <v>5028</v>
      </c>
      <c r="C1270" s="14" t="s">
        <v>278</v>
      </c>
      <c r="D1270" s="15" t="s">
        <v>5029</v>
      </c>
      <c r="E1270" s="14" t="s">
        <v>274</v>
      </c>
      <c r="F1270" s="14" t="s">
        <v>5030</v>
      </c>
    </row>
    <row r="1271" spans="1:6">
      <c r="A1271" s="14" t="s">
        <v>3922</v>
      </c>
      <c r="B1271" t="s">
        <v>3923</v>
      </c>
      <c r="C1271" t="s">
        <v>278</v>
      </c>
      <c r="D1271" s="15" t="s">
        <v>273</v>
      </c>
      <c r="E1271" t="s">
        <v>327</v>
      </c>
      <c r="F1271" t="s">
        <v>3924</v>
      </c>
    </row>
    <row r="1272" spans="1:6">
      <c r="A1272" s="14" t="s">
        <v>3504</v>
      </c>
      <c r="B1272" t="s">
        <v>3505</v>
      </c>
      <c r="C1272" t="s">
        <v>278</v>
      </c>
      <c r="D1272" s="15" t="s">
        <v>273</v>
      </c>
      <c r="E1272" t="s">
        <v>274</v>
      </c>
      <c r="F1272" t="s">
        <v>3506</v>
      </c>
    </row>
    <row r="1273" spans="1:6">
      <c r="A1273" s="14" t="s">
        <v>3981</v>
      </c>
      <c r="B1273" t="s">
        <v>3982</v>
      </c>
      <c r="C1273" t="s">
        <v>3983</v>
      </c>
      <c r="D1273" s="15" t="s">
        <v>273</v>
      </c>
      <c r="E1273" t="s">
        <v>274</v>
      </c>
      <c r="F1273" t="s">
        <v>3984</v>
      </c>
    </row>
    <row r="1274" spans="1:6">
      <c r="A1274" s="14" t="s">
        <v>3507</v>
      </c>
      <c r="B1274" t="s">
        <v>3508</v>
      </c>
      <c r="C1274" t="s">
        <v>3413</v>
      </c>
      <c r="D1274" s="15" t="s">
        <v>273</v>
      </c>
      <c r="E1274" t="s">
        <v>274</v>
      </c>
      <c r="F1274" t="s">
        <v>3509</v>
      </c>
    </row>
    <row r="1275" spans="1:6">
      <c r="A1275" s="14" t="s">
        <v>3510</v>
      </c>
      <c r="B1275" t="s">
        <v>3511</v>
      </c>
      <c r="C1275" t="s">
        <v>288</v>
      </c>
      <c r="D1275" s="15" t="s">
        <v>3683</v>
      </c>
      <c r="E1275" t="s">
        <v>274</v>
      </c>
      <c r="F1275" t="s">
        <v>3512</v>
      </c>
    </row>
    <row r="1276" spans="1:6">
      <c r="A1276" s="14" t="s">
        <v>3513</v>
      </c>
      <c r="B1276" t="s">
        <v>3514</v>
      </c>
      <c r="C1276" t="s">
        <v>278</v>
      </c>
      <c r="D1276" s="15" t="s">
        <v>273</v>
      </c>
      <c r="E1276" t="s">
        <v>274</v>
      </c>
      <c r="F1276" t="s">
        <v>3515</v>
      </c>
    </row>
    <row r="1277" spans="1:6">
      <c r="A1277" s="14" t="s">
        <v>3516</v>
      </c>
      <c r="B1277" t="s">
        <v>3517</v>
      </c>
      <c r="C1277" t="s">
        <v>278</v>
      </c>
      <c r="D1277" s="15" t="s">
        <v>273</v>
      </c>
      <c r="E1277" t="s">
        <v>274</v>
      </c>
      <c r="F1277" t="s">
        <v>3518</v>
      </c>
    </row>
    <row r="1278" spans="1:6">
      <c r="A1278" s="14" t="s">
        <v>3519</v>
      </c>
      <c r="B1278" t="s">
        <v>3520</v>
      </c>
      <c r="C1278" t="s">
        <v>3688</v>
      </c>
      <c r="D1278" s="15" t="s">
        <v>418</v>
      </c>
      <c r="E1278" t="s">
        <v>274</v>
      </c>
      <c r="F1278" t="s">
        <v>3521</v>
      </c>
    </row>
    <row r="1279" spans="1:6">
      <c r="A1279" s="14" t="s">
        <v>3522</v>
      </c>
      <c r="B1279" t="s">
        <v>3523</v>
      </c>
      <c r="C1279" t="s">
        <v>273</v>
      </c>
      <c r="D1279" s="15" t="s">
        <v>273</v>
      </c>
      <c r="E1279" t="s">
        <v>274</v>
      </c>
      <c r="F1279" t="s">
        <v>3524</v>
      </c>
    </row>
    <row r="1280" spans="1:6">
      <c r="A1280" s="14" t="s">
        <v>3525</v>
      </c>
      <c r="B1280" t="s">
        <v>3526</v>
      </c>
      <c r="C1280" t="s">
        <v>255</v>
      </c>
      <c r="D1280" s="15" t="s">
        <v>273</v>
      </c>
      <c r="E1280" t="s">
        <v>274</v>
      </c>
      <c r="F1280" t="s">
        <v>3527</v>
      </c>
    </row>
    <row r="1281" spans="1:6">
      <c r="A1281" s="14" t="s">
        <v>3528</v>
      </c>
      <c r="B1281" t="s">
        <v>3529</v>
      </c>
      <c r="C1281" t="s">
        <v>3530</v>
      </c>
      <c r="D1281" s="15" t="s">
        <v>273</v>
      </c>
      <c r="E1281" t="s">
        <v>274</v>
      </c>
      <c r="F1281" t="s">
        <v>3531</v>
      </c>
    </row>
    <row r="1282" spans="1:6">
      <c r="A1282" s="14" t="s">
        <v>3532</v>
      </c>
      <c r="B1282" t="s">
        <v>252</v>
      </c>
      <c r="C1282" t="s">
        <v>237</v>
      </c>
      <c r="D1282" s="15" t="s">
        <v>273</v>
      </c>
      <c r="E1282" t="s">
        <v>274</v>
      </c>
      <c r="F1282" t="s">
        <v>215</v>
      </c>
    </row>
    <row r="1283" spans="1:6">
      <c r="A1283" s="14" t="s">
        <v>3533</v>
      </c>
      <c r="B1283" t="s">
        <v>3534</v>
      </c>
      <c r="C1283" t="s">
        <v>255</v>
      </c>
      <c r="D1283" s="15" t="s">
        <v>273</v>
      </c>
      <c r="E1283" t="s">
        <v>274</v>
      </c>
      <c r="F1283" t="s">
        <v>3535</v>
      </c>
    </row>
    <row r="1284" spans="1:6">
      <c r="A1284" s="14" t="s">
        <v>3536</v>
      </c>
      <c r="B1284" t="s">
        <v>3537</v>
      </c>
      <c r="C1284" t="s">
        <v>3538</v>
      </c>
      <c r="D1284" s="15" t="s">
        <v>273</v>
      </c>
      <c r="E1284" t="s">
        <v>274</v>
      </c>
      <c r="F1284" t="s">
        <v>3539</v>
      </c>
    </row>
    <row r="1285" spans="1:6">
      <c r="A1285" s="14" t="s">
        <v>216</v>
      </c>
      <c r="B1285" t="s">
        <v>217</v>
      </c>
      <c r="C1285" t="s">
        <v>278</v>
      </c>
      <c r="D1285" s="15" t="s">
        <v>273</v>
      </c>
      <c r="E1285" t="s">
        <v>274</v>
      </c>
      <c r="F1285" t="s">
        <v>218</v>
      </c>
    </row>
    <row r="1286" spans="1:6">
      <c r="A1286" s="14" t="s">
        <v>3540</v>
      </c>
      <c r="B1286" t="s">
        <v>3541</v>
      </c>
      <c r="C1286" t="s">
        <v>34</v>
      </c>
      <c r="D1286" s="15" t="s">
        <v>273</v>
      </c>
      <c r="E1286" t="s">
        <v>274</v>
      </c>
      <c r="F1286" t="s">
        <v>219</v>
      </c>
    </row>
    <row r="1287" spans="1:6">
      <c r="A1287" s="14" t="s">
        <v>3542</v>
      </c>
      <c r="B1287" t="s">
        <v>3543</v>
      </c>
      <c r="C1287" t="s">
        <v>366</v>
      </c>
      <c r="D1287" s="15" t="s">
        <v>273</v>
      </c>
      <c r="E1287" t="s">
        <v>274</v>
      </c>
      <c r="F1287" t="s">
        <v>220</v>
      </c>
    </row>
    <row r="1288" spans="1:6">
      <c r="A1288" s="14" t="s">
        <v>3544</v>
      </c>
      <c r="B1288" t="s">
        <v>3545</v>
      </c>
      <c r="C1288" t="s">
        <v>237</v>
      </c>
      <c r="D1288" s="15" t="s">
        <v>273</v>
      </c>
      <c r="E1288" t="s">
        <v>274</v>
      </c>
      <c r="F1288" t="s">
        <v>3546</v>
      </c>
    </row>
    <row r="1289" spans="1:6">
      <c r="A1289" s="14" t="s">
        <v>3919</v>
      </c>
      <c r="B1289" t="s">
        <v>3920</v>
      </c>
      <c r="C1289" t="s">
        <v>366</v>
      </c>
      <c r="D1289" s="15" t="s">
        <v>273</v>
      </c>
      <c r="E1289" t="s">
        <v>274</v>
      </c>
      <c r="F1289" t="s">
        <v>3921</v>
      </c>
    </row>
    <row r="1290" spans="1:6">
      <c r="A1290" s="14" t="s">
        <v>4119</v>
      </c>
      <c r="B1290" s="14" t="s">
        <v>4117</v>
      </c>
      <c r="C1290" s="14" t="s">
        <v>313</v>
      </c>
      <c r="D1290" s="15" t="s">
        <v>3736</v>
      </c>
      <c r="E1290" s="14" t="s">
        <v>4123</v>
      </c>
      <c r="F1290" s="14" t="s">
        <v>4118</v>
      </c>
    </row>
    <row r="1291" spans="1:6">
      <c r="A1291" s="14" t="s">
        <v>3547</v>
      </c>
      <c r="B1291" t="s">
        <v>3548</v>
      </c>
      <c r="C1291" t="s">
        <v>278</v>
      </c>
      <c r="D1291" s="15" t="s">
        <v>273</v>
      </c>
      <c r="E1291" t="s">
        <v>274</v>
      </c>
      <c r="F1291" t="s">
        <v>221</v>
      </c>
    </row>
    <row r="1292" spans="1:6">
      <c r="A1292" s="14" t="s">
        <v>3549</v>
      </c>
      <c r="B1292" t="s">
        <v>3550</v>
      </c>
      <c r="C1292" t="s">
        <v>3551</v>
      </c>
      <c r="D1292" s="15" t="s">
        <v>374</v>
      </c>
      <c r="E1292" t="s">
        <v>274</v>
      </c>
      <c r="F1292" t="s">
        <v>3552</v>
      </c>
    </row>
    <row r="1293" spans="1:6">
      <c r="A1293" s="14" t="s">
        <v>3553</v>
      </c>
      <c r="B1293" t="s">
        <v>3554</v>
      </c>
      <c r="C1293" t="s">
        <v>882</v>
      </c>
      <c r="D1293" s="15" t="s">
        <v>273</v>
      </c>
      <c r="E1293" t="s">
        <v>274</v>
      </c>
      <c r="F1293" t="s">
        <v>3555</v>
      </c>
    </row>
    <row r="1294" spans="1:6">
      <c r="A1294" s="14" t="s">
        <v>3556</v>
      </c>
      <c r="B1294" t="s">
        <v>3557</v>
      </c>
      <c r="C1294" t="s">
        <v>273</v>
      </c>
      <c r="D1294" s="15" t="s">
        <v>273</v>
      </c>
      <c r="E1294" t="s">
        <v>274</v>
      </c>
      <c r="F1294" t="s">
        <v>3558</v>
      </c>
    </row>
    <row r="1295" spans="1:6">
      <c r="A1295" s="14" t="s">
        <v>3559</v>
      </c>
      <c r="B1295" t="s">
        <v>3560</v>
      </c>
      <c r="C1295" t="s">
        <v>829</v>
      </c>
      <c r="D1295" s="15" t="s">
        <v>273</v>
      </c>
      <c r="E1295" t="s">
        <v>274</v>
      </c>
      <c r="F1295" t="s">
        <v>222</v>
      </c>
    </row>
    <row r="1296" spans="1:6">
      <c r="A1296" s="14" t="s">
        <v>3561</v>
      </c>
      <c r="B1296" t="s">
        <v>3562</v>
      </c>
      <c r="C1296" t="s">
        <v>288</v>
      </c>
      <c r="D1296" s="15" t="s">
        <v>374</v>
      </c>
      <c r="E1296" t="s">
        <v>274</v>
      </c>
      <c r="F1296" t="s">
        <v>3563</v>
      </c>
    </row>
    <row r="1297" spans="1:6">
      <c r="A1297" s="14" t="s">
        <v>3564</v>
      </c>
      <c r="B1297" t="s">
        <v>3565</v>
      </c>
      <c r="C1297" t="s">
        <v>278</v>
      </c>
      <c r="D1297" s="15" t="s">
        <v>273</v>
      </c>
      <c r="E1297" t="s">
        <v>274</v>
      </c>
      <c r="F1297" t="s">
        <v>3566</v>
      </c>
    </row>
    <row r="1298" spans="1:6">
      <c r="A1298" s="14" t="s">
        <v>3567</v>
      </c>
      <c r="B1298" t="s">
        <v>3361</v>
      </c>
      <c r="C1298" t="s">
        <v>278</v>
      </c>
      <c r="D1298" s="15" t="s">
        <v>273</v>
      </c>
      <c r="E1298" t="s">
        <v>274</v>
      </c>
      <c r="F1298" t="s">
        <v>3568</v>
      </c>
    </row>
    <row r="1299" spans="1:6">
      <c r="A1299" s="14" t="s">
        <v>3569</v>
      </c>
      <c r="B1299" t="s">
        <v>3570</v>
      </c>
      <c r="C1299" t="s">
        <v>278</v>
      </c>
      <c r="D1299" s="15" t="s">
        <v>273</v>
      </c>
      <c r="E1299" t="s">
        <v>274</v>
      </c>
      <c r="F1299" t="s">
        <v>3571</v>
      </c>
    </row>
    <row r="1300" spans="1:6">
      <c r="A1300" s="14" t="s">
        <v>3572</v>
      </c>
      <c r="B1300" t="s">
        <v>3573</v>
      </c>
      <c r="C1300" t="s">
        <v>278</v>
      </c>
      <c r="D1300" s="15" t="s">
        <v>273</v>
      </c>
      <c r="E1300" t="s">
        <v>274</v>
      </c>
      <c r="F1300" t="s">
        <v>3574</v>
      </c>
    </row>
    <row r="1301" spans="1:6">
      <c r="A1301" s="14" t="s">
        <v>4046</v>
      </c>
      <c r="B1301" t="s">
        <v>4047</v>
      </c>
      <c r="C1301" t="s">
        <v>288</v>
      </c>
      <c r="D1301" s="15" t="s">
        <v>273</v>
      </c>
      <c r="E1301" t="s">
        <v>274</v>
      </c>
      <c r="F1301" t="s">
        <v>4048</v>
      </c>
    </row>
    <row r="1302" spans="1:6">
      <c r="A1302" s="14" t="s">
        <v>3575</v>
      </c>
      <c r="B1302" t="s">
        <v>3576</v>
      </c>
      <c r="C1302" t="s">
        <v>273</v>
      </c>
      <c r="D1302" s="15" t="s">
        <v>273</v>
      </c>
      <c r="E1302" t="s">
        <v>274</v>
      </c>
      <c r="F1302" t="s">
        <v>223</v>
      </c>
    </row>
    <row r="1303" spans="1:6">
      <c r="A1303" s="14" t="s">
        <v>3577</v>
      </c>
      <c r="B1303" t="s">
        <v>224</v>
      </c>
      <c r="C1303" t="s">
        <v>3578</v>
      </c>
      <c r="D1303" s="15" t="s">
        <v>273</v>
      </c>
      <c r="E1303" t="s">
        <v>274</v>
      </c>
      <c r="F1303" t="s">
        <v>225</v>
      </c>
    </row>
    <row r="1304" spans="1:6">
      <c r="A1304" s="14" t="s">
        <v>3579</v>
      </c>
      <c r="B1304" t="s">
        <v>3580</v>
      </c>
      <c r="C1304" t="s">
        <v>2739</v>
      </c>
      <c r="D1304" s="15" t="s">
        <v>3683</v>
      </c>
      <c r="E1304" t="s">
        <v>274</v>
      </c>
      <c r="F1304" t="s">
        <v>3581</v>
      </c>
    </row>
    <row r="1305" spans="1:6">
      <c r="A1305" s="14" t="s">
        <v>3977</v>
      </c>
      <c r="B1305" t="s">
        <v>3980</v>
      </c>
      <c r="C1305" t="s">
        <v>3978</v>
      </c>
      <c r="D1305" s="15" t="s">
        <v>3736</v>
      </c>
      <c r="E1305" t="s">
        <v>274</v>
      </c>
      <c r="F1305" t="s">
        <v>3979</v>
      </c>
    </row>
    <row r="1306" spans="1:6">
      <c r="A1306" s="14" t="s">
        <v>3582</v>
      </c>
      <c r="B1306" t="s">
        <v>3583</v>
      </c>
      <c r="C1306" t="s">
        <v>237</v>
      </c>
      <c r="D1306" s="15" t="s">
        <v>273</v>
      </c>
      <c r="E1306" t="s">
        <v>274</v>
      </c>
      <c r="F1306" t="s">
        <v>3584</v>
      </c>
    </row>
    <row r="1307" spans="1:6">
      <c r="A1307" s="14" t="s">
        <v>3585</v>
      </c>
      <c r="B1307" t="s">
        <v>3586</v>
      </c>
      <c r="C1307" t="s">
        <v>882</v>
      </c>
      <c r="D1307" s="15" t="s">
        <v>273</v>
      </c>
      <c r="E1307" t="s">
        <v>327</v>
      </c>
      <c r="F1307" t="s">
        <v>3587</v>
      </c>
    </row>
    <row r="1308" spans="1:6">
      <c r="A1308" s="14" t="s">
        <v>3588</v>
      </c>
      <c r="B1308" t="s">
        <v>3589</v>
      </c>
      <c r="C1308" t="s">
        <v>649</v>
      </c>
      <c r="D1308" s="15" t="s">
        <v>273</v>
      </c>
      <c r="E1308" t="s">
        <v>327</v>
      </c>
      <c r="F1308" t="s">
        <v>3590</v>
      </c>
    </row>
    <row r="1309" spans="1:6">
      <c r="A1309" s="14" t="s">
        <v>3591</v>
      </c>
      <c r="B1309" t="s">
        <v>3592</v>
      </c>
      <c r="C1309" t="s">
        <v>1159</v>
      </c>
      <c r="D1309" s="15" t="s">
        <v>273</v>
      </c>
      <c r="E1309" t="s">
        <v>327</v>
      </c>
      <c r="F1309" t="s">
        <v>3593</v>
      </c>
    </row>
    <row r="1310" spans="1:6">
      <c r="A1310" s="14" t="s">
        <v>4049</v>
      </c>
      <c r="B1310" t="s">
        <v>4050</v>
      </c>
      <c r="C1310" t="s">
        <v>278</v>
      </c>
      <c r="D1310" s="15" t="s">
        <v>3736</v>
      </c>
      <c r="E1310" t="s">
        <v>274</v>
      </c>
      <c r="F1310" t="s">
        <v>4051</v>
      </c>
    </row>
    <row r="1311" spans="1:6" ht="15.75" customHeight="1">
      <c r="A1311" s="14" t="s">
        <v>3594</v>
      </c>
      <c r="B1311" t="s">
        <v>3595</v>
      </c>
      <c r="C1311" t="s">
        <v>285</v>
      </c>
      <c r="D1311" s="15" t="s">
        <v>374</v>
      </c>
      <c r="E1311" t="s">
        <v>274</v>
      </c>
      <c r="F1311" t="s">
        <v>3596</v>
      </c>
    </row>
    <row r="1312" spans="1:6">
      <c r="A1312" s="14" t="s">
        <v>3597</v>
      </c>
      <c r="B1312" t="s">
        <v>3598</v>
      </c>
      <c r="C1312" t="s">
        <v>3599</v>
      </c>
      <c r="D1312" s="15" t="s">
        <v>273</v>
      </c>
      <c r="E1312" t="s">
        <v>274</v>
      </c>
      <c r="F1312" t="s">
        <v>3600</v>
      </c>
    </row>
    <row r="1313" spans="1:6">
      <c r="A1313" s="14" t="s">
        <v>3601</v>
      </c>
      <c r="B1313" t="s">
        <v>3602</v>
      </c>
      <c r="C1313" t="s">
        <v>684</v>
      </c>
      <c r="D1313" s="15" t="s">
        <v>295</v>
      </c>
      <c r="E1313" t="s">
        <v>274</v>
      </c>
      <c r="F1313" t="s">
        <v>3603</v>
      </c>
    </row>
    <row r="1314" spans="1:6">
      <c r="A1314" s="14" t="s">
        <v>3604</v>
      </c>
      <c r="B1314" t="s">
        <v>3605</v>
      </c>
      <c r="C1314" t="s">
        <v>285</v>
      </c>
      <c r="D1314" s="15" t="s">
        <v>3683</v>
      </c>
      <c r="E1314" t="s">
        <v>274</v>
      </c>
      <c r="F1314" t="s">
        <v>3606</v>
      </c>
    </row>
    <row r="1315" spans="1:6">
      <c r="A1315" s="14" t="s">
        <v>3607</v>
      </c>
      <c r="B1315" t="s">
        <v>3608</v>
      </c>
      <c r="C1315" t="s">
        <v>235</v>
      </c>
      <c r="D1315" s="15" t="s">
        <v>273</v>
      </c>
      <c r="E1315" t="s">
        <v>327</v>
      </c>
      <c r="F1315" t="s">
        <v>3609</v>
      </c>
    </row>
    <row r="1316" spans="1:6">
      <c r="A1316" s="14" t="s">
        <v>3610</v>
      </c>
      <c r="B1316" t="s">
        <v>3611</v>
      </c>
      <c r="C1316" t="s">
        <v>3612</v>
      </c>
      <c r="D1316" s="15" t="s">
        <v>273</v>
      </c>
      <c r="E1316" t="s">
        <v>274</v>
      </c>
      <c r="F1316" t="s">
        <v>3613</v>
      </c>
    </row>
    <row r="1317" spans="1:6">
      <c r="A1317" s="14" t="s">
        <v>3614</v>
      </c>
      <c r="B1317" t="s">
        <v>3615</v>
      </c>
      <c r="C1317" t="s">
        <v>278</v>
      </c>
      <c r="D1317" s="15" t="s">
        <v>273</v>
      </c>
      <c r="E1317" t="s">
        <v>274</v>
      </c>
      <c r="F1317" t="s">
        <v>226</v>
      </c>
    </row>
    <row r="1318" spans="1:6">
      <c r="A1318" s="14" t="s">
        <v>3616</v>
      </c>
      <c r="B1318" t="s">
        <v>3617</v>
      </c>
      <c r="C1318" t="s">
        <v>273</v>
      </c>
      <c r="D1318" s="15" t="s">
        <v>273</v>
      </c>
      <c r="E1318" t="s">
        <v>274</v>
      </c>
      <c r="F1318" t="s">
        <v>227</v>
      </c>
    </row>
    <row r="1319" spans="1:6">
      <c r="A1319" s="14" t="s">
        <v>3618</v>
      </c>
      <c r="B1319" t="s">
        <v>3619</v>
      </c>
      <c r="C1319" t="s">
        <v>278</v>
      </c>
      <c r="D1319" s="15" t="s">
        <v>273</v>
      </c>
      <c r="E1319" t="s">
        <v>274</v>
      </c>
      <c r="F1319" t="s">
        <v>228</v>
      </c>
    </row>
    <row r="1320" spans="1:6">
      <c r="A1320" s="14" t="s">
        <v>3620</v>
      </c>
      <c r="B1320" t="s">
        <v>3621</v>
      </c>
      <c r="C1320" t="s">
        <v>278</v>
      </c>
      <c r="D1320" s="15" t="s">
        <v>273</v>
      </c>
      <c r="E1320" t="s">
        <v>274</v>
      </c>
      <c r="F1320" t="s">
        <v>3622</v>
      </c>
    </row>
    <row r="1321" spans="1:6">
      <c r="A1321" s="14" t="s">
        <v>3623</v>
      </c>
      <c r="B1321" t="s">
        <v>3624</v>
      </c>
      <c r="C1321" t="s">
        <v>278</v>
      </c>
      <c r="D1321" s="15" t="s">
        <v>273</v>
      </c>
      <c r="E1321" t="s">
        <v>274</v>
      </c>
      <c r="F1321" t="s">
        <v>3625</v>
      </c>
    </row>
    <row r="1322" spans="1:6">
      <c r="A1322" s="14" t="s">
        <v>3626</v>
      </c>
      <c r="B1322" t="s">
        <v>3627</v>
      </c>
      <c r="C1322" t="s">
        <v>278</v>
      </c>
      <c r="D1322" s="15" t="s">
        <v>273</v>
      </c>
      <c r="E1322" t="s">
        <v>327</v>
      </c>
      <c r="F1322" t="s">
        <v>3628</v>
      </c>
    </row>
    <row r="1323" spans="1:6">
      <c r="A1323" s="14" t="s">
        <v>3629</v>
      </c>
      <c r="B1323" t="s">
        <v>3630</v>
      </c>
      <c r="C1323" t="s">
        <v>278</v>
      </c>
      <c r="D1323" s="15" t="s">
        <v>273</v>
      </c>
      <c r="E1323" t="s">
        <v>274</v>
      </c>
      <c r="F1323" t="s">
        <v>229</v>
      </c>
    </row>
    <row r="1324" spans="1:6">
      <c r="A1324" s="14" t="s">
        <v>4026</v>
      </c>
      <c r="B1324" t="s">
        <v>4028</v>
      </c>
      <c r="C1324" t="s">
        <v>288</v>
      </c>
      <c r="D1324" s="15" t="s">
        <v>3683</v>
      </c>
      <c r="E1324" t="s">
        <v>274</v>
      </c>
      <c r="F1324" t="s">
        <v>4027</v>
      </c>
    </row>
    <row r="1325" spans="1:6">
      <c r="A1325" s="14" t="s">
        <v>3631</v>
      </c>
      <c r="B1325" t="s">
        <v>3632</v>
      </c>
      <c r="C1325" t="s">
        <v>288</v>
      </c>
      <c r="D1325" s="15" t="s">
        <v>3683</v>
      </c>
      <c r="E1325" t="s">
        <v>274</v>
      </c>
      <c r="F1325" t="s">
        <v>3633</v>
      </c>
    </row>
    <row r="1326" spans="1:6">
      <c r="A1326" s="14" t="s">
        <v>3891</v>
      </c>
      <c r="B1326" t="s">
        <v>4143</v>
      </c>
      <c r="C1326" t="s">
        <v>288</v>
      </c>
      <c r="D1326" s="15" t="s">
        <v>3839</v>
      </c>
      <c r="E1326" t="s">
        <v>274</v>
      </c>
      <c r="F1326" t="s">
        <v>3892</v>
      </c>
    </row>
    <row r="1327" spans="1:6">
      <c r="A1327" s="14" t="s">
        <v>3634</v>
      </c>
      <c r="B1327" t="s">
        <v>3635</v>
      </c>
      <c r="C1327" t="s">
        <v>278</v>
      </c>
      <c r="D1327" s="15" t="s">
        <v>273</v>
      </c>
      <c r="E1327" t="s">
        <v>274</v>
      </c>
      <c r="F1327" t="s">
        <v>3636</v>
      </c>
    </row>
    <row r="1328" spans="1:6">
      <c r="A1328" s="14" t="s">
        <v>3654</v>
      </c>
      <c r="B1328" t="s">
        <v>3637</v>
      </c>
      <c r="C1328" t="s">
        <v>278</v>
      </c>
      <c r="D1328" s="15" t="s">
        <v>273</v>
      </c>
      <c r="E1328" t="s">
        <v>274</v>
      </c>
      <c r="F1328" t="s">
        <v>3638</v>
      </c>
    </row>
  </sheetData>
  <sortState xmlns:xlrd2="http://schemas.microsoft.com/office/spreadsheetml/2017/richdata2" ref="A2:F1328">
    <sortCondition ref="A2"/>
  </sortState>
  <phoneticPr fontId="16" type="noConversion"/>
  <hyperlinks>
    <hyperlink ref="G178" r:id="rId1" xr:uid="{00000000-0004-0000-0200-000000000000}"/>
    <hyperlink ref="J178" r:id="rId2" xr:uid="{00000000-0004-0000-0200-000001000000}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1:W132"/>
  <sheetViews>
    <sheetView zoomScale="98" zoomScaleNormal="98" workbookViewId="0">
      <selection activeCell="Y26" sqref="Y26"/>
    </sheetView>
  </sheetViews>
  <sheetFormatPr baseColWidth="10" defaultRowHeight="14.25"/>
  <cols>
    <col min="1" max="2" width="0.59765625" customWidth="1"/>
    <col min="3" max="3" width="2.265625" customWidth="1"/>
    <col min="4" max="4" width="10.3984375" customWidth="1"/>
    <col min="5" max="5" width="2" customWidth="1"/>
    <col min="6" max="6" width="23.86328125" customWidth="1"/>
    <col min="7" max="7" width="6.1328125" customWidth="1"/>
    <col min="8" max="8" width="8.86328125" customWidth="1"/>
    <col min="9" max="9" width="0.86328125" customWidth="1"/>
    <col min="10" max="10" width="6.3984375" customWidth="1"/>
    <col min="11" max="11" width="2.86328125" customWidth="1"/>
    <col min="12" max="12" width="15.59765625" customWidth="1"/>
    <col min="13" max="13" width="17.265625" customWidth="1"/>
    <col min="14" max="14" width="0.59765625" customWidth="1"/>
    <col min="15" max="15" width="3.3984375" customWidth="1"/>
    <col min="16" max="16" width="3" customWidth="1"/>
    <col min="17" max="17" width="12.265625" bestFit="1" customWidth="1"/>
    <col min="19" max="19" width="13.86328125" bestFit="1" customWidth="1"/>
    <col min="21" max="21" width="11.86328125" bestFit="1" customWidth="1"/>
    <col min="22" max="22" width="9.3984375" bestFit="1" customWidth="1"/>
  </cols>
  <sheetData>
    <row r="1" spans="2:20" ht="2.25" customHeight="1" thickBot="1">
      <c r="B1" t="s">
        <v>3953</v>
      </c>
    </row>
    <row r="2" spans="2:20" ht="38.450000000000003" customHeight="1">
      <c r="B2" s="6"/>
      <c r="C2" s="29"/>
      <c r="D2" s="29"/>
      <c r="E2" s="29"/>
      <c r="F2" s="29"/>
      <c r="G2" s="289" t="s">
        <v>12</v>
      </c>
      <c r="H2" s="289"/>
      <c r="I2" s="289"/>
      <c r="J2" s="289"/>
      <c r="K2" s="289"/>
      <c r="L2" s="290">
        <v>15469</v>
      </c>
      <c r="M2" s="290"/>
      <c r="N2" s="291"/>
    </row>
    <row r="3" spans="2:20" ht="19.899999999999999" customHeight="1">
      <c r="B3" s="7"/>
      <c r="C3" s="9"/>
      <c r="D3" s="9"/>
      <c r="E3" s="9"/>
      <c r="F3" s="9"/>
      <c r="G3" s="292"/>
      <c r="H3" s="292"/>
      <c r="I3" s="292"/>
      <c r="J3" s="292"/>
      <c r="K3" s="293">
        <f ca="1">Remitos!N2</f>
        <v>46027</v>
      </c>
      <c r="L3" s="294"/>
      <c r="M3" s="295"/>
      <c r="N3" s="296"/>
    </row>
    <row r="4" spans="2:20" ht="19.149999999999999" customHeight="1">
      <c r="B4" s="7"/>
      <c r="C4" s="9"/>
      <c r="D4" s="9"/>
      <c r="E4" s="9"/>
      <c r="F4" s="9"/>
      <c r="G4" s="294" t="s">
        <v>13</v>
      </c>
      <c r="H4" s="294"/>
      <c r="I4" s="294"/>
      <c r="J4" s="294"/>
      <c r="K4" s="293">
        <v>44185</v>
      </c>
      <c r="L4" s="293"/>
      <c r="M4" s="9"/>
      <c r="N4" s="30"/>
    </row>
    <row r="5" spans="2:20" ht="16.5" customHeight="1">
      <c r="B5" s="7"/>
      <c r="C5" s="9"/>
      <c r="D5" s="9" t="s">
        <v>7</v>
      </c>
      <c r="E5" s="9"/>
      <c r="F5" s="9"/>
      <c r="G5" s="9"/>
      <c r="H5" s="285"/>
      <c r="I5" s="285"/>
      <c r="J5" s="285"/>
      <c r="K5" s="285"/>
      <c r="L5" s="285"/>
      <c r="M5" s="285"/>
      <c r="N5" s="30"/>
    </row>
    <row r="6" spans="2:20" ht="16.5" customHeight="1">
      <c r="B6" s="7"/>
      <c r="C6" s="9"/>
      <c r="D6" s="31"/>
      <c r="E6" s="9"/>
      <c r="F6" s="9" t="s">
        <v>8</v>
      </c>
      <c r="G6" s="9"/>
      <c r="H6" s="9"/>
      <c r="I6" s="9"/>
      <c r="J6" s="9"/>
      <c r="K6" s="9"/>
      <c r="L6" s="9"/>
      <c r="M6" s="9"/>
      <c r="N6" s="30"/>
    </row>
    <row r="7" spans="2:20" ht="16.5" customHeight="1">
      <c r="B7" s="7"/>
      <c r="C7" s="9"/>
      <c r="D7" s="31" t="s">
        <v>9</v>
      </c>
      <c r="E7" s="9"/>
      <c r="F7" s="9"/>
      <c r="G7" s="9"/>
      <c r="H7" s="9"/>
      <c r="I7" s="9" t="s">
        <v>14</v>
      </c>
      <c r="J7" s="9"/>
      <c r="K7" s="9"/>
      <c r="L7" s="9"/>
      <c r="M7" s="9"/>
      <c r="N7" s="30"/>
    </row>
    <row r="8" spans="2:20" ht="16.5" customHeight="1">
      <c r="B8" s="7"/>
      <c r="C8" s="9"/>
      <c r="D8" s="31" t="s">
        <v>10</v>
      </c>
      <c r="E8" s="9"/>
      <c r="F8" s="9"/>
      <c r="G8" s="9"/>
      <c r="H8" s="9"/>
      <c r="I8" s="9" t="s">
        <v>15</v>
      </c>
      <c r="J8" s="9"/>
      <c r="K8" s="9"/>
      <c r="L8" s="9"/>
      <c r="M8" s="9"/>
      <c r="N8" s="30"/>
    </row>
    <row r="9" spans="2:20" ht="16.5" customHeight="1">
      <c r="B9" s="7"/>
      <c r="C9" s="9"/>
      <c r="D9" s="31" t="s">
        <v>11</v>
      </c>
      <c r="E9" s="9"/>
      <c r="F9" s="9"/>
      <c r="G9" s="9"/>
      <c r="H9" s="9"/>
      <c r="I9" s="9" t="s">
        <v>16</v>
      </c>
      <c r="J9" s="9"/>
      <c r="K9" s="9"/>
      <c r="L9" s="9"/>
      <c r="M9" s="9"/>
      <c r="N9" s="30"/>
    </row>
    <row r="10" spans="2:20" ht="0.75" customHeight="1" thickBot="1">
      <c r="B10" s="8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3"/>
    </row>
    <row r="11" spans="2:20" ht="2.25" customHeight="1" thickBot="1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2:20" ht="18.600000000000001" customHeight="1">
      <c r="B12" s="6"/>
      <c r="C12" s="34"/>
      <c r="D12" s="286" t="s">
        <v>17</v>
      </c>
      <c r="E12" s="286"/>
      <c r="F12" s="286" t="e">
        <f>VLOOKUP(Proveedores!I3,Proveedores!A4:F1224,2)</f>
        <v>#N/A</v>
      </c>
      <c r="G12" s="286"/>
      <c r="H12" s="286"/>
      <c r="I12" s="286"/>
      <c r="J12" s="286"/>
      <c r="K12" s="286"/>
      <c r="L12" s="286"/>
      <c r="M12" s="286"/>
      <c r="N12" s="287"/>
    </row>
    <row r="13" spans="2:20">
      <c r="B13" s="7"/>
      <c r="C13" s="36"/>
      <c r="D13" s="288" t="s">
        <v>18</v>
      </c>
      <c r="E13" s="288"/>
      <c r="F13" s="288" t="e">
        <f>VLOOKUP(Proveedores!I3,Proveedores!A4:F1224,3)</f>
        <v>#N/A</v>
      </c>
      <c r="G13" s="288"/>
      <c r="H13" s="288"/>
      <c r="I13" s="288"/>
      <c r="J13" s="288"/>
      <c r="K13" s="288"/>
      <c r="L13" s="288"/>
      <c r="M13" s="288"/>
      <c r="N13" s="11"/>
      <c r="R13" s="25"/>
    </row>
    <row r="14" spans="2:20">
      <c r="B14" s="7"/>
      <c r="C14" s="36"/>
      <c r="D14" s="288" t="s">
        <v>19</v>
      </c>
      <c r="E14" s="288"/>
      <c r="F14" s="288" t="e">
        <f>VLOOKUP(Proveedores!I3,Proveedores!A4:F1241,4)</f>
        <v>#N/A</v>
      </c>
      <c r="G14" s="288"/>
      <c r="H14" s="288"/>
      <c r="I14" s="288"/>
      <c r="J14" s="288"/>
      <c r="K14" s="288"/>
      <c r="L14" s="288"/>
      <c r="M14" s="288"/>
      <c r="N14" s="11"/>
      <c r="R14" s="20"/>
    </row>
    <row r="15" spans="2:20">
      <c r="B15" s="7"/>
      <c r="C15" s="36"/>
      <c r="D15" s="36" t="s">
        <v>20</v>
      </c>
      <c r="E15" s="288" t="e">
        <f>VLOOKUP(Proveedores!I3,Proveedores!A4:F1199,6)</f>
        <v>#N/A</v>
      </c>
      <c r="F15" s="288"/>
      <c r="G15" s="288"/>
      <c r="H15" s="36" t="s">
        <v>21</v>
      </c>
      <c r="I15" s="36"/>
      <c r="J15" s="36"/>
      <c r="K15" s="288" t="e">
        <f>VLOOKUP(Proveedores!I3,Proveedores!A4:F1247,7)</f>
        <v>#N/A</v>
      </c>
      <c r="L15" s="288"/>
      <c r="M15" s="288"/>
      <c r="N15" s="11"/>
      <c r="T15" s="26"/>
    </row>
    <row r="16" spans="2:20" ht="10.5" customHeight="1">
      <c r="B16" s="7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11"/>
    </row>
    <row r="17" spans="2:23" ht="19.5" customHeight="1">
      <c r="B17" s="7"/>
      <c r="C17" s="282" t="s">
        <v>22</v>
      </c>
      <c r="D17" s="282"/>
      <c r="E17" s="282"/>
      <c r="F17" s="283" t="s">
        <v>1</v>
      </c>
      <c r="G17" s="283"/>
      <c r="H17" s="283"/>
      <c r="I17" s="282" t="s">
        <v>5</v>
      </c>
      <c r="J17" s="282"/>
      <c r="K17" s="282"/>
      <c r="L17" s="43" t="s">
        <v>3880</v>
      </c>
      <c r="M17" s="43" t="s">
        <v>23</v>
      </c>
      <c r="N17" s="28"/>
      <c r="R17" s="17"/>
    </row>
    <row r="18" spans="2:23" ht="2.4500000000000002" customHeight="1">
      <c r="B18" s="7"/>
      <c r="C18" s="284"/>
      <c r="D18" s="284"/>
      <c r="E18" s="284"/>
      <c r="F18" s="284"/>
      <c r="G18" s="284"/>
      <c r="H18" s="284"/>
      <c r="I18" s="284"/>
      <c r="J18" s="284"/>
      <c r="K18" s="284"/>
      <c r="L18" s="284"/>
      <c r="M18" s="284"/>
      <c r="N18" s="11"/>
      <c r="R18" s="18"/>
    </row>
    <row r="19" spans="2:23" ht="15" customHeight="1">
      <c r="B19" s="7"/>
      <c r="C19" s="265"/>
      <c r="D19" s="265"/>
      <c r="E19" s="265"/>
      <c r="F19" s="279"/>
      <c r="G19" s="279"/>
      <c r="H19" s="279"/>
      <c r="I19" s="280">
        <v>2</v>
      </c>
      <c r="J19" s="280"/>
      <c r="K19" s="281"/>
      <c r="L19" s="37">
        <v>50</v>
      </c>
      <c r="M19" s="37"/>
      <c r="N19" s="38"/>
      <c r="Q19" s="23" t="s">
        <v>3713</v>
      </c>
      <c r="R19" s="23" t="s">
        <v>3709</v>
      </c>
      <c r="T19" s="27"/>
      <c r="U19" s="27"/>
      <c r="V19" s="27"/>
      <c r="W19" s="27"/>
    </row>
    <row r="20" spans="2:23" ht="15" customHeight="1">
      <c r="B20" s="7"/>
      <c r="C20" s="265"/>
      <c r="D20" s="265"/>
      <c r="E20" s="265"/>
      <c r="F20" s="266"/>
      <c r="G20" s="266"/>
      <c r="H20" s="266"/>
      <c r="I20" s="267"/>
      <c r="J20" s="267"/>
      <c r="K20" s="268"/>
      <c r="L20" s="37"/>
      <c r="M20" s="37"/>
      <c r="N20" s="11"/>
      <c r="Q20" s="23" t="s">
        <v>3711</v>
      </c>
      <c r="R20" s="24">
        <v>0</v>
      </c>
      <c r="T20" s="27"/>
      <c r="U20" s="27"/>
      <c r="V20" s="27"/>
      <c r="W20" s="27"/>
    </row>
    <row r="21" spans="2:23" ht="15" customHeight="1">
      <c r="B21" s="7"/>
      <c r="C21" s="265"/>
      <c r="D21" s="265"/>
      <c r="E21" s="265"/>
      <c r="F21" s="278"/>
      <c r="G21" s="278"/>
      <c r="H21" s="278"/>
      <c r="I21" s="267"/>
      <c r="J21" s="267"/>
      <c r="K21" s="268"/>
      <c r="L21" s="37"/>
      <c r="M21" s="37"/>
      <c r="N21" s="11"/>
      <c r="Q21" s="23" t="s">
        <v>3712</v>
      </c>
      <c r="R21" s="24">
        <v>0</v>
      </c>
      <c r="T21" s="27"/>
      <c r="U21" s="27"/>
      <c r="V21" s="27"/>
      <c r="W21" s="27"/>
    </row>
    <row r="22" spans="2:23" ht="15" customHeight="1">
      <c r="B22" s="7"/>
      <c r="C22" s="265"/>
      <c r="D22" s="265"/>
      <c r="E22" s="265"/>
      <c r="F22" s="278"/>
      <c r="G22" s="278"/>
      <c r="H22" s="278"/>
      <c r="I22" s="267"/>
      <c r="J22" s="267"/>
      <c r="K22" s="268"/>
      <c r="L22" s="37"/>
      <c r="M22" s="37"/>
      <c r="N22" s="11"/>
      <c r="Q22" s="41" t="s">
        <v>3893</v>
      </c>
      <c r="R22" s="24">
        <v>0</v>
      </c>
      <c r="T22" s="27"/>
      <c r="U22" s="27"/>
      <c r="V22" s="27"/>
      <c r="W22" s="27"/>
    </row>
    <row r="23" spans="2:23" ht="15" customHeight="1">
      <c r="B23" s="7"/>
      <c r="C23" s="265"/>
      <c r="D23" s="265"/>
      <c r="E23" s="265"/>
      <c r="F23" s="278"/>
      <c r="G23" s="278"/>
      <c r="H23" s="278"/>
      <c r="I23" s="267"/>
      <c r="J23" s="267"/>
      <c r="K23" s="268"/>
      <c r="L23" s="37"/>
      <c r="M23" s="37"/>
      <c r="N23" s="11"/>
      <c r="Q23" s="41" t="s">
        <v>3894</v>
      </c>
      <c r="R23" s="24">
        <v>0</v>
      </c>
      <c r="T23" s="27"/>
      <c r="U23" s="27"/>
      <c r="V23" s="27"/>
      <c r="W23" s="27"/>
    </row>
    <row r="24" spans="2:23" ht="15" customHeight="1">
      <c r="B24" s="7"/>
      <c r="C24" s="265"/>
      <c r="D24" s="265"/>
      <c r="E24" s="265"/>
      <c r="F24" s="266"/>
      <c r="G24" s="266"/>
      <c r="H24" s="266"/>
      <c r="I24" s="267"/>
      <c r="J24" s="267"/>
      <c r="K24" s="268"/>
      <c r="L24" s="37"/>
      <c r="M24" s="37"/>
      <c r="N24" s="11"/>
      <c r="Q24" s="39"/>
      <c r="R24" s="39"/>
      <c r="T24" s="27"/>
      <c r="U24" s="27"/>
      <c r="V24" s="27"/>
      <c r="W24" s="27"/>
    </row>
    <row r="25" spans="2:23" ht="15" customHeight="1">
      <c r="B25" s="7"/>
      <c r="C25" s="265"/>
      <c r="D25" s="265"/>
      <c r="E25" s="265"/>
      <c r="F25" s="266"/>
      <c r="G25" s="266"/>
      <c r="H25" s="266"/>
      <c r="I25" s="267"/>
      <c r="J25" s="267"/>
      <c r="K25" s="268"/>
      <c r="L25" s="37"/>
      <c r="M25" s="37"/>
      <c r="N25" s="11"/>
      <c r="Q25" s="39"/>
      <c r="R25" s="39"/>
      <c r="T25" s="27"/>
      <c r="U25" s="27"/>
      <c r="V25" s="27"/>
      <c r="W25" s="27"/>
    </row>
    <row r="26" spans="2:23" ht="15" customHeight="1">
      <c r="B26" s="7"/>
      <c r="C26" s="265"/>
      <c r="D26" s="265"/>
      <c r="E26" s="265"/>
      <c r="F26" s="266"/>
      <c r="G26" s="266"/>
      <c r="H26" s="266"/>
      <c r="I26" s="267"/>
      <c r="J26" s="267"/>
      <c r="K26" s="268"/>
      <c r="L26" s="37"/>
      <c r="M26" s="37"/>
      <c r="N26" s="11"/>
      <c r="Q26" s="39"/>
      <c r="R26" s="39"/>
      <c r="T26" s="27"/>
      <c r="U26" s="27"/>
      <c r="V26" s="27"/>
      <c r="W26" s="27"/>
    </row>
    <row r="27" spans="2:23" ht="15" customHeight="1">
      <c r="B27" s="7"/>
      <c r="C27" s="265"/>
      <c r="D27" s="265"/>
      <c r="E27" s="265"/>
      <c r="F27" s="277"/>
      <c r="G27" s="277"/>
      <c r="H27" s="277"/>
      <c r="I27" s="267"/>
      <c r="J27" s="267"/>
      <c r="K27" s="268"/>
      <c r="L27" s="37"/>
      <c r="M27" s="37"/>
      <c r="N27" s="11"/>
      <c r="Q27" s="39"/>
      <c r="R27" s="39"/>
      <c r="T27" s="27"/>
      <c r="U27" s="27"/>
      <c r="V27" s="27"/>
      <c r="W27" s="27"/>
    </row>
    <row r="28" spans="2:23" ht="15" customHeight="1">
      <c r="B28" s="7"/>
      <c r="C28" s="265"/>
      <c r="D28" s="265"/>
      <c r="E28" s="265"/>
      <c r="F28" s="274"/>
      <c r="G28" s="274"/>
      <c r="H28" s="274"/>
      <c r="I28" s="267"/>
      <c r="J28" s="267"/>
      <c r="K28" s="268"/>
      <c r="L28" s="37"/>
      <c r="M28" s="37"/>
      <c r="N28" s="11"/>
      <c r="Q28" s="39"/>
      <c r="R28" s="39"/>
      <c r="T28" s="27"/>
      <c r="U28" s="27"/>
      <c r="V28" s="27"/>
      <c r="W28" s="27"/>
    </row>
    <row r="29" spans="2:23" ht="15" customHeight="1">
      <c r="B29" s="7"/>
      <c r="C29" s="265"/>
      <c r="D29" s="265"/>
      <c r="E29" s="265"/>
      <c r="F29" s="274"/>
      <c r="G29" s="274"/>
      <c r="H29" s="274"/>
      <c r="I29" s="267"/>
      <c r="J29" s="267"/>
      <c r="K29" s="268"/>
      <c r="L29" s="37"/>
      <c r="M29" s="37"/>
      <c r="N29" s="11"/>
      <c r="Q29" s="276" t="s">
        <v>3710</v>
      </c>
      <c r="R29" s="276"/>
      <c r="T29" s="27"/>
      <c r="U29" s="27"/>
      <c r="V29" s="27"/>
      <c r="W29" s="27"/>
    </row>
    <row r="30" spans="2:23" ht="15" customHeight="1">
      <c r="B30" s="7"/>
      <c r="C30" s="265"/>
      <c r="D30" s="265"/>
      <c r="E30" s="265"/>
      <c r="F30" s="274"/>
      <c r="G30" s="274"/>
      <c r="H30" s="274"/>
      <c r="I30" s="267"/>
      <c r="J30" s="267"/>
      <c r="K30" s="268"/>
      <c r="L30" s="37"/>
      <c r="M30" s="37"/>
      <c r="N30" s="11"/>
      <c r="T30" s="27"/>
      <c r="U30" s="27"/>
      <c r="V30" s="27"/>
      <c r="W30" s="27"/>
    </row>
    <row r="31" spans="2:23" ht="15" customHeight="1">
      <c r="B31" s="7"/>
      <c r="C31" s="265"/>
      <c r="D31" s="265"/>
      <c r="E31" s="265"/>
      <c r="F31" s="275"/>
      <c r="G31" s="275"/>
      <c r="H31" s="275"/>
      <c r="I31" s="267"/>
      <c r="J31" s="267"/>
      <c r="K31" s="268"/>
      <c r="L31" s="37"/>
      <c r="M31" s="37"/>
      <c r="N31" s="11"/>
      <c r="T31" s="27"/>
      <c r="U31" s="27"/>
      <c r="V31" s="27"/>
      <c r="W31" s="27"/>
    </row>
    <row r="32" spans="2:23" ht="15" customHeight="1">
      <c r="B32" s="7"/>
      <c r="C32" s="265"/>
      <c r="D32" s="265"/>
      <c r="E32" s="265"/>
      <c r="F32" s="266"/>
      <c r="G32" s="266"/>
      <c r="H32" s="266"/>
      <c r="I32" s="267"/>
      <c r="J32" s="267"/>
      <c r="K32" s="268"/>
      <c r="L32" s="37"/>
      <c r="M32" s="37"/>
      <c r="N32" s="11"/>
      <c r="T32" s="27"/>
      <c r="U32" s="27"/>
      <c r="V32" s="27"/>
      <c r="W32" s="27"/>
    </row>
    <row r="33" spans="2:23" ht="15" customHeight="1">
      <c r="B33" s="7"/>
      <c r="C33" s="265"/>
      <c r="D33" s="265"/>
      <c r="E33" s="265"/>
      <c r="F33" s="266"/>
      <c r="G33" s="266"/>
      <c r="H33" s="266"/>
      <c r="I33" s="267"/>
      <c r="J33" s="267"/>
      <c r="K33" s="268"/>
      <c r="L33" s="37"/>
      <c r="M33" s="37"/>
      <c r="N33" s="11"/>
      <c r="T33" s="27"/>
      <c r="U33" s="27"/>
      <c r="V33" s="27"/>
      <c r="W33" s="27"/>
    </row>
    <row r="34" spans="2:23" ht="15" customHeight="1">
      <c r="B34" s="7"/>
      <c r="C34" s="265"/>
      <c r="D34" s="265"/>
      <c r="E34" s="265"/>
      <c r="F34" s="266"/>
      <c r="G34" s="266"/>
      <c r="H34" s="266"/>
      <c r="I34" s="267"/>
      <c r="J34" s="267"/>
      <c r="K34" s="268"/>
      <c r="L34" s="37"/>
      <c r="M34" s="37"/>
      <c r="N34" s="11"/>
      <c r="T34" s="27"/>
      <c r="V34" s="27"/>
    </row>
    <row r="35" spans="2:23" ht="15" customHeight="1">
      <c r="B35" s="7"/>
      <c r="C35" s="265"/>
      <c r="D35" s="265"/>
      <c r="E35" s="265"/>
      <c r="F35" s="274"/>
      <c r="G35" s="274"/>
      <c r="H35" s="274"/>
      <c r="I35" s="267"/>
      <c r="J35" s="267"/>
      <c r="K35" s="268"/>
      <c r="L35" s="37"/>
      <c r="M35" s="37"/>
      <c r="N35" s="11"/>
      <c r="R35" s="42"/>
    </row>
    <row r="36" spans="2:23" ht="15" customHeight="1">
      <c r="B36" s="7"/>
      <c r="C36" s="265"/>
      <c r="D36" s="265"/>
      <c r="E36" s="265"/>
      <c r="F36" s="266"/>
      <c r="G36" s="266"/>
      <c r="H36" s="266"/>
      <c r="I36" s="267"/>
      <c r="J36" s="267"/>
      <c r="K36" s="268"/>
      <c r="L36" s="37"/>
      <c r="M36" s="37"/>
      <c r="N36" s="11"/>
    </row>
    <row r="37" spans="2:23" ht="15" customHeight="1">
      <c r="B37" s="7"/>
      <c r="C37" s="265"/>
      <c r="D37" s="265"/>
      <c r="E37" s="265"/>
      <c r="F37" s="273"/>
      <c r="G37" s="266"/>
      <c r="H37" s="266"/>
      <c r="I37" s="267"/>
      <c r="J37" s="267"/>
      <c r="K37" s="268"/>
      <c r="L37" s="37"/>
      <c r="M37" s="37"/>
      <c r="N37" s="11"/>
      <c r="S37" s="27"/>
      <c r="T37" s="26"/>
    </row>
    <row r="38" spans="2:23" ht="15" customHeight="1">
      <c r="B38" s="7"/>
      <c r="C38" s="265"/>
      <c r="D38" s="265"/>
      <c r="E38" s="265"/>
      <c r="F38" s="266"/>
      <c r="G38" s="266"/>
      <c r="H38" s="266"/>
      <c r="I38" s="267"/>
      <c r="J38" s="267"/>
      <c r="K38" s="268"/>
      <c r="L38" s="37"/>
      <c r="M38" s="37"/>
      <c r="N38" s="11"/>
      <c r="S38" s="27"/>
      <c r="T38" s="26"/>
    </row>
    <row r="39" spans="2:23" ht="15" customHeight="1">
      <c r="B39" s="7"/>
      <c r="C39" s="265"/>
      <c r="D39" s="265"/>
      <c r="E39" s="265"/>
      <c r="F39" s="266"/>
      <c r="G39" s="266"/>
      <c r="H39" s="266"/>
      <c r="I39" s="267"/>
      <c r="J39" s="267"/>
      <c r="K39" s="268"/>
      <c r="L39" s="37"/>
      <c r="M39" s="37"/>
      <c r="N39" s="11"/>
      <c r="S39" s="27"/>
      <c r="T39" s="26"/>
    </row>
    <row r="40" spans="2:23" ht="15" customHeight="1">
      <c r="B40" s="7"/>
      <c r="C40" s="265"/>
      <c r="D40" s="265"/>
      <c r="E40" s="265"/>
      <c r="F40" s="266"/>
      <c r="G40" s="266"/>
      <c r="H40" s="266"/>
      <c r="I40" s="267"/>
      <c r="J40" s="267"/>
      <c r="K40" s="268"/>
      <c r="L40" s="37"/>
      <c r="M40" s="37"/>
      <c r="N40" s="11"/>
      <c r="R40" s="26"/>
      <c r="S40" s="27"/>
    </row>
    <row r="41" spans="2:23" ht="15" customHeight="1">
      <c r="B41" s="7"/>
      <c r="C41" s="265"/>
      <c r="D41" s="265"/>
      <c r="E41" s="265"/>
      <c r="F41" s="266"/>
      <c r="G41" s="266"/>
      <c r="H41" s="266"/>
      <c r="I41" s="267"/>
      <c r="J41" s="267"/>
      <c r="K41" s="268"/>
      <c r="L41" s="37"/>
      <c r="M41" s="37"/>
      <c r="N41" s="11"/>
      <c r="Q41" s="16"/>
    </row>
    <row r="42" spans="2:23" ht="15" customHeight="1">
      <c r="B42" s="7"/>
      <c r="C42" s="265"/>
      <c r="D42" s="265"/>
      <c r="E42" s="265"/>
      <c r="F42" s="266"/>
      <c r="G42" s="266"/>
      <c r="H42" s="266"/>
      <c r="I42" s="267"/>
      <c r="J42" s="267"/>
      <c r="K42" s="268"/>
      <c r="L42" s="37"/>
      <c r="M42" s="37"/>
      <c r="N42" s="11"/>
      <c r="R42" s="26"/>
      <c r="U42" s="26"/>
    </row>
    <row r="43" spans="2:23" ht="15" customHeight="1">
      <c r="B43" s="7"/>
      <c r="C43" s="265"/>
      <c r="D43" s="265"/>
      <c r="E43" s="265"/>
      <c r="F43" s="266"/>
      <c r="G43" s="266"/>
      <c r="H43" s="266"/>
      <c r="I43" s="267"/>
      <c r="J43" s="267"/>
      <c r="K43" s="268"/>
      <c r="L43" s="37"/>
      <c r="M43" s="37"/>
      <c r="N43" s="11"/>
    </row>
    <row r="44" spans="2:23" ht="15" customHeight="1">
      <c r="B44" s="7"/>
      <c r="C44" s="269"/>
      <c r="D44" s="269"/>
      <c r="E44" s="269"/>
      <c r="F44" s="270"/>
      <c r="G44" s="270"/>
      <c r="H44" s="270"/>
      <c r="I44" s="271"/>
      <c r="J44" s="271"/>
      <c r="K44" s="272"/>
      <c r="L44" s="40"/>
      <c r="M44" s="40"/>
      <c r="N44" s="11"/>
    </row>
    <row r="45" spans="2:23" ht="15" customHeight="1">
      <c r="B45" s="7"/>
      <c r="C45" s="258" t="s">
        <v>3887</v>
      </c>
      <c r="D45" s="258"/>
      <c r="E45" s="258"/>
      <c r="F45" s="259"/>
      <c r="G45" s="259"/>
      <c r="H45" s="259"/>
      <c r="I45" s="259"/>
      <c r="J45" s="260" t="s">
        <v>24</v>
      </c>
      <c r="K45" s="261"/>
      <c r="L45" s="262"/>
      <c r="M45" s="44"/>
      <c r="N45" s="11"/>
    </row>
    <row r="46" spans="2:23" ht="15" customHeight="1">
      <c r="B46" s="7"/>
      <c r="C46" s="263" t="s">
        <v>3755</v>
      </c>
      <c r="D46" s="263"/>
      <c r="E46" s="263"/>
      <c r="F46" s="264"/>
      <c r="G46" s="264"/>
      <c r="H46" s="264"/>
      <c r="I46" s="264"/>
      <c r="J46" s="260" t="s">
        <v>3644</v>
      </c>
      <c r="K46" s="260"/>
      <c r="L46" s="260"/>
      <c r="M46" s="45"/>
      <c r="N46" s="11"/>
    </row>
    <row r="47" spans="2:23" ht="15" customHeight="1">
      <c r="B47" s="7"/>
      <c r="C47" s="252" t="s">
        <v>3648</v>
      </c>
      <c r="D47" s="252"/>
      <c r="E47" s="252"/>
      <c r="F47" s="257"/>
      <c r="G47" s="257"/>
      <c r="H47" s="257"/>
      <c r="I47" s="257"/>
      <c r="J47" s="254" t="s">
        <v>3905</v>
      </c>
      <c r="K47" s="254"/>
      <c r="L47" s="254"/>
      <c r="M47" s="45"/>
      <c r="N47" s="11"/>
    </row>
    <row r="48" spans="2:23" ht="15" customHeight="1">
      <c r="B48" s="7"/>
      <c r="C48" s="252" t="s">
        <v>28</v>
      </c>
      <c r="D48" s="252"/>
      <c r="E48" s="252"/>
      <c r="F48" s="257"/>
      <c r="G48" s="257"/>
      <c r="H48" s="257"/>
      <c r="I48" s="257"/>
      <c r="J48" s="254" t="s">
        <v>3895</v>
      </c>
      <c r="K48" s="254"/>
      <c r="L48" s="254"/>
      <c r="M48" s="45"/>
      <c r="N48" s="11"/>
      <c r="S48" s="27"/>
    </row>
    <row r="49" spans="2:19" ht="15" customHeight="1">
      <c r="B49" s="7"/>
      <c r="C49" s="252" t="s">
        <v>27</v>
      </c>
      <c r="D49" s="252"/>
      <c r="E49" s="252"/>
      <c r="F49" s="253"/>
      <c r="G49" s="253"/>
      <c r="H49" s="253"/>
      <c r="I49" s="253"/>
      <c r="J49" s="254" t="s">
        <v>25</v>
      </c>
      <c r="K49" s="254"/>
      <c r="L49" s="254"/>
      <c r="M49" s="45"/>
      <c r="N49" s="11"/>
      <c r="S49" s="27"/>
    </row>
    <row r="50" spans="2:19" ht="15" customHeight="1" thickBot="1">
      <c r="B50" s="8"/>
      <c r="C50" s="255"/>
      <c r="D50" s="255"/>
      <c r="E50" s="255"/>
      <c r="F50" s="256"/>
      <c r="G50" s="256"/>
      <c r="H50" s="256"/>
      <c r="I50" s="256"/>
      <c r="J50" s="256" t="s">
        <v>26</v>
      </c>
      <c r="K50" s="256"/>
      <c r="L50" s="256"/>
      <c r="M50" s="46"/>
      <c r="N50" s="12"/>
    </row>
    <row r="51" spans="2:19"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2:19"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</row>
    <row r="53" spans="2:19"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</row>
    <row r="54" spans="2:19"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</row>
    <row r="55" spans="2:19"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</row>
    <row r="56" spans="2:19"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</row>
    <row r="57" spans="2:19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</row>
    <row r="58" spans="2:19"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</row>
    <row r="59" spans="2:19"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</row>
    <row r="60" spans="2:19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</row>
    <row r="61" spans="2:19"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</row>
    <row r="62" spans="2:19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</row>
    <row r="63" spans="2:19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</row>
    <row r="64" spans="2:19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5" spans="3:14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3:14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3:14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3:14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3:14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3:14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3:14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3:14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3:14"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</row>
    <row r="74" spans="3:14"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</row>
    <row r="75" spans="3:14"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</row>
    <row r="76" spans="3:14"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</row>
    <row r="77" spans="3:14"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3:14"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</row>
    <row r="79" spans="3:14"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0" spans="3:14"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</row>
    <row r="81" spans="3:14"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</row>
    <row r="82" spans="3:14"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</row>
    <row r="83" spans="3:14"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</row>
    <row r="84" spans="3:14"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</row>
    <row r="85" spans="3:14"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</row>
    <row r="86" spans="3:14"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</row>
    <row r="87" spans="3:14"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</row>
    <row r="88" spans="3:14"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</row>
    <row r="89" spans="3:14"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</row>
    <row r="90" spans="3:14"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</row>
    <row r="91" spans="3:14"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</row>
    <row r="92" spans="3:14"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</row>
    <row r="93" spans="3:14"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</row>
    <row r="94" spans="3:14"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</row>
    <row r="95" spans="3:14"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</row>
    <row r="96" spans="3:14"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</row>
    <row r="97" spans="3:13"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</row>
    <row r="98" spans="3:13"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</row>
    <row r="99" spans="3:13"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</row>
    <row r="100" spans="3:13"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</row>
    <row r="101" spans="3:13"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</row>
    <row r="102" spans="3:13"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</row>
    <row r="103" spans="3:13"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</row>
    <row r="104" spans="3:13"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</row>
    <row r="105" spans="3:13"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</row>
    <row r="106" spans="3:13"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</row>
    <row r="107" spans="3:13"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</row>
    <row r="108" spans="3:13"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</row>
    <row r="109" spans="3:13"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</row>
    <row r="110" spans="3:13"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</row>
    <row r="111" spans="3:13"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</row>
    <row r="112" spans="3:13"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</row>
    <row r="113" spans="3:13"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</row>
    <row r="114" spans="3:13"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</row>
    <row r="115" spans="3:13"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</row>
    <row r="116" spans="3:13"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</row>
    <row r="117" spans="3:13"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</row>
    <row r="118" spans="3:13"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</row>
    <row r="119" spans="3:13"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</row>
    <row r="120" spans="3:13"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</row>
    <row r="121" spans="3:13"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</row>
    <row r="122" spans="3:13"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</row>
    <row r="123" spans="3:13"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</row>
    <row r="124" spans="3:13"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</row>
    <row r="125" spans="3:13"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</row>
    <row r="126" spans="3:13"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</row>
    <row r="127" spans="3:13"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</row>
    <row r="128" spans="3:13"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</row>
    <row r="129" spans="3:13"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</row>
    <row r="130" spans="3:13"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</row>
    <row r="131" spans="3:13"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</row>
    <row r="132" spans="3:13"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</row>
  </sheetData>
  <mergeCells count="117">
    <mergeCell ref="G2:K2"/>
    <mergeCell ref="L2:N2"/>
    <mergeCell ref="G3:J3"/>
    <mergeCell ref="K3:L3"/>
    <mergeCell ref="M3:N3"/>
    <mergeCell ref="G4:J4"/>
    <mergeCell ref="K4:L4"/>
    <mergeCell ref="E15:G15"/>
    <mergeCell ref="K15:M15"/>
    <mergeCell ref="C17:E17"/>
    <mergeCell ref="F17:H17"/>
    <mergeCell ref="I17:K17"/>
    <mergeCell ref="C18:M18"/>
    <mergeCell ref="H5:M5"/>
    <mergeCell ref="D12:E12"/>
    <mergeCell ref="F12:N12"/>
    <mergeCell ref="D13:E13"/>
    <mergeCell ref="F13:M13"/>
    <mergeCell ref="D14:E14"/>
    <mergeCell ref="F14:M14"/>
    <mergeCell ref="C21:E21"/>
    <mergeCell ref="F21:H21"/>
    <mergeCell ref="I21:K21"/>
    <mergeCell ref="C22:E22"/>
    <mergeCell ref="F22:H22"/>
    <mergeCell ref="I22:K22"/>
    <mergeCell ref="C19:E19"/>
    <mergeCell ref="F19:H19"/>
    <mergeCell ref="I19:K19"/>
    <mergeCell ref="C20:E20"/>
    <mergeCell ref="F20:H20"/>
    <mergeCell ref="I20:K20"/>
    <mergeCell ref="C25:E25"/>
    <mergeCell ref="F25:H25"/>
    <mergeCell ref="I25:K25"/>
    <mergeCell ref="C26:E26"/>
    <mergeCell ref="F26:H26"/>
    <mergeCell ref="I26:K26"/>
    <mergeCell ref="C23:E23"/>
    <mergeCell ref="F23:H23"/>
    <mergeCell ref="I23:K23"/>
    <mergeCell ref="C24:E24"/>
    <mergeCell ref="F24:H24"/>
    <mergeCell ref="I24:K24"/>
    <mergeCell ref="C29:E29"/>
    <mergeCell ref="F29:H29"/>
    <mergeCell ref="I29:K29"/>
    <mergeCell ref="Q29:R29"/>
    <mergeCell ref="C30:E30"/>
    <mergeCell ref="F30:H30"/>
    <mergeCell ref="I30:K30"/>
    <mergeCell ref="C27:E27"/>
    <mergeCell ref="F27:H27"/>
    <mergeCell ref="I27:K27"/>
    <mergeCell ref="C28:E28"/>
    <mergeCell ref="F28:H28"/>
    <mergeCell ref="I28:K28"/>
    <mergeCell ref="C33:E33"/>
    <mergeCell ref="F33:H33"/>
    <mergeCell ref="I33:K33"/>
    <mergeCell ref="C34:E34"/>
    <mergeCell ref="F34:H34"/>
    <mergeCell ref="I34:K34"/>
    <mergeCell ref="C31:E31"/>
    <mergeCell ref="F31:H31"/>
    <mergeCell ref="I31:K31"/>
    <mergeCell ref="C32:E32"/>
    <mergeCell ref="F32:H32"/>
    <mergeCell ref="I32:K32"/>
    <mergeCell ref="C37:E37"/>
    <mergeCell ref="F37:H37"/>
    <mergeCell ref="I37:K37"/>
    <mergeCell ref="C38:E38"/>
    <mergeCell ref="F38:H38"/>
    <mergeCell ref="I38:K38"/>
    <mergeCell ref="C35:E35"/>
    <mergeCell ref="F35:H35"/>
    <mergeCell ref="I35:K35"/>
    <mergeCell ref="C36:E36"/>
    <mergeCell ref="F36:H36"/>
    <mergeCell ref="I36:K36"/>
    <mergeCell ref="C41:E41"/>
    <mergeCell ref="F41:H41"/>
    <mergeCell ref="I41:K41"/>
    <mergeCell ref="C42:E42"/>
    <mergeCell ref="F42:H42"/>
    <mergeCell ref="I42:K42"/>
    <mergeCell ref="C39:E39"/>
    <mergeCell ref="F39:H39"/>
    <mergeCell ref="I39:K39"/>
    <mergeCell ref="C40:E40"/>
    <mergeCell ref="F40:H40"/>
    <mergeCell ref="I40:K40"/>
    <mergeCell ref="C45:E45"/>
    <mergeCell ref="F45:I45"/>
    <mergeCell ref="J45:L45"/>
    <mergeCell ref="C46:E46"/>
    <mergeCell ref="F46:I46"/>
    <mergeCell ref="J46:L46"/>
    <mergeCell ref="C43:E43"/>
    <mergeCell ref="F43:H43"/>
    <mergeCell ref="I43:K43"/>
    <mergeCell ref="C44:E44"/>
    <mergeCell ref="F44:H44"/>
    <mergeCell ref="I44:K44"/>
    <mergeCell ref="C49:E49"/>
    <mergeCell ref="F49:I49"/>
    <mergeCell ref="J49:L49"/>
    <mergeCell ref="C50:E50"/>
    <mergeCell ref="F50:I50"/>
    <mergeCell ref="J50:L50"/>
    <mergeCell ref="C47:E47"/>
    <mergeCell ref="F47:I47"/>
    <mergeCell ref="J47:L47"/>
    <mergeCell ref="C48:E48"/>
    <mergeCell ref="F48:I48"/>
    <mergeCell ref="J48:L48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locked="0" defaultSize="0" print="0" autoFill="0" autoPict="0" macro="[0]!CopiarEnPdf.CopiarEnPdf" altText="GENERAR">
                <anchor moveWithCells="1">
                  <from>
                    <xdr:col>16</xdr:col>
                    <xdr:colOff>552450</xdr:colOff>
                    <xdr:row>2</xdr:row>
                    <xdr:rowOff>171450</xdr:rowOff>
                  </from>
                  <to>
                    <xdr:col>18</xdr:col>
                    <xdr:colOff>200025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locked="0" defaultSize="0" print="0" autoLine="0" autoPict="0">
                <anchor moveWithCells="1">
                  <from>
                    <xdr:col>15</xdr:col>
                    <xdr:colOff>104775</xdr:colOff>
                    <xdr:row>5</xdr:row>
                    <xdr:rowOff>114300</xdr:rowOff>
                  </from>
                  <to>
                    <xdr:col>19</xdr:col>
                    <xdr:colOff>66675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172970-AC30-4BCA-BA08-9B35A6AA14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Impr.OrdenCompra</vt:lpstr>
      <vt:lpstr>Remitos</vt:lpstr>
      <vt:lpstr>Proveedores</vt:lpstr>
      <vt:lpstr>No modificar</vt:lpstr>
      <vt:lpstr>Impr.OrdenCompra!Área_de_impresión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</dc:creator>
  <cp:lastModifiedBy>R. Jorge Isola</cp:lastModifiedBy>
  <cp:lastPrinted>2026-01-05T13:16:19Z</cp:lastPrinted>
  <dcterms:created xsi:type="dcterms:W3CDTF">2014-07-14T17:27:00Z</dcterms:created>
  <dcterms:modified xsi:type="dcterms:W3CDTF">2026-01-05T13:16:19Z</dcterms:modified>
</cp:coreProperties>
</file>